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e93333a5f342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793349dfa4544ff5"/>
    <x:sheet xmlns:r="http://schemas.openxmlformats.org/officeDocument/2006/relationships" name="Clean_Data" sheetId="2" r:id="R2ab53e36f9b84de4"/>
    <x:sheet xmlns:r="http://schemas.openxmlformats.org/officeDocument/2006/relationships" name="Review_Log" sheetId="3" r:id="R8b9cd9e5fecc40ba"/>
    <x:sheet xmlns:r="http://schemas.openxmlformats.org/officeDocument/2006/relationships" name="Raw_Data" sheetId="4" r:id="Rda52dd41f55b49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hh:mm"/>
    <x:numFmt numFmtId="201" formatCode="0.0"/>
    <x:numFmt numFmtId="202" formatCode="0"/>
    <x:numFmt numFmtId="203" formatCode="[h]:mm"/>
  </x:numFmts>
  <x:fonts count="7">
    <x:font>
      <x:sz val="11"/>
      <x:name val="Carlito"/>
    </x:font>
    <x:font>
      <x:sz val="10"/>
      <x:color rgb="FF243248"/>
      <x:name val="Tahoma"/>
    </x:font>
    <x:font>
      <x:b/>
      <x:sz val="10"/>
      <x:color rgb="FFFFFFFF"/>
      <x:name val="Tahoma"/>
    </x:font>
    <x:font>
      <x:sz val="11"/>
      <x:color rgb="FF243248"/>
      <x:name val="Tahoma"/>
    </x:font>
    <x:font>
      <x:b/>
      <x:sz val="16"/>
      <x:color rgb="FF20344E"/>
      <x:name val="Tahoma"/>
    </x:font>
    <x:font>
      <x:b/>
      <x:sz val="11"/>
      <x:color rgb="FFFFFFFF"/>
      <x:name val="Tahoma"/>
    </x:font>
    <x:font>
      <x:b/>
      <x:sz val="11"/>
      <x:color rgb="FF20344E"/>
      <x:name val="Tahoma"/>
    </x:font>
  </x:fonts>
  <x:fills count="3">
    <x:fill>
      <x:patternFill patternType="none"/>
    </x:fill>
    <x:fill>
      <x:patternFill patternType="gray125"/>
    </x:fill>
    <x:fill>
      <x:patternFill patternType="solid">
        <x:fgColor rgb="FF20344E"/>
      </x:patternFill>
    </x:fill>
  </x:fills>
  <x:borders count="1">
    <x:border/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202" fontId="3" fillId="0" borderId="0" xfId="0" applyNumberFormat="1" applyFont="1" applyFill="1" applyBorder="1" applyAlignment="1">
      <x:alignment vertical="center" wrapText="1"/>
    </x:xf>
    <x:xf numFmtId="202" fontId="3" fillId="0" borderId="0" xfId="0" applyNumberFormat="1" applyFont="1" applyFill="1" applyBorder="1" applyAlignment="1">
      <x:alignment horizontal="center" vertical="center" wrapText="1"/>
    </x:xf>
    <x:xf numFmtId="202" fontId="6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ont>
        <x:color rgb="FF795400"/>
      </x:font>
      <x:fill>
        <x:patternFill patternType="solid">
          <x:bgColor rgb="FFFFF2C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c684b44f554421" /><Relationship Type="http://schemas.openxmlformats.org/officeDocument/2006/relationships/theme" Target="/xl/theme/theme1.xml" Id="R8df499652fce4c33" /><Relationship Type="http://schemas.openxmlformats.org/officeDocument/2006/relationships/sharedStrings" Target="/xl/sharedStrings.xml" Id="R221e503b0dcc4322" /><Relationship Type="http://schemas.openxmlformats.org/officeDocument/2006/relationships/worksheet" Target="/xl/worksheets/sheet1.xml" Id="R793349dfa4544ff5" /><Relationship Type="http://schemas.openxmlformats.org/officeDocument/2006/relationships/worksheet" Target="/xl/worksheets/sheet2.xml" Id="R2ab53e36f9b84de4" /><Relationship Type="http://schemas.openxmlformats.org/officeDocument/2006/relationships/worksheet" Target="/xl/worksheets/sheet3.xml" Id="R8b9cd9e5fecc40ba" /><Relationship Type="http://schemas.openxmlformats.org/officeDocument/2006/relationships/worksheet" Target="/xl/worksheets/sheet4.xml" Id="Rda52dd41f55b49ff" /></Relationships>
</file>

<file path=xl/tables/table1.xml><?xml version="1.0" encoding="utf-8"?>
<x:table xmlns:x="http://schemas.openxmlformats.org/spreadsheetml/2006/main" id="1" name="CleanGroups" displayName="CleanGroups" ref="A1:X364" headerRowCount="1" totalsRowCount="0" totalsRowShown="0">
  <x:autoFilter ref="A1:X364"/>
  <x:tableColumns count="24">
    <x:tableColumn id="1" name="group_id"/>
    <x:tableColumn id="2" name="source_sheet"/>
    <x:tableColumn id="3" name="source_row"/>
    <x:tableColumn id="4" name="service_no"/>
    <x:tableColumn id="5" name="guest_type"/>
    <x:tableColumn id="6" name="pax_clean"/>
    <x:tableColumn id="7" name="queue_start"/>
    <x:tableColumn id="8" name="queue_end"/>
    <x:tableColumn id="9" name="meal_start_clean"/>
    <x:tableColumn id="10" name="meal_end_clean"/>
    <x:tableColumn id="11" name="table_code"/>
    <x:tableColumn id="12" name="service_status"/>
    <x:tableColumn id="13" name="wait_minutes_recorded"/>
    <x:tableColumn id="14" name="wait_minutes_strict"/>
    <x:tableColumn id="15" name="meal_minutes"/>
    <x:tableColumn id="16" name="queue_observed"/>
    <x:tableColumn id="17" name="walkaway"/>
    <x:tableColumn id="18" name="queue_eligible"/>
    <x:tableColumn id="19" name="meal_eligible"/>
    <x:tableColumn id="20" name="pax_eligible"/>
    <x:tableColumn id="21" name="table_status"/>
    <x:tableColumn id="22" name="table_units_confirmed"/>
    <x:tableColumn id="23" name="needs_review"/>
    <x:tableColumn id="24" name="review_reason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3" name="CleaningReview" displayName="CleaningReview" ref="A1:H129" headerRowCount="1" totalsRowCount="0" totalsRowShown="0">
  <x:autoFilter ref="A1:H129"/>
  <x:tableColumns count="8">
    <x:tableColumn id="1" name="group_id"/>
    <x:tableColumn id="2" name="source_sheet"/>
    <x:tableColumn id="3" name="source_row"/>
    <x:tableColumn id="4" name="field"/>
    <x:tableColumn id="5" name="original_value"/>
    <x:tableColumn id="6" name="issue"/>
    <x:tableColumn id="7" name="action"/>
    <x:tableColumn id="8" name="use_after_cleaning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2" name="RawGroups" displayName="RawGroups" ref="A1:O365" headerRowCount="1" totalsRowCount="0" totalsRowShown="0">
  <x:autoFilter ref="A1:O365"/>
  <x:tableColumns count="15">
    <x:tableColumn id="1" name="group_id"/>
    <x:tableColumn id="2" name="source_sheet"/>
    <x:tableColumn id="3" name="source_row"/>
    <x:tableColumn id="4" name="service_no."/>
    <x:tableColumn id="5" name="pax"/>
    <x:tableColumn id="6" name="queue_start"/>
    <x:tableColumn id="7" name="queue_end"/>
    <x:tableColumn id="8" name="table_no."/>
    <x:tableColumn id="9" name="meal_start"/>
    <x:tableColumn id="10" name="meal_end"/>
    <x:tableColumn id="11" name="Guest_type"/>
    <x:tableColumn id="12" name="extra_I_formula_text"/>
    <x:tableColumn id="13" name="extra_J_formula_text"/>
    <x:tableColumn id="14" name="extra_I_cached"/>
    <x:tableColumn id="15" name="extra_J_cached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6b31147cb4048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ac7fc2379c9496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ac4dddf5cfb4555" /></Relationships>
</file>

<file path=xl/worksheets/sheet1.xml><?xml version="1.0" encoding="utf-8"?>
<x:worksheet xmlns:x="http://schemas.openxmlformats.org/spreadsheetml/2006/main">
  <x:sheetPr>
    <x:tabColor rgb="FF617791"/>
  </x:sheetPr>
  <x:sheetViews>
    <x:sheetView showGridLines="0" workbookViewId="0"/>
  </x:sheetViews>
  <x:sheetFormatPr defaultRowHeight="15"/>
  <x:cols>
    <x:col min="1" max="1" width="38" hidden="0" customWidth="1"/>
    <x:col min="2" max="2" width="38" hidden="0" customWidth="1"/>
    <x:col min="3" max="3" width="95" hidden="0" customWidth="1"/>
  </x:cols>
  <x:sheetData>
    <x:row r="1" ht="12" customHeight="1">
      <x:c r="A1" s="17" t="str"/>
      <x:c r="B1" s="17" t="str"/>
      <x:c r="C1" s="17" t="str"/>
    </x:row>
    <x:row r="2" ht="32" customHeight="1">
      <x:c r="A2" s="18" t="str">
        <x:v>Busy Buffet: Clean Data</x:v>
      </x:c>
      <x:c r="B2" s="17" t="str"/>
      <x:c r="C2" s="17" t="str"/>
    </x:row>
    <x:row r="3" ht="44" customHeight="1">
      <x:c r="A3" s="17" t="str">
        <x:v>เริ่มตรงนี้</x:v>
      </x:c>
      <x:c r="B3" s="17" t="str">
        <x:v>ไฟล์ตัวอย่างพร้อมใช้</x:v>
      </x:c>
      <x:c r="C3" s="17" t="str">
        <x:v>หนึ่งแถวใน Clean_Data = หนึ่งกลุ่มลูกค้า ไม่ใช่หนึ่งคน</x:v>
      </x:c>
    </x:row>
    <x:row r="4" ht="68" customHeight="1">
      <x:c r="A4" s="17" t="str">
        <x:v>แหล่งข้อมูล</x:v>
      </x:c>
      <x:c r="B4" s="17" t="str">
        <x:v>2026 Data Test1 Final - Busy Buffet Dataset.xlsx</x:v>
      </x:c>
      <x:c r="C4" s="17" t="str">
        <x:v>5 ชีตต้นฉบับ: 133, 143, 153, 173, 183; ยังไม่ยืนยันวันที่/ปี</x:v>
      </x:c>
    </x:row>
    <x:row r="5" ht="44" customHeight="1">
      <x:c r="A5" s="17" t="str">
        <x:v>ขอบเขต</x:v>
      </x:c>
      <x:c r="B5" s="17" t="str">
        <x:v>สำเนาข้อมูล ณ การสร้างไฟล์</x:v>
      </x:c>
      <x:c r="C5" s="17" t="str">
        <x:v>ต้นฉบับไม่ได้ถูกแก้ไข; แก้ Raw_Data แล้ว Clean_Data จะไม่ทำความสะอาดใหม่อัตโนมัติ</x:v>
      </x:c>
    </x:row>
    <x:row r="6" ht="12" customHeight="1">
      <x:c r="A6" s="17" t="str"/>
      <x:c r="B6" s="17" t="str"/>
      <x:c r="C6" s="17" t="str"/>
    </x:row>
    <x:row r="7" ht="44" customHeight="1">
      <x:c r="A7" s="20" t="str">
        <x:v>สิ่งที่ตรวจ</x:v>
      </x:c>
      <x:c r="B7" s="20" t="str">
        <x:v>จำนวนกลุ่ม</x:v>
      </x:c>
      <x:c r="C7" s="20" t="str">
        <x:v>ความหมาย / วิธีใช้</x:v>
      </x:c>
    </x:row>
    <x:row r="8" ht="44" customHeight="1">
      <x:c r="A8" s="17" t="str">
        <x:v>แถวดิบ</x:v>
      </x:c>
      <x:c r="B8" s="23" t="n">
        <x:f>COUNTA(Raw_Data!A2:A365)</x:f>
        <x:v>364</x:v>
      </x:c>
      <x:c r="C8" s="17" t="str">
        <x:v>เก็บครบใน Raw_Data รวมแถวไม่มีข้อมูลกิจกรรม 1 แถว</x:v>
      </x:c>
    </x:row>
    <x:row r="9" ht="44" customHeight="1">
      <x:c r="A9" s="17" t="str">
        <x:v>ข้อมูลพร้อมใช้</x:v>
      </x:c>
      <x:c r="B9" s="23" t="n">
        <x:f>COUNTA(Clean_Data!A2:A364)</x:f>
        <x:v>363</x:v>
      </x:c>
      <x:c r="C9" s="17" t="str">
        <x:v>Clean_Data เก็บเฉพาะกลุ่มที่มีหลักฐานเวลาใช้บริการ</x:v>
      </x:c>
    </x:row>
    <x:row r="10" ht="44" customHeight="1">
      <x:c r="A10" s="17" t="str">
        <x:v>มีคิวบันทึกครบคู่</x:v>
      </x:c>
      <x:c r="B10" s="23" t="n">
        <x:f>SUM(Clean_Data!P2:P364)</x:f>
        <x:v>73</x:v>
      </x:c>
      <x:c r="C10" s="17" t="str">
        <x:v>queue_observed = 1; ยังรวมกลุ่ม 153_67 ที่ลำดับเวลาขัดกัน</x:v>
      </x:c>
    </x:row>
    <x:row r="11" ht="44" customHeight="1">
      <x:c r="A11" s="17" t="str">
        <x:v>เวลารอผ่านเกณฑ์เข้มงวด</x:v>
      </x:c>
      <x:c r="B11" s="23" t="n">
        <x:f>SUM(Clean_Data!R2:R364)</x:f>
        <x:v>72</x:v>
      </x:c>
      <x:c r="C11" s="17" t="str">
        <x:v>queue_eligible = 1; ใช้ wait_minutes_strict เป็นคอลัมน์หลัก</x:v>
      </x:c>
    </x:row>
    <x:row r="12" ht="44" customHeight="1">
      <x:c r="A12" s="17" t="str">
        <x:v>เวลานั่งผ่านเกณฑ์</x:v>
      </x:c>
      <x:c r="B12" s="23" t="n">
        <x:f>SUM(Clean_Data!S2:S364)</x:f>
        <x:v>346</x:v>
      </x:c>
      <x:c r="C12" s="17" t="str">
        <x:v>meal_eligible = 1; ใช้ meal_minutes; 3 รายการพักใช้และ 14 กลุ่ม Walk-away</x:v>
      </x:c>
    </x:row>
    <x:row r="13" ht="44" customHeight="1">
      <x:c r="A13" s="17" t="str">
        <x:v>Walk-away</x:v>
      </x:c>
      <x:c r="B13" s="23" t="n">
        <x:f>SUM(Clean_Data!Q2:Q364)</x:f>
        <x:v>14</x:v>
      </x:c>
      <x:c r="C13" s="17" t="str">
        <x:v>มีคิว แต่ไม่มีเวลาอาหารเดิมทั้งสองช่อง; ไม่ใช่ดูจากเวลา clean ที่อาจถูกเว้น</x:v>
      </x:c>
    </x:row>
    <x:row r="14" ht="44" customHeight="1">
      <x:c r="A14" s="17" t="str">
        <x:v>จำนวนคนที่ใช้ได้ (จำนวนกลุ่ม)</x:v>
      </x:c>
      <x:c r="B14" s="23" t="n">
        <x:f>SUM(Clean_Data!T2:T364)</x:f>
        <x:v>356</x:v>
      </x:c>
      <x:c r="C14" s="17" t="str">
        <x:v>pax_eligible = 1; 7 กลุ่มใน Clean_Data มี pax_clean ว่าง</x:v>
      </x:c>
    </x:row>
    <x:row r="15" ht="44" customHeight="1">
      <x:c r="A15" s="17" t="str">
        <x:v>แถวที่ยังมีบางช่องต้องยืนยัน</x:v>
      </x:c>
      <x:c r="B15" s="23" t="n">
        <x:f>SUM(Clean_Data!W2:W364)</x:f>
        <x:v>127</x:v>
      </x:c>
      <x:c r="C15" s="17" t="str">
        <x:v>needs_review = 1 ไม่ได้แปลว่าทั้งแถวใช้ไม่ได้; ดู review_reason</x:v>
      </x:c>
    </x:row>
    <x:row r="16" ht="12" customHeight="1">
      <x:c r="A16" s="17" t="str"/>
      <x:c r="B16" s="17" t="str"/>
      <x:c r="C16" s="17" t="str"/>
    </x:row>
    <x:row r="17" ht="44" customHeight="1">
      <x:c r="A17" s="20" t="str">
        <x:v>วิธีใช้ไฟล์</x:v>
      </x:c>
      <x:c r="B17" s="20" t="str">
        <x:v>ทำตามลำดับ</x:v>
      </x:c>
      <x:c r="C17" s="20" t="str">
        <x:v>รายละเอียด</x:v>
      </x:c>
    </x:row>
    <x:row r="18" ht="44" customHeight="1">
      <x:c r="A18" s="17" t="str">
        <x:v>1</x:v>
      </x:c>
      <x:c r="B18" s="17" t="str">
        <x:v>เปิด Clean_Data</x:v>
      </x:c>
      <x:c r="C18" s="17" t="str">
        <x:v>หัวตารางอยู่แถว 1; กดลูกศรหัวคอลัมน์เพื่อกรอง</x:v>
      </x:c>
    </x:row>
    <x:row r="19" ht="44" customHeight="1">
      <x:c r="A19" s="17" t="str">
        <x:v>2</x:v>
      </x:c>
      <x:c r="B19" s="17" t="str">
        <x:v>ต้องการหาเวลารอ</x:v>
      </x:c>
      <x:c r="C19" s="17" t="str">
        <x:v>กรอง queue_eligible = 1 แล้วใช้ wait_minutes_strict; จะเหลือ 72 กลุ่ม</x:v>
      </x:c>
    </x:row>
    <x:row r="20" ht="44" customHeight="1">
      <x:c r="A20" s="17" t="str">
        <x:v>3</x:v>
      </x:c>
      <x:c r="B20" s="17" t="str">
        <x:v>ต้องการหาเวลานั่ง</x:v>
      </x:c>
      <x:c r="C20" s="17" t="str">
        <x:v>กรอง meal_eligible = 1 แล้วใช้ meal_minutes; จะเหลือ 346 กลุ่ม</x:v>
      </x:c>
    </x:row>
    <x:row r="21" ht="44" customHeight="1">
      <x:c r="A21" s="17" t="str">
        <x:v>4</x:v>
      </x:c>
      <x:c r="B21" s="17" t="str">
        <x:v>ต้องการนับ Walk-away</x:v>
      </x:c>
      <x:c r="C21" s="17" t="str">
        <x:v>กรอง walkaway = 1; จะเหลือ 14 กลุ่ม ห้ามลบทิ้งก่อนหาอัตราออกจากคิว</x:v>
      </x:c>
    </x:row>
    <x:row r="22" ht="44" customHeight="1">
      <x:c r="A22" s="17" t="str">
        <x:v>5</x:v>
      </x:c>
      <x:c r="B22" s="17" t="str">
        <x:v>ต้องการรวมจำนวนคน</x:v>
      </x:c>
      <x:c r="C22" s="17" t="str">
        <x:v>กรอง pax_eligible = 1 แล้วรวม pax_clean; ระบุว่าเป็นจำนวนคนเฉพาะกลุ่มที่จำนวนคนถูกต้อง</x:v>
      </x:c>
    </x:row>
    <x:row r="23" ht="44" customHeight="1">
      <x:c r="A23" s="17" t="str">
        <x:v>6</x:v>
      </x:c>
      <x:c r="B23" s="17" t="str">
        <x:v>ต้องการตรวจค่าเดิม</x:v>
      </x:c>
      <x:c r="C23" s="17" t="str">
        <x:v>ค้น group_id เดียวกันใน Raw_Data และ Review_Log; source_row คือเลขแถวต้นฉบับ</x:v>
      </x:c>
    </x:row>
    <x:row r="24" ht="44" customHeight="1">
      <x:c r="A24" s="17" t="str">
        <x:v>7</x:v>
      </x:c>
      <x:c r="B24" s="17" t="str">
        <x:v>ต้องการวิเคราะห์โต๊ะ</x:v>
      </x:c>
      <x:c r="C24" s="17" t="str">
        <x:v>ดู table_status; documented คือแปลงรหัสตามคู่มือได้ ไม่ยืนยันว่าข้อมูลใช้งานโต๊ะไม่ทับกัน</x:v>
      </x:c>
    </x:row>
    <x:row r="25" ht="12" customHeight="1">
      <x:c r="A25" s="17" t="str"/>
      <x:c r="B25" s="17" t="str"/>
      <x:c r="C25" s="17" t="str"/>
    </x:row>
    <x:row r="26" ht="44" customHeight="1">
      <x:c r="A26" s="20" t="str">
        <x:v>ตัวอย่างก่อนและหลัง</x:v>
      </x:c>
      <x:c r="B26" s="20" t="str">
        <x:v>ค่าที่เปลี่ยน</x:v>
      </x:c>
      <x:c r="C26" s="20" t="str">
        <x:v>เหตุผล</x:v>
      </x:c>
    </x:row>
    <x:row r="27" ht="44" customHeight="1">
      <x:c r="A27" s="17" t="str">
        <x:v>153_7</x:v>
      </x:c>
      <x:c r="B27" s="17" t="str">
        <x:v>pax: 0 เป็นว่าง</x:v>
      </x:c>
      <x:c r="C27" s="17" t="str">
        <x:v>ไม่มีทางรู้จำนวนคนจริงจากศูนย์; ยังใช้เวลานั่ง 165 นาทีได้</x:v>
      </x:c>
    </x:row>
    <x:row r="28" ht="44" customHeight="1">
      <x:c r="A28" s="17" t="str">
        <x:v>153_28</x:v>
      </x:c>
      <x:c r="B28" s="17" t="str">
        <x:v>pax: 0 เป็นว่าง</x:v>
      </x:c>
      <x:c r="C28" s="17" t="str">
        <x:v>ยังคง walkaway = 1 และเวลารอ 48 นาที เพราะมีคู่เวลาคิว</x:v>
      </x:c>
    </x:row>
    <x:row r="29" ht="44" customHeight="1">
      <x:c r="A29" s="17" t="str">
        <x:v>153_67</x:v>
      </x:c>
      <x:c r="B29" s="17" t="str">
        <x:v>เวลารอ strict / เวลานั่งว่าง</x:v>
      </x:c>
      <x:c r="C29" s="17" t="str">
        <x:v>เริ่มกิน 10:06 ก่อนเข้าคิว 10:15; เก็บเวลารอจากคู่คิว 51 นาทีไว้ใน recorded</x:v>
      </x:c>
    </x:row>
    <x:row r="30" ht="44" customHeight="1">
      <x:c r="A30" s="17" t="str">
        <x:v>183_5</x:v>
      </x:c>
      <x:c r="B30" s="17" t="str">
        <x:v>เวลานั่งว่าง</x:v>
      </x:c>
      <x:c r="C30" s="17" t="str">
        <x:v>02:29 ถึง 07:50 = 321 นาที; พักใช้รอยืนยัน ไม่แก้เป็น 07:29 เอง</x:v>
      </x:c>
    </x:row>
    <x:row r="31" ht="44" customHeight="1">
      <x:c r="A31" s="17" t="str">
        <x:v>183_62</x:v>
      </x:c>
      <x:c r="B31" s="17" t="str">
        <x:v>เวลานั่งว่าง</x:v>
      </x:c>
      <x:c r="C31" s="17" t="str">
        <x:v>11:53 ถึง 11:28 = -25 นาที; ไม่ใช้ค่าสัมบูรณ์และไม่สลับเวลาเอง</x:v>
      </x:c>
    </x:row>
    <x:row r="32" ht="44" customHeight="1">
      <x:c r="A32" s="17" t="str">
        <x:v>173_70</x:v>
      </x:c>
      <x:c r="B32" s="17" t="str">
        <x:v>แยกจาก Clean_Data</x:v>
      </x:c>
      <x:c r="C32" s="17" t="str">
        <x:v>ไม่มีเวลาคิวหรือเวลาอาหาร; เก็บใน Raw_Data ไม่จัดเป็น Walk-away</x:v>
      </x:c>
    </x:row>
    <x:row r="33" ht="44" customHeight="1">
      <x:c r="A33" s="17" t="str">
        <x:v>โต๊ะ 99</x:v>
      </x:c>
      <x:c r="B33" s="17" t="str">
        <x:v>queue_area_99</x:v>
      </x:c>
      <x:c r="C33" s="17" t="str">
        <x:v>กินในบริเวณคิว; นับว่ามีมื้ออาหาร แต่ไม่ใช่โต๊ะปกติ</x:v>
      </x:c>
    </x:row>
    <x:row r="34" ht="12" customHeight="1">
      <x:c r="A34" s="17" t="str"/>
      <x:c r="B34" s="17" t="str"/>
      <x:c r="C34" s="17" t="str"/>
    </x:row>
    <x:row r="35" ht="44" customHeight="1">
      <x:c r="A35" s="20" t="str">
        <x:v>กติกาที่ต้องจำ</x:v>
      </x:c>
      <x:c r="B35" s="20" t="str">
        <x:v>การตัดสินใจ</x:v>
      </x:c>
      <x:c r="C35" s="20" t="str">
        <x:v>สิ่งที่ไม่ควรตีความเกินข้อมูล</x:v>
      </x:c>
    </x:row>
    <x:row r="36" ht="44" customHeight="1">
      <x:c r="A36" s="17" t="str">
        <x:v>ช่องว่าง</x:v>
      </x:c>
      <x:c r="B36" s="17" t="str">
        <x:v>ไม่แทนด้วยศูนย์ทุกช่อง</x:v>
      </x:c>
      <x:c r="C36" s="17" t="str">
        <x:v>คิวว่าง + มีอาหารเดิม = ไม่ได้รอ ตามคู่มือ; เวลานั่ง clean ว่างอาจเกิดจากข้อมูลถูกพักใช้</x:v>
      </x:c>
    </x:row>
    <x:row r="37" ht="44" customHeight="1">
      <x:c r="A37" s="17" t="str">
        <x:v>ช่วงเวลาเช้ามาก</x:v>
      </x:c>
      <x:c r="B37" s="17" t="str">
        <x:v>ก่อน 06:00 ให้ทบทวน</x:v>
      </x:c>
      <x:c r="C37" s="17" t="str">
        <x:v>06:00 เป็นสมมติฐานคัดกรอง ไม่ใช่เวลาเปิดที่โจทย์ยืนยัน</x:v>
      </x:c>
    </x:row>
    <x:row r="38" ht="44" customHeight="1">
      <x:c r="A38" s="17" t="str">
        <x:v>เวลารอ 2 แบบ</x:v>
      </x:c>
      <x:c r="B38" s="17" t="str">
        <x:v>recorded และ strict</x:v>
      </x:c>
      <x:c r="C38" s="17" t="str">
        <x:v>recorded = ลบคู่เวลาคิว; strict = ตัดรายการคิว/อาหารขัดกัน เพิ่มอีก 1 กลุ่ม</x:v>
      </x:c>
    </x:row>
    <x:row r="39" ht="44" customHeight="1">
      <x:c r="A39" s="17" t="str">
        <x:v>จำนวนคน</x:v>
      </x:c>
      <x:c r="B39" s="17" t="str">
        <x:v>ไม่เติมค่าเฉลี่ยหรือเลข 1</x:v>
      </x:c>
      <x:c r="C39" s="17" t="str">
        <x:v>pax หาย/ศูนย์ยังใช้วิเคราะห์ระดับกลุ่มได้ อย่าลบทั้งแถว</x:v>
      </x:c>
    </x:row>
    <x:row r="40" ht="44" customHeight="1">
      <x:c r="A40" s="17" t="str">
        <x:v>กลุ่มกับโต๊ะ</x:v>
      </x:c>
      <x:c r="B40" s="17" t="str">
        <x:v>ไม่ขยาย Clean_Data ตามจำนวนโต๊ะ</x:v>
      </x:c>
      <x:c r="C40" s="17" t="str">
        <x:v>13-14 ใช้ 2 โต๊ะ แต่ยังมีลูกค้าเพียง 1 กลุ่ม</x:v>
      </x:c>
    </x:row>
    <x:row r="41" ht="44" customHeight="1">
      <x:c r="A41" s="17" t="str">
        <x:v>รหัสโต๊ะ</x:v>
      </x:c>
      <x:c r="B41" s="17" t="str">
        <x:v>เก็บรหัสเดิมที่ทำรูปแบบให้สม่ำเสมอ</x:v>
      </x:c>
      <x:c r="C41" s="17" t="str">
        <x:v>เลขแม่ 1-11, 16, 15A, 15B และ / ต้องยืนยันก่อนคำนวณความจุ</x:v>
      </x:c>
    </x:row>
    <x:row r="42" ht="44" customHeight="1">
      <x:c r="A42" s="17" t="str">
        <x:v>คอลัมน์เสริมชีต 183</x:v>
      </x:c>
      <x:c r="B42" s="17" t="str">
        <x:v>ไม่ใช้เป็นฐานคำนวณ</x:v>
      </x:c>
      <x:c r="C42" s="17" t="str">
        <x:v>Raw_Data เก็บสูตรเดิมเป็นข้อความและ cached values; สูตรเวลาทำใหม่จาก 8 คอลัมน์หลัก</x:v>
      </x:c>
    </x:row>
    <x:row r="43" ht="44" customHeight="1">
      <x:c r="A43" s="17" t="str">
        <x:v>การแก้ข้อมูลภายหลัง</x:v>
      </x:c>
      <x:c r="B43" s="17" t="str">
        <x:v>ไฟล์นี้เป็น snapshot</x:v>
      </x:c>
      <x:c r="C43" s="17" t="str">
        <x:v>M:O คำนวณจากเวลาที่ clean แล้ว; กติกาและ flags ไม่รันใหม่เมื่อแก้ค่า ต้องสร้าง snapshot ใหม่</x:v>
      </x:c>
    </x:row>
    <x:row r="44" ht="44" customHeight="1">
      <x:c r="A44" s="17" t="str">
        <x:v>การใช้กับแอปเดิม</x:v>
      </x:c>
      <x:c r="B44" s="17" t="str">
        <x:v>อย่าแทน dataset.xlsx ทันที</x:v>
      </x:c>
      <x:c r="C44" s="17" t="str">
        <x:v>แอปเดิมอ่าน 5 ชีตดิบ; ให้ปรับไปอ่านเฉพาะ Clean_Data หรือ CSV และใช้คอลัมน์ใหม่</x:v>
      </x:c>
    </x:row>
    <x:row r="45" ht="12" customHeight="1">
      <x:c r="A45" s="17" t="str"/>
      <x:c r="B45" s="17" t="str"/>
      <x:c r="C45" s="17" t="str"/>
    </x:row>
    <x:row r="46" ht="44" customHeight="1">
      <x:c r="A46" s="20" t="str">
        <x:v>ชื่อคอลัมน์ใน Clean_Data</x:v>
      </x:c>
      <x:c r="B46" s="20" t="str">
        <x:v>ความหมาย</x:v>
      </x:c>
      <x:c r="C46" s="20" t="str">
        <x:v>วิธีใช้ / หน่วย</x:v>
      </x:c>
    </x:row>
    <x:row r="47" ht="44" customHeight="1">
      <x:c r="A47" s="17" t="str">
        <x:v>group_id</x:v>
      </x:c>
      <x:c r="B47" s="17" t="str">
        <x:v>รหัสกลุ่มไม่ซ้ำ</x:v>
      </x:c>
      <x:c r="C47" s="17" t="str">
        <x:v>ชื่อชีต + service_no เช่น 153_28; ใช้ค้นกลับทุกชีต</x:v>
      </x:c>
    </x:row>
    <x:row r="48" ht="44" customHeight="1">
      <x:c r="A48" s="17" t="str">
        <x:v>source_sheet</x:v>
      </x:c>
      <x:c r="B48" s="17" t="str">
        <x:v>ชีตต้นฉบับ</x:v>
      </x:c>
      <x:c r="C48" s="17" t="str">
        <x:v>รหัสข้อความ ไม่ใช่วันที่ที่ยืนยันแล้ว</x:v>
      </x:c>
    </x:row>
    <x:row r="49" ht="44" customHeight="1">
      <x:c r="A49" s="17" t="str">
        <x:v>source_row</x:v>
      </x:c>
      <x:c r="B49" s="17" t="str">
        <x:v>แถวต้นฉบับ</x:v>
      </x:c>
      <x:c r="C49" s="17" t="str">
        <x:v>เลขแถวในไฟล์ Excel เดิม รวมแถวหัวตาราง</x:v>
      </x:c>
    </x:row>
    <x:row r="50" ht="44" customHeight="1">
      <x:c r="A50" s="17" t="str">
        <x:v>service_no</x:v>
      </x:c>
      <x:c r="B50" s="17" t="str">
        <x:v>หมายเลขกลุ่มในวันนั้น</x:v>
      </x:c>
      <x:c r="C50" s="17" t="str">
        <x:v>ห้ามใช้เดี่ยว ๆ เพื่อลบข้อมูลซ้ำข้ามวัน</x:v>
      </x:c>
    </x:row>
    <x:row r="51" ht="44" customHeight="1">
      <x:c r="A51" s="17" t="str">
        <x:v>guest_type</x:v>
      </x:c>
      <x:c r="B51" s="17" t="str">
        <x:v>ประเภทลูกค้า</x:v>
      </x:c>
      <x:c r="C51" s="17" t="str">
        <x:v>In house = แขกโรงแรม; Walk in = ลูกค้าภายนอก</x:v>
      </x:c>
    </x:row>
    <x:row r="52" ht="44" customHeight="1">
      <x:c r="A52" s="17" t="str">
        <x:v>pax_clean</x:v>
      </x:c>
      <x:c r="B52" s="17" t="str">
        <x:v>จำนวนคนที่ผ่านเกณฑ์</x:v>
      </x:c>
      <x:c r="C52" s="17" t="str">
        <x:v>เลขจำนวนเต็มบวก; ว่างเมื่อค่าเดิมเป็นศูนย์หรือหาย</x:v>
      </x:c>
    </x:row>
    <x:row r="53" ht="44" customHeight="1">
      <x:c r="A53" s="17" t="str">
        <x:v>queue_start</x:v>
      </x:c>
      <x:c r="B53" s="17" t="str">
        <x:v>เวลาเริ่มคิวเดิม</x:v>
      </x:c>
      <x:c r="C53" s="17" t="str">
        <x:v>ชนิดเวลา Excel; คู่คิวยังเก็บไว้แม้ strict ไม่ผ่าน</x:v>
      </x:c>
    </x:row>
    <x:row r="54" ht="44" customHeight="1">
      <x:c r="A54" s="17" t="str">
        <x:v>queue_end</x:v>
      </x:c>
      <x:c r="B54" s="17" t="str">
        <x:v>เวลาจบคิวเดิม</x:v>
      </x:c>
      <x:c r="C54" s="17" t="str">
        <x:v>อาจได้กินหรือออกจากคิว ต้องดู service_status</x:v>
      </x:c>
    </x:row>
    <x:row r="55" ht="44" customHeight="1">
      <x:c r="A55" s="17" t="str">
        <x:v>meal_start_clean</x:v>
      </x:c>
      <x:c r="B55" s="17" t="str">
        <x:v>เวลาเริ่มกินที่ผ่านเกณฑ์</x:v>
      </x:c>
      <x:c r="C55" s="17" t="str">
        <x:v>เว้นทั้งคู่เมื่อเวลาอาหารผิดปกติหรือขัดกับคิว</x:v>
      </x:c>
    </x:row>
    <x:row r="56" ht="44" customHeight="1">
      <x:c r="A56" s="17" t="str">
        <x:v>meal_end_clean</x:v>
      </x:c>
      <x:c r="B56" s="17" t="str">
        <x:v>เวลาจบกินที่ผ่านเกณฑ์</x:v>
      </x:c>
      <x:c r="C56" s="17" t="str">
        <x:v>ค่าเดิมทุกกรณีตรวจได้ที่ Raw_Data</x:v>
      </x:c>
    </x:row>
    <x:row r="57" ht="44" customHeight="1">
      <x:c r="A57" s="17" t="str">
        <x:v>table_code</x:v>
      </x:c>
      <x:c r="B57" s="17" t="str">
        <x:v>รหัสโต๊ะ</x:v>
      </x:c>
      <x:c r="C57" s="17" t="str">
        <x:v>เก็บตัวอักษร/เครื่องหมาย เช่น 7A, 13-14, 99</x:v>
      </x:c>
    </x:row>
    <x:row r="58" ht="44" customHeight="1">
      <x:c r="A58" s="17" t="str">
        <x:v>service_status</x:v>
      </x:c>
      <x:c r="B58" s="17" t="str">
        <x:v>สถานะจากข้อมูลเดิม</x:v>
      </x:c>
      <x:c r="C58" s="17" t="str">
        <x:v>direct_meal / queued_meal / walk_away; ไม่คำนวณใหม่จากเวลาที่พักใช้</x:v>
      </x:c>
    </x:row>
    <x:row r="59" ht="44" customHeight="1">
      <x:c r="A59" s="17" t="str">
        <x:v>wait_minutes_recorded</x:v>
      </x:c>
      <x:c r="B59" s="17" t="str">
        <x:v>นาทีรอจากคู่คิว</x:v>
      </x:c>
      <x:c r="C59" s="17" t="str">
        <x:v>73 กลุ่ม; เก็บไว้ตรวจความไวของข้อสรุป</x:v>
      </x:c>
    </x:row>
    <x:row r="60" ht="44" customHeight="1">
      <x:c r="A60" s="17" t="str">
        <x:v>wait_minutes_strict</x:v>
      </x:c>
      <x:c r="B60" s="17" t="str">
        <x:v>นาทีรอที่ผ่านเกณฑ์เข้มงวด</x:v>
      </x:c>
      <x:c r="C60" s="17" t="str">
        <x:v>72 กลุ่ม; คอลัมน์แนะนำสำหรับวิเคราะห์เวลารอหลัก</x:v>
      </x:c>
    </x:row>
    <x:row r="61" ht="44" customHeight="1">
      <x:c r="A61" s="17" t="str">
        <x:v>meal_minutes</x:v>
      </x:c>
      <x:c r="B61" s="17" t="str">
        <x:v>นาทีที่นั่งกิน</x:v>
      </x:c>
      <x:c r="C61" s="17" t="str">
        <x:v>346 กลุ่ม; ว่างเมื่อไม่ได้กินหรือเวลาไม่ผ่านเกณฑ์</x:v>
      </x:c>
    </x:row>
    <x:row r="62" ht="44" customHeight="1">
      <x:c r="A62" s="17" t="str">
        <x:v>queue_observed</x:v>
      </x:c>
      <x:c r="B62" s="17" t="str">
        <x:v>มีบันทึกคิวครบคู่หรือไม่</x:v>
      </x:c>
      <x:c r="C62" s="17" t="str">
        <x:v>1 = มี, 0 = ไม่มี; ใช้นับผู้เข้าคิวเพื่อหา Walk-away rate</x:v>
      </x:c>
    </x:row>
    <x:row r="63" ht="44" customHeight="1">
      <x:c r="A63" s="17" t="str">
        <x:v>walkaway</x:v>
      </x:c>
      <x:c r="B63" s="17" t="str">
        <x:v>ออกจากคิวโดยไม่มีมื้ออาหาร</x:v>
      </x:c>
      <x:c r="C63" s="17" t="str">
        <x:v>1 = ใช่, 0 = ไม่ใช่; จำนวน 14 กลุ่ม</x:v>
      </x:c>
    </x:row>
    <x:row r="64" ht="44" customHeight="1">
      <x:c r="A64" s="17" t="str">
        <x:v>queue_eligible</x:v>
      </x:c>
      <x:c r="B64" s="17" t="str">
        <x:v>เวลารอใช้ในชุดหลักได้หรือไม่</x:v>
      </x:c>
      <x:c r="C64" s="17" t="str">
        <x:v>1 = ใช้ได้; อย่าสับสนกับ queue_observed</x:v>
      </x:c>
    </x:row>
    <x:row r="65" ht="44" customHeight="1">
      <x:c r="A65" s="17" t="str">
        <x:v>meal_eligible</x:v>
      </x:c>
      <x:c r="B65" s="17" t="str">
        <x:v>เวลานั่งใช้ในชุดหลักได้หรือไม่</x:v>
      </x:c>
      <x:c r="C65" s="17" t="str">
        <x:v>1 = ใช้ได้; 0 ไม่ได้แปลว่าไม่ได้กินเสมอไป</x:v>
      </x:c>
    </x:row>
    <x:row r="66" ht="44" customHeight="1">
      <x:c r="A66" s="17" t="str">
        <x:v>pax_eligible</x:v>
      </x:c>
      <x:c r="B66" s="17" t="str">
        <x:v>จำนวนคนใช้ได้หรือไม่</x:v>
      </x:c>
      <x:c r="C66" s="17" t="str">
        <x:v>1 = ใช้ได้; นับจำนวนคนจาก pax_clean</x:v>
      </x:c>
    </x:row>
    <x:row r="67" ht="44" customHeight="1">
      <x:c r="A67" s="17" t="str">
        <x:v>table_status</x:v>
      </x:c>
      <x:c r="B67" s="17" t="str">
        <x:v>สถานะการอ่านรหัสโต๊ะ</x:v>
      </x:c>
      <x:c r="C67" s="17" t="str">
        <x:v>documented / needs_mapping / slash_needs_confirmation / queue_area_99 / no_table</x:v>
      </x:c>
    </x:row>
    <x:row r="68" ht="44" customHeight="1">
      <x:c r="A68" s="17" t="str">
        <x:v>table_units_confirmed</x:v>
      </x:c>
      <x:c r="B68" s="17" t="str">
        <x:v>หน่วยโต๊ะตามคู่มือ</x:v>
      </x:c>
      <x:c r="C68" s="17" t="str">
        <x:v>เช่น 13 | 14; ว่างถ้ารหัสไม่ชัด ไม่ใช่ค่าความจุที่ยืนยันแล้ว</x:v>
      </x:c>
    </x:row>
    <x:row r="69" ht="44" customHeight="1">
      <x:c r="A69" s="17" t="str">
        <x:v>needs_review</x:v>
      </x:c>
      <x:c r="B69" s="17" t="str">
        <x:v>มีช่องที่ยังต้องยืนยัน</x:v>
      </x:c>
      <x:c r="C69" s="17" t="str">
        <x:v>1 = มีเรื่องต้องตรวจ; ไม่ใช้เป็นตัวกรองลบทิ้งทุกการวิเคราะห์</x:v>
      </x:c>
    </x:row>
    <x:row r="70" ht="44" customHeight="1">
      <x:c r="A70" s="17" t="str">
        <x:v>review_reason</x:v>
      </x:c>
      <x:c r="B70" s="17" t="str">
        <x:v>เหตุผลที่ต้องตรวจ</x:v>
      </x:c>
      <x:c r="C70" s="17" t="str">
        <x:v>ภาษาไทย; ดูรายละเอียดการตัดสินใจใน Review_Log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0344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20" hidden="0" customWidth="1"/>
    <x:col min="6" max="6" width="15" hidden="0" customWidth="1"/>
    <x:col min="7" max="7" width="20" hidden="0" customWidth="1"/>
    <x:col min="8" max="8" width="20" hidden="0" customWidth="1"/>
    <x:col min="9" max="9" width="24" hidden="0" customWidth="1"/>
    <x:col min="10" max="10" width="24" hidden="0" customWidth="1"/>
    <x:col min="11" max="11" width="20" hidden="0" customWidth="1"/>
    <x:col min="12" max="12" width="20" hidden="0" customWidth="1"/>
    <x:col min="13" max="13" width="28" hidden="0" customWidth="1"/>
    <x:col min="14" max="14" width="26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9" hidden="0" customWidth="1"/>
    <x:col min="22" max="22" width="29" hidden="0" customWidth="1"/>
    <x:col min="23" max="23" width="20" hidden="0" customWidth="1"/>
    <x:col min="24" max="24" width="75" hidden="0" customWidth="1"/>
  </x:cols>
  <x:sheetData>
    <x:row r="1" ht="44" customHeight="1">
      <x:c r="A1" s="6" t="str">
        <x:v>group_id</x:v>
      </x:c>
      <x:c r="B1" s="6" t="str">
        <x:v>source_sheet</x:v>
      </x:c>
      <x:c r="C1" s="6" t="str">
        <x:v>source_row</x:v>
      </x:c>
      <x:c r="D1" s="6" t="str">
        <x:v>service_no</x:v>
      </x:c>
      <x:c r="E1" s="6" t="str">
        <x:v>guest_type</x:v>
      </x:c>
      <x:c r="F1" s="6" t="str">
        <x:v>pax_clean</x:v>
      </x:c>
      <x:c r="G1" s="6" t="str">
        <x:v>queue_start</x:v>
      </x:c>
      <x:c r="H1" s="6" t="str">
        <x:v>queue_end</x:v>
      </x:c>
      <x:c r="I1" s="6" t="str">
        <x:v>meal_start_clean</x:v>
      </x:c>
      <x:c r="J1" s="6" t="str">
        <x:v>meal_end_clean</x:v>
      </x:c>
      <x:c r="K1" s="6" t="str">
        <x:v>table_code</x:v>
      </x:c>
      <x:c r="L1" s="6" t="str">
        <x:v>service_status</x:v>
      </x:c>
      <x:c r="M1" s="6" t="str">
        <x:v>wait_minutes_recorded</x:v>
      </x:c>
      <x:c r="N1" s="6" t="str">
        <x:v>wait_minutes_strict</x:v>
      </x:c>
      <x:c r="O1" s="6" t="str">
        <x:v>meal_minutes</x:v>
      </x:c>
      <x:c r="P1" s="6" t="str">
        <x:v>queue_observed</x:v>
      </x:c>
      <x:c r="Q1" s="6" t="str">
        <x:v>walkaway</x:v>
      </x:c>
      <x:c r="R1" s="6" t="str">
        <x:v>queue_eligible</x:v>
      </x:c>
      <x:c r="S1" s="6" t="str">
        <x:v>meal_eligible</x:v>
      </x:c>
      <x:c r="T1" s="6" t="str">
        <x:v>pax_eligible</x:v>
      </x:c>
      <x:c r="U1" s="6" t="str">
        <x:v>table_status</x:v>
      </x:c>
      <x:c r="V1" s="6" t="str">
        <x:v>table_units_confirmed</x:v>
      </x:c>
      <x:c r="W1" s="6" t="str">
        <x:v>needs_review</x:v>
      </x:c>
      <x:c r="X1" s="6" t="str">
        <x:v>review_reason</x:v>
      </x:c>
    </x:row>
    <x:row r="2" ht="24" customHeight="1">
      <x:c r="A2" s="2" t="str">
        <x:v>133_1</x:v>
      </x:c>
      <x:c r="B2" s="10" t="str">
        <x:v>133</x:v>
      </x:c>
      <x:c r="C2" s="11" t="n">
        <x:v>2</x:v>
      </x:c>
      <x:c r="D2" s="11" t="n">
        <x:v>1</x:v>
      </x:c>
      <x:c r="E2" s="2" t="str">
        <x:v>In house</x:v>
      </x:c>
      <x:c r="F2" s="11" t="n">
        <x:v>1</x:v>
      </x:c>
      <x:c r="G2" s="12"/>
      <x:c r="H2" s="12"/>
      <x:c r="I2" s="12" t="n">
        <x:v>0.2791666666666667</x:v>
      </x:c>
      <x:c r="J2" s="12" t="n">
        <x:v>0.2916666666666667</x:v>
      </x:c>
      <x:c r="K2" s="10" t="str">
        <x:v>6</x:v>
      </x:c>
      <x:c r="L2" s="2" t="str">
        <x:v>direct_meal</x:v>
      </x:c>
      <x:c r="M2" s="8" t="str">
        <x:f>IF(P2=1,ROUND((H2-G2)*1440,6),"")</x:f>
      </x:c>
      <x:c r="N2" s="8" t="str">
        <x:f>IF(R2=1,M2,"")</x:f>
      </x:c>
      <x:c r="O2" s="8" t="n">
        <x:f>IF(S2=1,ROUND((J2-I2)*1440,6),"")</x:f>
        <x:v>18</x:v>
      </x:c>
      <x:c r="P2" s="11" t="n">
        <x:v>0</x:v>
      </x:c>
      <x:c r="Q2" s="11" t="n">
        <x:v>0</x:v>
      </x:c>
      <x:c r="R2" s="11" t="n">
        <x:v>0</x:v>
      </x:c>
      <x:c r="S2" s="11" t="n">
        <x:v>1</x:v>
      </x:c>
      <x:c r="T2" s="11" t="n">
        <x:v>1</x:v>
      </x:c>
      <x:c r="U2" s="2" t="str">
        <x:v>needs_mapping</x:v>
      </x:c>
      <x:c r="V2" s="2"/>
      <x:c r="W2" s="11" t="n">
        <x:v>1</x:v>
      </x:c>
      <x:c r="X2" s="13" t="str">
        <x:v>รหัสโต๊ะต้องยืนยัน</x:v>
      </x:c>
    </x:row>
    <x:row r="3" ht="24" customHeight="1">
      <x:c r="A3" s="2" t="str">
        <x:v>133_2</x:v>
      </x:c>
      <x:c r="B3" s="10" t="str">
        <x:v>133</x:v>
      </x:c>
      <x:c r="C3" s="11" t="n">
        <x:v>3</x:v>
      </x:c>
      <x:c r="D3" s="11" t="n">
        <x:v>2</x:v>
      </x:c>
      <x:c r="E3" s="2" t="str">
        <x:v>Walk in</x:v>
      </x:c>
      <x:c r="F3" s="11" t="n">
        <x:v>2</x:v>
      </x:c>
      <x:c r="G3" s="12"/>
      <x:c r="H3" s="12"/>
      <x:c r="I3" s="12" t="n">
        <x:v>0.28055555555555556</x:v>
      </x:c>
      <x:c r="J3" s="12" t="n">
        <x:v>0.2986111111111111</x:v>
      </x:c>
      <x:c r="K3" s="10" t="str">
        <x:v>2</x:v>
      </x:c>
      <x:c r="L3" s="2" t="str">
        <x:v>direct_meal</x:v>
      </x:c>
      <x:c r="M3" s="8" t="str">
        <x:f>IF(P3=1,ROUND((H3-G3)*1440,6),"")</x:f>
      </x:c>
      <x:c r="N3" s="8" t="str">
        <x:f>IF(R3=1,M3,"")</x:f>
      </x:c>
      <x:c r="O3" s="8" t="n">
        <x:f>IF(S3=1,ROUND((J3-I3)*1440,6),"")</x:f>
        <x:v>26</x:v>
      </x:c>
      <x:c r="P3" s="11" t="n">
        <x:v>0</x:v>
      </x:c>
      <x:c r="Q3" s="11" t="n">
        <x:v>0</x:v>
      </x:c>
      <x:c r="R3" s="11" t="n">
        <x:v>0</x:v>
      </x:c>
      <x:c r="S3" s="11" t="n">
        <x:v>1</x:v>
      </x:c>
      <x:c r="T3" s="11" t="n">
        <x:v>1</x:v>
      </x:c>
      <x:c r="U3" s="2" t="str">
        <x:v>needs_mapping</x:v>
      </x:c>
      <x:c r="V3" s="2"/>
      <x:c r="W3" s="11" t="n">
        <x:v>1</x:v>
      </x:c>
      <x:c r="X3" s="13" t="str">
        <x:v>รหัสโต๊ะต้องยืนยัน</x:v>
      </x:c>
    </x:row>
    <x:row r="4" ht="24" customHeight="1">
      <x:c r="A4" s="2" t="str">
        <x:v>133_3</x:v>
      </x:c>
      <x:c r="B4" s="10" t="str">
        <x:v>133</x:v>
      </x:c>
      <x:c r="C4" s="11" t="n">
        <x:v>4</x:v>
      </x:c>
      <x:c r="D4" s="11" t="n">
        <x:v>3</x:v>
      </x:c>
      <x:c r="E4" s="2" t="str">
        <x:v>Walk in</x:v>
      </x:c>
      <x:c r="F4" s="11" t="n">
        <x:v>2</x:v>
      </x:c>
      <x:c r="G4" s="12"/>
      <x:c r="H4" s="12"/>
      <x:c r="I4" s="12" t="n">
        <x:v>0.2951388888888889</x:v>
      </x:c>
      <x:c r="J4" s="12" t="n">
        <x:v>0.3388888888888889</x:v>
      </x:c>
      <x:c r="K4" s="10" t="str">
        <x:v>7A</x:v>
      </x:c>
      <x:c r="L4" s="2" t="str">
        <x:v>direct_meal</x:v>
      </x:c>
      <x:c r="M4" s="8" t="str">
        <x:f>IF(P4=1,ROUND((H4-G4)*1440,6),"")</x:f>
      </x:c>
      <x:c r="N4" s="8" t="str">
        <x:f>IF(R4=1,M4,"")</x:f>
      </x:c>
      <x:c r="O4" s="8" t="n">
        <x:f>IF(S4=1,ROUND((J4-I4)*1440,6),"")</x:f>
        <x:v>63</x:v>
      </x:c>
      <x:c r="P4" s="11" t="n">
        <x:v>0</x:v>
      </x:c>
      <x:c r="Q4" s="11" t="n">
        <x:v>0</x:v>
      </x:c>
      <x:c r="R4" s="11" t="n">
        <x:v>0</x:v>
      </x:c>
      <x:c r="S4" s="11" t="n">
        <x:v>1</x:v>
      </x:c>
      <x:c r="T4" s="11" t="n">
        <x:v>1</x:v>
      </x:c>
      <x:c r="U4" s="2" t="str">
        <x:v>documented</x:v>
      </x:c>
      <x:c r="V4" s="2" t="str">
        <x:v>7A</x:v>
      </x:c>
      <x:c r="W4" s="11" t="n">
        <x:v>0</x:v>
      </x:c>
      <x:c r="X4" s="13"/>
    </x:row>
    <x:row r="5" ht="24" customHeight="1">
      <x:c r="A5" s="2" t="str">
        <x:v>133_4</x:v>
      </x:c>
      <x:c r="B5" s="10" t="str">
        <x:v>133</x:v>
      </x:c>
      <x:c r="C5" s="11" t="n">
        <x:v>5</x:v>
      </x:c>
      <x:c r="D5" s="11" t="n">
        <x:v>4</x:v>
      </x:c>
      <x:c r="E5" s="2" t="str">
        <x:v>In house</x:v>
      </x:c>
      <x:c r="F5" s="11" t="n">
        <x:v>1</x:v>
      </x:c>
      <x:c r="G5" s="12"/>
      <x:c r="H5" s="12"/>
      <x:c r="I5" s="12" t="n">
        <x:v>0.3055555555555556</x:v>
      </x:c>
      <x:c r="J5" s="12" t="n">
        <x:v>0.3458333333333333</x:v>
      </x:c>
      <x:c r="K5" s="10" t="str">
        <x:v>8A</x:v>
      </x:c>
      <x:c r="L5" s="2" t="str">
        <x:v>direct_meal</x:v>
      </x:c>
      <x:c r="M5" s="8" t="str">
        <x:f>IF(P5=1,ROUND((H5-G5)*1440,6),"")</x:f>
      </x:c>
      <x:c r="N5" s="8" t="str">
        <x:f>IF(R5=1,M5,"")</x:f>
      </x:c>
      <x:c r="O5" s="8" t="n">
        <x:f>IF(S5=1,ROUND((J5-I5)*1440,6),"")</x:f>
        <x:v>58</x:v>
      </x:c>
      <x:c r="P5" s="11" t="n">
        <x:v>0</x:v>
      </x:c>
      <x:c r="Q5" s="11" t="n">
        <x:v>0</x:v>
      </x:c>
      <x:c r="R5" s="11" t="n">
        <x:v>0</x:v>
      </x:c>
      <x:c r="S5" s="11" t="n">
        <x:v>1</x:v>
      </x:c>
      <x:c r="T5" s="11" t="n">
        <x:v>1</x:v>
      </x:c>
      <x:c r="U5" s="2" t="str">
        <x:v>documented</x:v>
      </x:c>
      <x:c r="V5" s="2" t="str">
        <x:v>8A</x:v>
      </x:c>
      <x:c r="W5" s="11" t="n">
        <x:v>0</x:v>
      </x:c>
      <x:c r="X5" s="13"/>
    </x:row>
    <x:row r="6" ht="24" customHeight="1">
      <x:c r="A6" s="2" t="str">
        <x:v>133_5</x:v>
      </x:c>
      <x:c r="B6" s="10" t="str">
        <x:v>133</x:v>
      </x:c>
      <x:c r="C6" s="11" t="n">
        <x:v>6</x:v>
      </x:c>
      <x:c r="D6" s="11" t="n">
        <x:v>5</x:v>
      </x:c>
      <x:c r="E6" s="2" t="str">
        <x:v>In house</x:v>
      </x:c>
      <x:c r="F6" s="11" t="n">
        <x:v>1</x:v>
      </x:c>
      <x:c r="G6" s="12"/>
      <x:c r="H6" s="12"/>
      <x:c r="I6" s="12" t="n">
        <x:v>0.3090277777777778</x:v>
      </x:c>
      <x:c r="J6" s="12" t="n">
        <x:v>0.3229166666666667</x:v>
      </x:c>
      <x:c r="K6" s="10" t="str">
        <x:v>10A</x:v>
      </x:c>
      <x:c r="L6" s="2" t="str">
        <x:v>direct_meal</x:v>
      </x:c>
      <x:c r="M6" s="8" t="str">
        <x:f>IF(P6=1,ROUND((H6-G6)*1440,6),"")</x:f>
      </x:c>
      <x:c r="N6" s="8" t="str">
        <x:f>IF(R6=1,M6,"")</x:f>
      </x:c>
      <x:c r="O6" s="8" t="n">
        <x:f>IF(S6=1,ROUND((J6-I6)*1440,6),"")</x:f>
        <x:v>20</x:v>
      </x:c>
      <x:c r="P6" s="11" t="n">
        <x:v>0</x:v>
      </x:c>
      <x:c r="Q6" s="11" t="n">
        <x:v>0</x:v>
      </x:c>
      <x:c r="R6" s="11" t="n">
        <x:v>0</x:v>
      </x:c>
      <x:c r="S6" s="11" t="n">
        <x:v>1</x:v>
      </x:c>
      <x:c r="T6" s="11" t="n">
        <x:v>1</x:v>
      </x:c>
      <x:c r="U6" s="2" t="str">
        <x:v>documented</x:v>
      </x:c>
      <x:c r="V6" s="2" t="str">
        <x:v>10A</x:v>
      </x:c>
      <x:c r="W6" s="11" t="n">
        <x:v>0</x:v>
      </x:c>
      <x:c r="X6" s="13"/>
    </x:row>
    <x:row r="7" ht="24" customHeight="1">
      <x:c r="A7" s="2" t="str">
        <x:v>133_6</x:v>
      </x:c>
      <x:c r="B7" s="10" t="str">
        <x:v>133</x:v>
      </x:c>
      <x:c r="C7" s="11" t="n">
        <x:v>7</x:v>
      </x:c>
      <x:c r="D7" s="11" t="n">
        <x:v>6</x:v>
      </x:c>
      <x:c r="E7" s="2" t="str">
        <x:v>In house</x:v>
      </x:c>
      <x:c r="F7" s="11" t="n">
        <x:v>1</x:v>
      </x:c>
      <x:c r="G7" s="12"/>
      <x:c r="H7" s="12"/>
      <x:c r="I7" s="12" t="n">
        <x:v>0.3111111111111111</x:v>
      </x:c>
      <x:c r="J7" s="12" t="n">
        <x:v>0.3472222222222222</x:v>
      </x:c>
      <x:c r="K7" s="10" t="str">
        <x:v>8B</x:v>
      </x:c>
      <x:c r="L7" s="2" t="str">
        <x:v>direct_meal</x:v>
      </x:c>
      <x:c r="M7" s="8" t="str">
        <x:f>IF(P7=1,ROUND((H7-G7)*1440,6),"")</x:f>
      </x:c>
      <x:c r="N7" s="8" t="str">
        <x:f>IF(R7=1,M7,"")</x:f>
      </x:c>
      <x:c r="O7" s="8" t="n">
        <x:f>IF(S7=1,ROUND((J7-I7)*1440,6),"")</x:f>
        <x:v>52</x:v>
      </x:c>
      <x:c r="P7" s="11" t="n">
        <x:v>0</x:v>
      </x:c>
      <x:c r="Q7" s="11" t="n">
        <x:v>0</x:v>
      </x:c>
      <x:c r="R7" s="11" t="n">
        <x:v>0</x:v>
      </x:c>
      <x:c r="S7" s="11" t="n">
        <x:v>1</x:v>
      </x:c>
      <x:c r="T7" s="11" t="n">
        <x:v>1</x:v>
      </x:c>
      <x:c r="U7" s="2" t="str">
        <x:v>documented</x:v>
      </x:c>
      <x:c r="V7" s="2" t="str">
        <x:v>8B</x:v>
      </x:c>
      <x:c r="W7" s="11" t="n">
        <x:v>0</x:v>
      </x:c>
      <x:c r="X7" s="13"/>
    </x:row>
    <x:row r="8" ht="24" customHeight="1">
      <x:c r="A8" s="2" t="str">
        <x:v>133_7</x:v>
      </x:c>
      <x:c r="B8" s="10" t="str">
        <x:v>133</x:v>
      </x:c>
      <x:c r="C8" s="11" t="n">
        <x:v>8</x:v>
      </x:c>
      <x:c r="D8" s="11" t="n">
        <x:v>7</x:v>
      </x:c>
      <x:c r="E8" s="2" t="str">
        <x:v>In house</x:v>
      </x:c>
      <x:c r="F8" s="11" t="n">
        <x:v>1</x:v>
      </x:c>
      <x:c r="G8" s="12"/>
      <x:c r="H8" s="12"/>
      <x:c r="I8" s="12" t="n">
        <x:v>0.3145833333333333</x:v>
      </x:c>
      <x:c r="J8" s="12" t="n">
        <x:v>0.3368055555555556</x:v>
      </x:c>
      <x:c r="K8" s="10" t="str">
        <x:v>9</x:v>
      </x:c>
      <x:c r="L8" s="2" t="str">
        <x:v>direct_meal</x:v>
      </x:c>
      <x:c r="M8" s="8" t="str">
        <x:f>IF(P8=1,ROUND((H8-G8)*1440,6),"")</x:f>
      </x:c>
      <x:c r="N8" s="8" t="str">
        <x:f>IF(R8=1,M8,"")</x:f>
      </x:c>
      <x:c r="O8" s="8" t="n">
        <x:f>IF(S8=1,ROUND((J8-I8)*1440,6),"")</x:f>
        <x:v>32</x:v>
      </x:c>
      <x:c r="P8" s="11" t="n">
        <x:v>0</x:v>
      </x:c>
      <x:c r="Q8" s="11" t="n">
        <x:v>0</x:v>
      </x:c>
      <x:c r="R8" s="11" t="n">
        <x:v>0</x:v>
      </x:c>
      <x:c r="S8" s="11" t="n">
        <x:v>1</x:v>
      </x:c>
      <x:c r="T8" s="11" t="n">
        <x:v>1</x:v>
      </x:c>
      <x:c r="U8" s="2" t="str">
        <x:v>needs_mapping</x:v>
      </x:c>
      <x:c r="V8" s="2"/>
      <x:c r="W8" s="11" t="n">
        <x:v>1</x:v>
      </x:c>
      <x:c r="X8" s="13" t="str">
        <x:v>รหัสโต๊ะต้องยืนยัน</x:v>
      </x:c>
    </x:row>
    <x:row r="9" ht="24" customHeight="1">
      <x:c r="A9" s="2" t="str">
        <x:v>133_8</x:v>
      </x:c>
      <x:c r="B9" s="10" t="str">
        <x:v>133</x:v>
      </x:c>
      <x:c r="C9" s="11" t="n">
        <x:v>9</x:v>
      </x:c>
      <x:c r="D9" s="11" t="n">
        <x:v>8</x:v>
      </x:c>
      <x:c r="E9" s="2" t="str">
        <x:v>Walk in</x:v>
      </x:c>
      <x:c r="F9" s="11" t="n">
        <x:v>5</x:v>
      </x:c>
      <x:c r="G9" s="12"/>
      <x:c r="H9" s="12"/>
      <x:c r="I9" s="12" t="n">
        <x:v>0.32083333333333336</x:v>
      </x:c>
      <x:c r="J9" s="12" t="n">
        <x:v>0.3611111111111111</x:v>
      </x:c>
      <x:c r="K9" s="10" t="str">
        <x:v>4</x:v>
      </x:c>
      <x:c r="L9" s="2" t="str">
        <x:v>direct_meal</x:v>
      </x:c>
      <x:c r="M9" s="8" t="str">
        <x:f>IF(P9=1,ROUND((H9-G9)*1440,6),"")</x:f>
      </x:c>
      <x:c r="N9" s="8" t="str">
        <x:f>IF(R9=1,M9,"")</x:f>
      </x:c>
      <x:c r="O9" s="8" t="n">
        <x:f>IF(S9=1,ROUND((J9-I9)*1440,6),"")</x:f>
        <x:v>58</x:v>
      </x:c>
      <x:c r="P9" s="11" t="n">
        <x:v>0</x:v>
      </x:c>
      <x:c r="Q9" s="11" t="n">
        <x:v>0</x:v>
      </x:c>
      <x:c r="R9" s="11" t="n">
        <x:v>0</x:v>
      </x:c>
      <x:c r="S9" s="11" t="n">
        <x:v>1</x:v>
      </x:c>
      <x:c r="T9" s="11" t="n">
        <x:v>1</x:v>
      </x:c>
      <x:c r="U9" s="2" t="str">
        <x:v>needs_mapping</x:v>
      </x:c>
      <x:c r="V9" s="2"/>
      <x:c r="W9" s="11" t="n">
        <x:v>1</x:v>
      </x:c>
      <x:c r="X9" s="13" t="str">
        <x:v>รหัสโต๊ะต้องยืนยัน</x:v>
      </x:c>
    </x:row>
    <x:row r="10" ht="24" customHeight="1">
      <x:c r="A10" s="2" t="str">
        <x:v>133_9</x:v>
      </x:c>
      <x:c r="B10" s="10" t="str">
        <x:v>133</x:v>
      </x:c>
      <x:c r="C10" s="11" t="n">
        <x:v>10</x:v>
      </x:c>
      <x:c r="D10" s="11" t="n">
        <x:v>9</x:v>
      </x:c>
      <x:c r="E10" s="2" t="str">
        <x:v>In house</x:v>
      </x:c>
      <x:c r="F10" s="11" t="n">
        <x:v>4</x:v>
      </x:c>
      <x:c r="G10" s="12"/>
      <x:c r="H10" s="12"/>
      <x:c r="I10" s="12" t="n">
        <x:v>0.325</x:v>
      </x:c>
      <x:c r="J10" s="12" t="n">
        <x:v>0.34791666666666665</x:v>
      </x:c>
      <x:c r="K10" s="10" t="str">
        <x:v>11</x:v>
      </x:c>
      <x:c r="L10" s="2" t="str">
        <x:v>direct_meal</x:v>
      </x:c>
      <x:c r="M10" s="8" t="str">
        <x:f>IF(P10=1,ROUND((H10-G10)*1440,6),"")</x:f>
      </x:c>
      <x:c r="N10" s="8" t="str">
        <x:f>IF(R10=1,M10,"")</x:f>
      </x:c>
      <x:c r="O10" s="8" t="n">
        <x:f>IF(S10=1,ROUND((J10-I10)*1440,6),"")</x:f>
        <x:v>33</x:v>
      </x:c>
      <x:c r="P10" s="11" t="n">
        <x:v>0</x:v>
      </x:c>
      <x:c r="Q10" s="11" t="n">
        <x:v>0</x:v>
      </x:c>
      <x:c r="R10" s="11" t="n">
        <x:v>0</x:v>
      </x:c>
      <x:c r="S10" s="11" t="n">
        <x:v>1</x:v>
      </x:c>
      <x:c r="T10" s="11" t="n">
        <x:v>1</x:v>
      </x:c>
      <x:c r="U10" s="2" t="str">
        <x:v>needs_mapping</x:v>
      </x:c>
      <x:c r="V10" s="2"/>
      <x:c r="W10" s="11" t="n">
        <x:v>1</x:v>
      </x:c>
      <x:c r="X10" s="13" t="str">
        <x:v>รหัสโต๊ะต้องยืนยัน</x:v>
      </x:c>
    </x:row>
    <x:row r="11" ht="24" customHeight="1">
      <x:c r="A11" s="2" t="str">
        <x:v>133_10</x:v>
      </x:c>
      <x:c r="B11" s="10" t="str">
        <x:v>133</x:v>
      </x:c>
      <x:c r="C11" s="11" t="n">
        <x:v>11</x:v>
      </x:c>
      <x:c r="D11" s="11" t="n">
        <x:v>10</x:v>
      </x:c>
      <x:c r="E11" s="2" t="str">
        <x:v>In house</x:v>
      </x:c>
      <x:c r="F11" s="11" t="n">
        <x:v>2</x:v>
      </x:c>
      <x:c r="G11" s="12"/>
      <x:c r="H11" s="12"/>
      <x:c r="I11" s="12" t="n">
        <x:v>0.325</x:v>
      </x:c>
      <x:c r="J11" s="12" t="n">
        <x:v>0.3576388888888889</x:v>
      </x:c>
      <x:c r="K11" s="10" t="str">
        <x:v>16</x:v>
      </x:c>
      <x:c r="L11" s="2" t="str">
        <x:v>direct_meal</x:v>
      </x:c>
      <x:c r="M11" s="8" t="str">
        <x:f>IF(P11=1,ROUND((H11-G11)*1440,6),"")</x:f>
      </x:c>
      <x:c r="N11" s="8" t="str">
        <x:f>IF(R11=1,M11,"")</x:f>
      </x:c>
      <x:c r="O11" s="8" t="n">
        <x:f>IF(S11=1,ROUND((J11-I11)*1440,6),"")</x:f>
        <x:v>47</x:v>
      </x:c>
      <x:c r="P11" s="11" t="n">
        <x:v>0</x:v>
      </x:c>
      <x:c r="Q11" s="11" t="n">
        <x:v>0</x:v>
      </x:c>
      <x:c r="R11" s="11" t="n">
        <x:v>0</x:v>
      </x:c>
      <x:c r="S11" s="11" t="n">
        <x:v>1</x:v>
      </x:c>
      <x:c r="T11" s="11" t="n">
        <x:v>1</x:v>
      </x:c>
      <x:c r="U11" s="2" t="str">
        <x:v>needs_mapping</x:v>
      </x:c>
      <x:c r="V11" s="2"/>
      <x:c r="W11" s="11" t="n">
        <x:v>1</x:v>
      </x:c>
      <x:c r="X11" s="13" t="str">
        <x:v>รหัสโต๊ะต้องยืนยัน</x:v>
      </x:c>
    </x:row>
    <x:row r="12" ht="24" customHeight="1">
      <x:c r="A12" s="2" t="str">
        <x:v>133_11</x:v>
      </x:c>
      <x:c r="B12" s="10" t="str">
        <x:v>133</x:v>
      </x:c>
      <x:c r="C12" s="11" t="n">
        <x:v>12</x:v>
      </x:c>
      <x:c r="D12" s="11" t="n">
        <x:v>11</x:v>
      </x:c>
      <x:c r="E12" s="2" t="str">
        <x:v>Walk in</x:v>
      </x:c>
      <x:c r="F12" s="11" t="n">
        <x:v>2</x:v>
      </x:c>
      <x:c r="G12" s="12"/>
      <x:c r="H12" s="12"/>
      <x:c r="I12" s="12" t="n">
        <x:v>0.3263888888888889</x:v>
      </x:c>
      <x:c r="J12" s="12" t="n">
        <x:v>0.36666666666666664</x:v>
      </x:c>
      <x:c r="K12" s="10" t="str">
        <x:v>6</x:v>
      </x:c>
      <x:c r="L12" s="2" t="str">
        <x:v>direct_meal</x:v>
      </x:c>
      <x:c r="M12" s="8" t="str">
        <x:f>IF(P12=1,ROUND((H12-G12)*1440,6),"")</x:f>
      </x:c>
      <x:c r="N12" s="8" t="str">
        <x:f>IF(R12=1,M12,"")</x:f>
      </x:c>
      <x:c r="O12" s="8" t="n">
        <x:f>IF(S12=1,ROUND((J12-I12)*1440,6),"")</x:f>
        <x:v>58</x:v>
      </x:c>
      <x:c r="P12" s="11" t="n">
        <x:v>0</x:v>
      </x:c>
      <x:c r="Q12" s="11" t="n">
        <x:v>0</x:v>
      </x:c>
      <x:c r="R12" s="11" t="n">
        <x:v>0</x:v>
      </x:c>
      <x:c r="S12" s="11" t="n">
        <x:v>1</x:v>
      </x:c>
      <x:c r="T12" s="11" t="n">
        <x:v>1</x:v>
      </x:c>
      <x:c r="U12" s="2" t="str">
        <x:v>needs_mapping</x:v>
      </x:c>
      <x:c r="V12" s="2"/>
      <x:c r="W12" s="11" t="n">
        <x:v>1</x:v>
      </x:c>
      <x:c r="X12" s="13" t="str">
        <x:v>รหัสโต๊ะต้องยืนยัน</x:v>
      </x:c>
    </x:row>
    <x:row r="13" ht="24" customHeight="1">
      <x:c r="A13" s="2" t="str">
        <x:v>133_12</x:v>
      </x:c>
      <x:c r="B13" s="10" t="str">
        <x:v>133</x:v>
      </x:c>
      <x:c r="C13" s="11" t="n">
        <x:v>13</x:v>
      </x:c>
      <x:c r="D13" s="11" t="n">
        <x:v>12</x:v>
      </x:c>
      <x:c r="E13" s="2" t="str">
        <x:v>In house</x:v>
      </x:c>
      <x:c r="F13" s="11" t="n">
        <x:v>1</x:v>
      </x:c>
      <x:c r="G13" s="12"/>
      <x:c r="H13" s="12"/>
      <x:c r="I13" s="12" t="n">
        <x:v>0.33055555555555555</x:v>
      </x:c>
      <x:c r="J13" s="12" t="n">
        <x:v>0.34375</x:v>
      </x:c>
      <x:c r="K13" s="10" t="str">
        <x:v>7B</x:v>
      </x:c>
      <x:c r="L13" s="2" t="str">
        <x:v>direct_meal</x:v>
      </x:c>
      <x:c r="M13" s="8" t="str">
        <x:f>IF(P13=1,ROUND((H13-G13)*1440,6),"")</x:f>
      </x:c>
      <x:c r="N13" s="8" t="str">
        <x:f>IF(R13=1,M13,"")</x:f>
      </x:c>
      <x:c r="O13" s="8" t="n">
        <x:f>IF(S13=1,ROUND((J13-I13)*1440,6),"")</x:f>
        <x:v>19</x:v>
      </x:c>
      <x:c r="P13" s="11" t="n">
        <x:v>0</x:v>
      </x:c>
      <x:c r="Q13" s="11" t="n">
        <x:v>0</x:v>
      </x:c>
      <x:c r="R13" s="11" t="n">
        <x:v>0</x:v>
      </x:c>
      <x:c r="S13" s="11" t="n">
        <x:v>1</x:v>
      </x:c>
      <x:c r="T13" s="11" t="n">
        <x:v>1</x:v>
      </x:c>
      <x:c r="U13" s="2" t="str">
        <x:v>documented</x:v>
      </x:c>
      <x:c r="V13" s="2" t="str">
        <x:v>7B</x:v>
      </x:c>
      <x:c r="W13" s="11" t="n">
        <x:v>0</x:v>
      </x:c>
      <x:c r="X13" s="13"/>
    </x:row>
    <x:row r="14" ht="24" customHeight="1">
      <x:c r="A14" s="2" t="str">
        <x:v>133_13</x:v>
      </x:c>
      <x:c r="B14" s="10" t="str">
        <x:v>133</x:v>
      </x:c>
      <x:c r="C14" s="11" t="n">
        <x:v>14</x:v>
      </x:c>
      <x:c r="D14" s="11" t="n">
        <x:v>13</x:v>
      </x:c>
      <x:c r="E14" s="2" t="str">
        <x:v>In house</x:v>
      </x:c>
      <x:c r="F14" s="11" t="n">
        <x:v>1</x:v>
      </x:c>
      <x:c r="G14" s="12"/>
      <x:c r="H14" s="12"/>
      <x:c r="I14" s="12" t="n">
        <x:v>0.3326388888888889</x:v>
      </x:c>
      <x:c r="J14" s="12" t="n">
        <x:v>0.3576388888888889</x:v>
      </x:c>
      <x:c r="K14" s="10" t="str">
        <x:v>10A</x:v>
      </x:c>
      <x:c r="L14" s="2" t="str">
        <x:v>direct_meal</x:v>
      </x:c>
      <x:c r="M14" s="8" t="str">
        <x:f>IF(P14=1,ROUND((H14-G14)*1440,6),"")</x:f>
      </x:c>
      <x:c r="N14" s="8" t="str">
        <x:f>IF(R14=1,M14,"")</x:f>
      </x:c>
      <x:c r="O14" s="8" t="n">
        <x:f>IF(S14=1,ROUND((J14-I14)*1440,6),"")</x:f>
        <x:v>36</x:v>
      </x:c>
      <x:c r="P14" s="11" t="n">
        <x:v>0</x:v>
      </x:c>
      <x:c r="Q14" s="11" t="n">
        <x:v>0</x:v>
      </x:c>
      <x:c r="R14" s="11" t="n">
        <x:v>0</x:v>
      </x:c>
      <x:c r="S14" s="11" t="n">
        <x:v>1</x:v>
      </x:c>
      <x:c r="T14" s="11" t="n">
        <x:v>1</x:v>
      </x:c>
      <x:c r="U14" s="2" t="str">
        <x:v>documented</x:v>
      </x:c>
      <x:c r="V14" s="2" t="str">
        <x:v>10A</x:v>
      </x:c>
      <x:c r="W14" s="11" t="n">
        <x:v>0</x:v>
      </x:c>
      <x:c r="X14" s="13"/>
    </x:row>
    <x:row r="15" ht="24" customHeight="1">
      <x:c r="A15" s="2" t="str">
        <x:v>133_14</x:v>
      </x:c>
      <x:c r="B15" s="10" t="str">
        <x:v>133</x:v>
      </x:c>
      <x:c r="C15" s="11" t="n">
        <x:v>15</x:v>
      </x:c>
      <x:c r="D15" s="11" t="n">
        <x:v>14</x:v>
      </x:c>
      <x:c r="E15" s="2" t="str">
        <x:v>Walk in</x:v>
      </x:c>
      <x:c r="F15" s="11" t="n">
        <x:v>1</x:v>
      </x:c>
      <x:c r="G15" s="12"/>
      <x:c r="H15" s="12"/>
      <x:c r="I15" s="12" t="n">
        <x:v>0.3333333333333333</x:v>
      </x:c>
      <x:c r="J15" s="12" t="n">
        <x:v>0.38819444444444445</x:v>
      </x:c>
      <x:c r="K15" s="10" t="str">
        <x:v>1</x:v>
      </x:c>
      <x:c r="L15" s="2" t="str">
        <x:v>direct_meal</x:v>
      </x:c>
      <x:c r="M15" s="8" t="str">
        <x:f>IF(P15=1,ROUND((H15-G15)*1440,6),"")</x:f>
      </x:c>
      <x:c r="N15" s="8" t="str">
        <x:f>IF(R15=1,M15,"")</x:f>
      </x:c>
      <x:c r="O15" s="8" t="n">
        <x:f>IF(S15=1,ROUND((J15-I15)*1440,6),"")</x:f>
        <x:v>79</x:v>
      </x:c>
      <x:c r="P15" s="11" t="n">
        <x:v>0</x:v>
      </x:c>
      <x:c r="Q15" s="11" t="n">
        <x:v>0</x:v>
      </x:c>
      <x:c r="R15" s="11" t="n">
        <x:v>0</x:v>
      </x:c>
      <x:c r="S15" s="11" t="n">
        <x:v>1</x:v>
      </x:c>
      <x:c r="T15" s="11" t="n">
        <x:v>1</x:v>
      </x:c>
      <x:c r="U15" s="2" t="str">
        <x:v>needs_mapping</x:v>
      </x:c>
      <x:c r="V15" s="2"/>
      <x:c r="W15" s="11" t="n">
        <x:v>1</x:v>
      </x:c>
      <x:c r="X15" s="13" t="str">
        <x:v>รหัสโต๊ะต้องยืนยัน</x:v>
      </x:c>
    </x:row>
    <x:row r="16" ht="24" customHeight="1">
      <x:c r="A16" s="2" t="str">
        <x:v>133_15</x:v>
      </x:c>
      <x:c r="B16" s="10" t="str">
        <x:v>133</x:v>
      </x:c>
      <x:c r="C16" s="11" t="n">
        <x:v>16</x:v>
      </x:c>
      <x:c r="D16" s="11" t="n">
        <x:v>15</x:v>
      </x:c>
      <x:c r="E16" s="2" t="str">
        <x:v>Walk in</x:v>
      </x:c>
      <x:c r="F16" s="11" t="n">
        <x:v>1</x:v>
      </x:c>
      <x:c r="G16" s="12"/>
      <x:c r="H16" s="12"/>
      <x:c r="I16" s="12" t="n">
        <x:v>0.33541666666666664</x:v>
      </x:c>
      <x:c r="J16" s="12" t="n">
        <x:v>0.35208333333333336</x:v>
      </x:c>
      <x:c r="K16" s="10" t="str">
        <x:v>8C</x:v>
      </x:c>
      <x:c r="L16" s="2" t="str">
        <x:v>direct_meal</x:v>
      </x:c>
      <x:c r="M16" s="8" t="str">
        <x:f>IF(P16=1,ROUND((H16-G16)*1440,6),"")</x:f>
      </x:c>
      <x:c r="N16" s="8" t="str">
        <x:f>IF(R16=1,M16,"")</x:f>
      </x:c>
      <x:c r="O16" s="8" t="n">
        <x:f>IF(S16=1,ROUND((J16-I16)*1440,6),"")</x:f>
        <x:v>24</x:v>
      </x:c>
      <x:c r="P16" s="11" t="n">
        <x:v>0</x:v>
      </x:c>
      <x:c r="Q16" s="11" t="n">
        <x:v>0</x:v>
      </x:c>
      <x:c r="R16" s="11" t="n">
        <x:v>0</x:v>
      </x:c>
      <x:c r="S16" s="11" t="n">
        <x:v>1</x:v>
      </x:c>
      <x:c r="T16" s="11" t="n">
        <x:v>1</x:v>
      </x:c>
      <x:c r="U16" s="2" t="str">
        <x:v>documented</x:v>
      </x:c>
      <x:c r="V16" s="2" t="str">
        <x:v>8C</x:v>
      </x:c>
      <x:c r="W16" s="11" t="n">
        <x:v>0</x:v>
      </x:c>
      <x:c r="X16" s="13"/>
    </x:row>
    <x:row r="17" ht="24" customHeight="1">
      <x:c r="A17" s="2" t="str">
        <x:v>133_16</x:v>
      </x:c>
      <x:c r="B17" s="10" t="str">
        <x:v>133</x:v>
      </x:c>
      <x:c r="C17" s="11" t="n">
        <x:v>17</x:v>
      </x:c>
      <x:c r="D17" s="11" t="n">
        <x:v>16</x:v>
      </x:c>
      <x:c r="E17" s="2" t="str">
        <x:v>In house</x:v>
      </x:c>
      <x:c r="F17" s="11" t="n">
        <x:v>2</x:v>
      </x:c>
      <x:c r="G17" s="12"/>
      <x:c r="H17" s="12"/>
      <x:c r="I17" s="12" t="n">
        <x:v>0.3368055555555556</x:v>
      </x:c>
      <x:c r="J17" s="12" t="n">
        <x:v>0.3506944444444444</x:v>
      </x:c>
      <x:c r="K17" s="10" t="str">
        <x:v>12</x:v>
      </x:c>
      <x:c r="L17" s="2" t="str">
        <x:v>direct_meal</x:v>
      </x:c>
      <x:c r="M17" s="8" t="str">
        <x:f>IF(P17=1,ROUND((H17-G17)*1440,6),"")</x:f>
      </x:c>
      <x:c r="N17" s="8" t="str">
        <x:f>IF(R17=1,M17,"")</x:f>
      </x:c>
      <x:c r="O17" s="8" t="n">
        <x:f>IF(S17=1,ROUND((J17-I17)*1440,6),"")</x:f>
        <x:v>20</x:v>
      </x:c>
      <x:c r="P17" s="11" t="n">
        <x:v>0</x:v>
      </x:c>
      <x:c r="Q17" s="11" t="n">
        <x:v>0</x:v>
      </x:c>
      <x:c r="R17" s="11" t="n">
        <x:v>0</x:v>
      </x:c>
      <x:c r="S17" s="11" t="n">
        <x:v>1</x:v>
      </x:c>
      <x:c r="T17" s="11" t="n">
        <x:v>1</x:v>
      </x:c>
      <x:c r="U17" s="2" t="str">
        <x:v>documented</x:v>
      </x:c>
      <x:c r="V17" s="2" t="str">
        <x:v>12</x:v>
      </x:c>
      <x:c r="W17" s="11" t="n">
        <x:v>0</x:v>
      </x:c>
      <x:c r="X17" s="13"/>
    </x:row>
    <x:row r="18" ht="24" customHeight="1">
      <x:c r="A18" s="2" t="str">
        <x:v>133_17</x:v>
      </x:c>
      <x:c r="B18" s="10" t="str">
        <x:v>133</x:v>
      </x:c>
      <x:c r="C18" s="11" t="n">
        <x:v>18</x:v>
      </x:c>
      <x:c r="D18" s="11" t="n">
        <x:v>17</x:v>
      </x:c>
      <x:c r="E18" s="2" t="str">
        <x:v>In house</x:v>
      </x:c>
      <x:c r="F18" s="11" t="n">
        <x:v>1</x:v>
      </x:c>
      <x:c r="G18" s="12"/>
      <x:c r="H18" s="12"/>
      <x:c r="I18" s="12" t="n">
        <x:v>0.34305555555555556</x:v>
      </x:c>
      <x:c r="J18" s="12" t="n">
        <x:v>0.3770833333333333</x:v>
      </x:c>
      <x:c r="K18" s="10" t="str">
        <x:v>14</x:v>
      </x:c>
      <x:c r="L18" s="2" t="str">
        <x:v>direct_meal</x:v>
      </x:c>
      <x:c r="M18" s="8" t="str">
        <x:f>IF(P18=1,ROUND((H18-G18)*1440,6),"")</x:f>
      </x:c>
      <x:c r="N18" s="8" t="str">
        <x:f>IF(R18=1,M18,"")</x:f>
      </x:c>
      <x:c r="O18" s="8" t="n">
        <x:f>IF(S18=1,ROUND((J18-I18)*1440,6),"")</x:f>
        <x:v>49</x:v>
      </x:c>
      <x:c r="P18" s="11" t="n">
        <x:v>0</x:v>
      </x:c>
      <x:c r="Q18" s="11" t="n">
        <x:v>0</x:v>
      </x:c>
      <x:c r="R18" s="11" t="n">
        <x:v>0</x:v>
      </x:c>
      <x:c r="S18" s="11" t="n">
        <x:v>1</x:v>
      </x:c>
      <x:c r="T18" s="11" t="n">
        <x:v>1</x:v>
      </x:c>
      <x:c r="U18" s="2" t="str">
        <x:v>documented</x:v>
      </x:c>
      <x:c r="V18" s="2" t="str">
        <x:v>14</x:v>
      </x:c>
      <x:c r="W18" s="11" t="n">
        <x:v>0</x:v>
      </x:c>
      <x:c r="X18" s="13"/>
    </x:row>
    <x:row r="19" ht="24" customHeight="1">
      <x:c r="A19" s="2" t="str">
        <x:v>133_18</x:v>
      </x:c>
      <x:c r="B19" s="10" t="str">
        <x:v>133</x:v>
      </x:c>
      <x:c r="C19" s="11" t="n">
        <x:v>19</x:v>
      </x:c>
      <x:c r="D19" s="11" t="n">
        <x:v>18</x:v>
      </x:c>
      <x:c r="E19" s="2" t="str">
        <x:v>Walk in</x:v>
      </x:c>
      <x:c r="F19" s="11" t="n">
        <x:v>2</x:v>
      </x:c>
      <x:c r="G19" s="12"/>
      <x:c r="H19" s="12"/>
      <x:c r="I19" s="12" t="n">
        <x:v>0.34375</x:v>
      </x:c>
      <x:c r="J19" s="12" t="n">
        <x:v>0.3958333333333333</x:v>
      </x:c>
      <x:c r="K19" s="10" t="str">
        <x:v>7A</x:v>
      </x:c>
      <x:c r="L19" s="2" t="str">
        <x:v>direct_meal</x:v>
      </x:c>
      <x:c r="M19" s="8" t="str">
        <x:f>IF(P19=1,ROUND((H19-G19)*1440,6),"")</x:f>
      </x:c>
      <x:c r="N19" s="8" t="str">
        <x:f>IF(R19=1,M19,"")</x:f>
      </x:c>
      <x:c r="O19" s="8" t="n">
        <x:f>IF(S19=1,ROUND((J19-I19)*1440,6),"")</x:f>
        <x:v>75</x:v>
      </x:c>
      <x:c r="P19" s="11" t="n">
        <x:v>0</x:v>
      </x:c>
      <x:c r="Q19" s="11" t="n">
        <x:v>0</x:v>
      </x:c>
      <x:c r="R19" s="11" t="n">
        <x:v>0</x:v>
      </x:c>
      <x:c r="S19" s="11" t="n">
        <x:v>1</x:v>
      </x:c>
      <x:c r="T19" s="11" t="n">
        <x:v>1</x:v>
      </x:c>
      <x:c r="U19" s="2" t="str">
        <x:v>documented</x:v>
      </x:c>
      <x:c r="V19" s="2" t="str">
        <x:v>7A</x:v>
      </x:c>
      <x:c r="W19" s="11" t="n">
        <x:v>0</x:v>
      </x:c>
      <x:c r="X19" s="13"/>
    </x:row>
    <x:row r="20" ht="24" customHeight="1">
      <x:c r="A20" s="2" t="str">
        <x:v>133_19</x:v>
      </x:c>
      <x:c r="B20" s="10" t="str">
        <x:v>133</x:v>
      </x:c>
      <x:c r="C20" s="11" t="n">
        <x:v>20</x:v>
      </x:c>
      <x:c r="D20" s="11" t="n">
        <x:v>19</x:v>
      </x:c>
      <x:c r="E20" s="2" t="str">
        <x:v>In house</x:v>
      </x:c>
      <x:c r="F20" s="11" t="n">
        <x:v>1</x:v>
      </x:c>
      <x:c r="G20" s="12"/>
      <x:c r="H20" s="12"/>
      <x:c r="I20" s="12" t="n">
        <x:v>0.34444444444444444</x:v>
      </x:c>
      <x:c r="J20" s="12" t="n">
        <x:v>0.3784722222222222</x:v>
      </x:c>
      <x:c r="K20" s="10" t="str">
        <x:v>15A</x:v>
      </x:c>
      <x:c r="L20" s="2" t="str">
        <x:v>direct_meal</x:v>
      </x:c>
      <x:c r="M20" s="8" t="str">
        <x:f>IF(P20=1,ROUND((H20-G20)*1440,6),"")</x:f>
      </x:c>
      <x:c r="N20" s="8" t="str">
        <x:f>IF(R20=1,M20,"")</x:f>
      </x:c>
      <x:c r="O20" s="8" t="n">
        <x:f>IF(S20=1,ROUND((J20-I20)*1440,6),"")</x:f>
        <x:v>49</x:v>
      </x:c>
      <x:c r="P20" s="11" t="n">
        <x:v>0</x:v>
      </x:c>
      <x:c r="Q20" s="11" t="n">
        <x:v>0</x:v>
      </x:c>
      <x:c r="R20" s="11" t="n">
        <x:v>0</x:v>
      </x:c>
      <x:c r="S20" s="11" t="n">
        <x:v>1</x:v>
      </x:c>
      <x:c r="T20" s="11" t="n">
        <x:v>1</x:v>
      </x:c>
      <x:c r="U20" s="2" t="str">
        <x:v>needs_mapping</x:v>
      </x:c>
      <x:c r="V20" s="2"/>
      <x:c r="W20" s="11" t="n">
        <x:v>1</x:v>
      </x:c>
      <x:c r="X20" s="13" t="str">
        <x:v>รหัสโต๊ะต้องยืนยัน</x:v>
      </x:c>
    </x:row>
    <x:row r="21" ht="24" customHeight="1">
      <x:c r="A21" s="2" t="str">
        <x:v>133_20</x:v>
      </x:c>
      <x:c r="B21" s="10" t="str">
        <x:v>133</x:v>
      </x:c>
      <x:c r="C21" s="11" t="n">
        <x:v>21</x:v>
      </x:c>
      <x:c r="D21" s="11" t="n">
        <x:v>20</x:v>
      </x:c>
      <x:c r="E21" s="2" t="str">
        <x:v>In house</x:v>
      </x:c>
      <x:c r="F21" s="11" t="n">
        <x:v>1</x:v>
      </x:c>
      <x:c r="G21" s="12"/>
      <x:c r="H21" s="12"/>
      <x:c r="I21" s="12" t="n">
        <x:v>0.34652777777777777</x:v>
      </x:c>
      <x:c r="J21" s="12" t="n">
        <x:v>0.3576388888888889</x:v>
      </x:c>
      <x:c r="K21" s="10" t="str">
        <x:v>10B</x:v>
      </x:c>
      <x:c r="L21" s="2" t="str">
        <x:v>direct_meal</x:v>
      </x:c>
      <x:c r="M21" s="8" t="str">
        <x:f>IF(P21=1,ROUND((H21-G21)*1440,6),"")</x:f>
      </x:c>
      <x:c r="N21" s="8" t="str">
        <x:f>IF(R21=1,M21,"")</x:f>
      </x:c>
      <x:c r="O21" s="8" t="n">
        <x:f>IF(S21=1,ROUND((J21-I21)*1440,6),"")</x:f>
        <x:v>16</x:v>
      </x:c>
      <x:c r="P21" s="11" t="n">
        <x:v>0</x:v>
      </x:c>
      <x:c r="Q21" s="11" t="n">
        <x:v>0</x:v>
      </x:c>
      <x:c r="R21" s="11" t="n">
        <x:v>0</x:v>
      </x:c>
      <x:c r="S21" s="11" t="n">
        <x:v>1</x:v>
      </x:c>
      <x:c r="T21" s="11" t="n">
        <x:v>1</x:v>
      </x:c>
      <x:c r="U21" s="2" t="str">
        <x:v>documented</x:v>
      </x:c>
      <x:c r="V21" s="2" t="str">
        <x:v>10B</x:v>
      </x:c>
      <x:c r="W21" s="11" t="n">
        <x:v>0</x:v>
      </x:c>
      <x:c r="X21" s="13"/>
    </x:row>
    <x:row r="22" ht="24" customHeight="1">
      <x:c r="A22" s="2" t="str">
        <x:v>133_21</x:v>
      </x:c>
      <x:c r="B22" s="10" t="str">
        <x:v>133</x:v>
      </x:c>
      <x:c r="C22" s="11" t="n">
        <x:v>22</x:v>
      </x:c>
      <x:c r="D22" s="11" t="n">
        <x:v>21</x:v>
      </x:c>
      <x:c r="E22" s="2" t="str">
        <x:v>Walk in</x:v>
      </x:c>
      <x:c r="F22" s="11" t="n">
        <x:v>4</x:v>
      </x:c>
      <x:c r="G22" s="12"/>
      <x:c r="H22" s="12"/>
      <x:c r="I22" s="12" t="n">
        <x:v>0.35</x:v>
      </x:c>
      <x:c r="J22" s="12" t="n">
        <x:v>0.4486111111111111</x:v>
      </x:c>
      <x:c r="K22" s="10" t="str">
        <x:v>3</x:v>
      </x:c>
      <x:c r="L22" s="2" t="str">
        <x:v>direct_meal</x:v>
      </x:c>
      <x:c r="M22" s="8" t="str">
        <x:f>IF(P22=1,ROUND((H22-G22)*1440,6),"")</x:f>
      </x:c>
      <x:c r="N22" s="8" t="str">
        <x:f>IF(R22=1,M22,"")</x:f>
      </x:c>
      <x:c r="O22" s="8" t="n">
        <x:f>IF(S22=1,ROUND((J22-I22)*1440,6),"")</x:f>
        <x:v>142</x:v>
      </x:c>
      <x:c r="P22" s="11" t="n">
        <x:v>0</x:v>
      </x:c>
      <x:c r="Q22" s="11" t="n">
        <x:v>0</x:v>
      </x:c>
      <x:c r="R22" s="11" t="n">
        <x:v>0</x:v>
      </x:c>
      <x:c r="S22" s="11" t="n">
        <x:v>1</x:v>
      </x:c>
      <x:c r="T22" s="11" t="n">
        <x:v>1</x:v>
      </x:c>
      <x:c r="U22" s="2" t="str">
        <x:v>needs_mapping</x:v>
      </x:c>
      <x:c r="V22" s="2"/>
      <x:c r="W22" s="11" t="n">
        <x:v>1</x:v>
      </x:c>
      <x:c r="X22" s="13" t="str">
        <x:v>รหัสโต๊ะต้องยืนยัน</x:v>
      </x:c>
    </x:row>
    <x:row r="23" ht="24" customHeight="1">
      <x:c r="A23" s="2" t="str">
        <x:v>133_22</x:v>
      </x:c>
      <x:c r="B23" s="10" t="str">
        <x:v>133</x:v>
      </x:c>
      <x:c r="C23" s="11" t="n">
        <x:v>23</x:v>
      </x:c>
      <x:c r="D23" s="11" t="n">
        <x:v>22</x:v>
      </x:c>
      <x:c r="E23" s="2" t="str">
        <x:v>In house</x:v>
      </x:c>
      <x:c r="F23" s="11" t="n">
        <x:v>2</x:v>
      </x:c>
      <x:c r="G23" s="12"/>
      <x:c r="H23" s="12"/>
      <x:c r="I23" s="12" t="n">
        <x:v>0.3506944444444444</x:v>
      </x:c>
      <x:c r="J23" s="12" t="n">
        <x:v>0.3902777777777778</x:v>
      </x:c>
      <x:c r="K23" s="10" t="str">
        <x:v>5</x:v>
      </x:c>
      <x:c r="L23" s="2" t="str">
        <x:v>direct_meal</x:v>
      </x:c>
      <x:c r="M23" s="8" t="str">
        <x:f>IF(P23=1,ROUND((H23-G23)*1440,6),"")</x:f>
      </x:c>
      <x:c r="N23" s="8" t="str">
        <x:f>IF(R23=1,M23,"")</x:f>
      </x:c>
      <x:c r="O23" s="8" t="n">
        <x:f>IF(S23=1,ROUND((J23-I23)*1440,6),"")</x:f>
        <x:v>57</x:v>
      </x:c>
      <x:c r="P23" s="11" t="n">
        <x:v>0</x:v>
      </x:c>
      <x:c r="Q23" s="11" t="n">
        <x:v>0</x:v>
      </x:c>
      <x:c r="R23" s="11" t="n">
        <x:v>0</x:v>
      </x:c>
      <x:c r="S23" s="11" t="n">
        <x:v>1</x:v>
      </x:c>
      <x:c r="T23" s="11" t="n">
        <x:v>1</x:v>
      </x:c>
      <x:c r="U23" s="2" t="str">
        <x:v>needs_mapping</x:v>
      </x:c>
      <x:c r="V23" s="2"/>
      <x:c r="W23" s="11" t="n">
        <x:v>1</x:v>
      </x:c>
      <x:c r="X23" s="13" t="str">
        <x:v>รหัสโต๊ะต้องยืนยัน</x:v>
      </x:c>
    </x:row>
    <x:row r="24" ht="24" customHeight="1">
      <x:c r="A24" s="2" t="str">
        <x:v>133_23</x:v>
      </x:c>
      <x:c r="B24" s="10" t="str">
        <x:v>133</x:v>
      </x:c>
      <x:c r="C24" s="11" t="n">
        <x:v>24</x:v>
      </x:c>
      <x:c r="D24" s="11" t="n">
        <x:v>23</x:v>
      </x:c>
      <x:c r="E24" s="2" t="str">
        <x:v>Walk in</x:v>
      </x:c>
      <x:c r="F24" s="11" t="n">
        <x:v>2</x:v>
      </x:c>
      <x:c r="G24" s="12"/>
      <x:c r="H24" s="12"/>
      <x:c r="I24" s="12" t="n">
        <x:v>0.3506944444444444</x:v>
      </x:c>
      <x:c r="J24" s="12" t="n">
        <x:v>0.425</x:v>
      </x:c>
      <x:c r="K24" s="10" t="str">
        <x:v>2</x:v>
      </x:c>
      <x:c r="L24" s="2" t="str">
        <x:v>direct_meal</x:v>
      </x:c>
      <x:c r="M24" s="8" t="str">
        <x:f>IF(P24=1,ROUND((H24-G24)*1440,6),"")</x:f>
      </x:c>
      <x:c r="N24" s="8" t="str">
        <x:f>IF(R24=1,M24,"")</x:f>
      </x:c>
      <x:c r="O24" s="8" t="n">
        <x:f>IF(S24=1,ROUND((J24-I24)*1440,6),"")</x:f>
        <x:v>107</x:v>
      </x:c>
      <x:c r="P24" s="11" t="n">
        <x:v>0</x:v>
      </x:c>
      <x:c r="Q24" s="11" t="n">
        <x:v>0</x:v>
      </x:c>
      <x:c r="R24" s="11" t="n">
        <x:v>0</x:v>
      </x:c>
      <x:c r="S24" s="11" t="n">
        <x:v>1</x:v>
      </x:c>
      <x:c r="T24" s="11" t="n">
        <x:v>1</x:v>
      </x:c>
      <x:c r="U24" s="2" t="str">
        <x:v>needs_mapping</x:v>
      </x:c>
      <x:c r="V24" s="2"/>
      <x:c r="W24" s="11" t="n">
        <x:v>1</x:v>
      </x:c>
      <x:c r="X24" s="13" t="str">
        <x:v>รหัสโต๊ะต้องยืนยัน</x:v>
      </x:c>
    </x:row>
    <x:row r="25" ht="24" customHeight="1">
      <x:c r="A25" s="2" t="str">
        <x:v>133_24</x:v>
      </x:c>
      <x:c r="B25" s="10" t="str">
        <x:v>133</x:v>
      </x:c>
      <x:c r="C25" s="11" t="n">
        <x:v>25</x:v>
      </x:c>
      <x:c r="D25" s="11" t="n">
        <x:v>24</x:v>
      </x:c>
      <x:c r="E25" s="2" t="str">
        <x:v>Walk in</x:v>
      </x:c>
      <x:c r="F25" s="11" t="n">
        <x:v>1</x:v>
      </x:c>
      <x:c r="G25" s="12"/>
      <x:c r="H25" s="12"/>
      <x:c r="I25" s="12" t="n">
        <x:v>0.35625</x:v>
      </x:c>
      <x:c r="J25" s="12" t="n">
        <x:v>0.3958333333333333</x:v>
      </x:c>
      <x:c r="K25" s="10" t="str">
        <x:v>8A</x:v>
      </x:c>
      <x:c r="L25" s="2" t="str">
        <x:v>direct_meal</x:v>
      </x:c>
      <x:c r="M25" s="8" t="str">
        <x:f>IF(P25=1,ROUND((H25-G25)*1440,6),"")</x:f>
      </x:c>
      <x:c r="N25" s="8" t="str">
        <x:f>IF(R25=1,M25,"")</x:f>
      </x:c>
      <x:c r="O25" s="8" t="n">
        <x:f>IF(S25=1,ROUND((J25-I25)*1440,6),"")</x:f>
        <x:v>57</x:v>
      </x:c>
      <x:c r="P25" s="11" t="n">
        <x:v>0</x:v>
      </x:c>
      <x:c r="Q25" s="11" t="n">
        <x:v>0</x:v>
      </x:c>
      <x:c r="R25" s="11" t="n">
        <x:v>0</x:v>
      </x:c>
      <x:c r="S25" s="11" t="n">
        <x:v>1</x:v>
      </x:c>
      <x:c r="T25" s="11" t="n">
        <x:v>1</x:v>
      </x:c>
      <x:c r="U25" s="2" t="str">
        <x:v>documented</x:v>
      </x:c>
      <x:c r="V25" s="2" t="str">
        <x:v>8A</x:v>
      </x:c>
      <x:c r="W25" s="11" t="n">
        <x:v>0</x:v>
      </x:c>
      <x:c r="X25" s="13"/>
    </x:row>
    <x:row r="26" ht="24" customHeight="1">
      <x:c r="A26" s="2" t="str">
        <x:v>133_25</x:v>
      </x:c>
      <x:c r="B26" s="10" t="str">
        <x:v>133</x:v>
      </x:c>
      <x:c r="C26" s="11" t="n">
        <x:v>26</x:v>
      </x:c>
      <x:c r="D26" s="11" t="n">
        <x:v>25</x:v>
      </x:c>
      <x:c r="E26" s="2" t="str">
        <x:v>Walk in</x:v>
      </x:c>
      <x:c r="F26" s="11" t="n">
        <x:v>1</x:v>
      </x:c>
      <x:c r="G26" s="12"/>
      <x:c r="H26" s="12"/>
      <x:c r="I26" s="12" t="n">
        <x:v>0.36180555555555555</x:v>
      </x:c>
      <x:c r="J26" s="12" t="n">
        <x:v>0.3923611111111111</x:v>
      </x:c>
      <x:c r="K26" s="10" t="str">
        <x:v>11A</x:v>
      </x:c>
      <x:c r="L26" s="2" t="str">
        <x:v>direct_meal</x:v>
      </x:c>
      <x:c r="M26" s="8" t="str">
        <x:f>IF(P26=1,ROUND((H26-G26)*1440,6),"")</x:f>
      </x:c>
      <x:c r="N26" s="8" t="str">
        <x:f>IF(R26=1,M26,"")</x:f>
      </x:c>
      <x:c r="O26" s="8" t="n">
        <x:f>IF(S26=1,ROUND((J26-I26)*1440,6),"")</x:f>
        <x:v>44</x:v>
      </x:c>
      <x:c r="P26" s="11" t="n">
        <x:v>0</x:v>
      </x:c>
      <x:c r="Q26" s="11" t="n">
        <x:v>0</x:v>
      </x:c>
      <x:c r="R26" s="11" t="n">
        <x:v>0</x:v>
      </x:c>
      <x:c r="S26" s="11" t="n">
        <x:v>1</x:v>
      </x:c>
      <x:c r="T26" s="11" t="n">
        <x:v>1</x:v>
      </x:c>
      <x:c r="U26" s="2" t="str">
        <x:v>documented</x:v>
      </x:c>
      <x:c r="V26" s="2" t="str">
        <x:v>11A</x:v>
      </x:c>
      <x:c r="W26" s="11" t="n">
        <x:v>0</x:v>
      </x:c>
      <x:c r="X26" s="13"/>
    </x:row>
    <x:row r="27" ht="24" customHeight="1">
      <x:c r="A27" s="2" t="str">
        <x:v>133_26</x:v>
      </x:c>
      <x:c r="B27" s="10" t="str">
        <x:v>133</x:v>
      </x:c>
      <x:c r="C27" s="11" t="n">
        <x:v>27</x:v>
      </x:c>
      <x:c r="D27" s="11" t="n">
        <x:v>26</x:v>
      </x:c>
      <x:c r="E27" s="2" t="str">
        <x:v>Walk in</x:v>
      </x:c>
      <x:c r="F27" s="11" t="n">
        <x:v>1</x:v>
      </x:c>
      <x:c r="G27" s="12"/>
      <x:c r="H27" s="12"/>
      <x:c r="I27" s="12" t="n">
        <x:v>0.36319444444444443</x:v>
      </x:c>
      <x:c r="J27" s="12" t="n">
        <x:v>0.3993055555555556</x:v>
      </x:c>
      <x:c r="K27" s="10" t="str">
        <x:v>16</x:v>
      </x:c>
      <x:c r="L27" s="2" t="str">
        <x:v>direct_meal</x:v>
      </x:c>
      <x:c r="M27" s="8" t="str">
        <x:f>IF(P27=1,ROUND((H27-G27)*1440,6),"")</x:f>
      </x:c>
      <x:c r="N27" s="8" t="str">
        <x:f>IF(R27=1,M27,"")</x:f>
      </x:c>
      <x:c r="O27" s="8" t="n">
        <x:f>IF(S27=1,ROUND((J27-I27)*1440,6),"")</x:f>
        <x:v>52</x:v>
      </x:c>
      <x:c r="P27" s="11" t="n">
        <x:v>0</x:v>
      </x:c>
      <x:c r="Q27" s="11" t="n">
        <x:v>0</x:v>
      </x:c>
      <x:c r="R27" s="11" t="n">
        <x:v>0</x:v>
      </x:c>
      <x:c r="S27" s="11" t="n">
        <x:v>1</x:v>
      </x:c>
      <x:c r="T27" s="11" t="n">
        <x:v>1</x:v>
      </x:c>
      <x:c r="U27" s="2" t="str">
        <x:v>needs_mapping</x:v>
      </x:c>
      <x:c r="V27" s="2"/>
      <x:c r="W27" s="11" t="n">
        <x:v>1</x:v>
      </x:c>
      <x:c r="X27" s="13" t="str">
        <x:v>รหัสโต๊ะต้องยืนยัน</x:v>
      </x:c>
    </x:row>
    <x:row r="28" ht="24" customHeight="1">
      <x:c r="A28" s="2" t="str">
        <x:v>133_27</x:v>
      </x:c>
      <x:c r="B28" s="10" t="str">
        <x:v>133</x:v>
      </x:c>
      <x:c r="C28" s="11" t="n">
        <x:v>28</x:v>
      </x:c>
      <x:c r="D28" s="11" t="n">
        <x:v>27</x:v>
      </x:c>
      <x:c r="E28" s="2" t="str">
        <x:v>In house</x:v>
      </x:c>
      <x:c r="F28" s="11" t="n">
        <x:v>1</x:v>
      </x:c>
      <x:c r="G28" s="12"/>
      <x:c r="H28" s="12"/>
      <x:c r="I28" s="12" t="n">
        <x:v>0.3659722222222222</x:v>
      </x:c>
      <x:c r="J28" s="12" t="n">
        <x:v>0.3875</x:v>
      </x:c>
      <x:c r="K28" s="10" t="str">
        <x:v>12</x:v>
      </x:c>
      <x:c r="L28" s="2" t="str">
        <x:v>direct_meal</x:v>
      </x:c>
      <x:c r="M28" s="8" t="str">
        <x:f>IF(P28=1,ROUND((H28-G28)*1440,6),"")</x:f>
      </x:c>
      <x:c r="N28" s="8" t="str">
        <x:f>IF(R28=1,M28,"")</x:f>
      </x:c>
      <x:c r="O28" s="8" t="n">
        <x:f>IF(S28=1,ROUND((J28-I28)*1440,6),"")</x:f>
        <x:v>31</x:v>
      </x:c>
      <x:c r="P28" s="11" t="n">
        <x:v>0</x:v>
      </x:c>
      <x:c r="Q28" s="11" t="n">
        <x:v>0</x:v>
      </x:c>
      <x:c r="R28" s="11" t="n">
        <x:v>0</x:v>
      </x:c>
      <x:c r="S28" s="11" t="n">
        <x:v>1</x:v>
      </x:c>
      <x:c r="T28" s="11" t="n">
        <x:v>1</x:v>
      </x:c>
      <x:c r="U28" s="2" t="str">
        <x:v>documented</x:v>
      </x:c>
      <x:c r="V28" s="2" t="str">
        <x:v>12</x:v>
      </x:c>
      <x:c r="W28" s="11" t="n">
        <x:v>0</x:v>
      </x:c>
      <x:c r="X28" s="13"/>
    </x:row>
    <x:row r="29" ht="24" customHeight="1">
      <x:c r="A29" s="2" t="str">
        <x:v>133_28</x:v>
      </x:c>
      <x:c r="B29" s="10" t="str">
        <x:v>133</x:v>
      </x:c>
      <x:c r="C29" s="11" t="n">
        <x:v>29</x:v>
      </x:c>
      <x:c r="D29" s="11" t="n">
        <x:v>28</x:v>
      </x:c>
      <x:c r="E29" s="2" t="str">
        <x:v>In house</x:v>
      </x:c>
      <x:c r="F29" s="11" t="n">
        <x:v>2</x:v>
      </x:c>
      <x:c r="G29" s="12"/>
      <x:c r="H29" s="12"/>
      <x:c r="I29" s="12" t="n">
        <x:v>0.3701388888888889</x:v>
      </x:c>
      <x:c r="J29" s="12" t="n">
        <x:v>0.39444444444444443</x:v>
      </x:c>
      <x:c r="K29" s="10" t="str">
        <x:v>10A</x:v>
      </x:c>
      <x:c r="L29" s="2" t="str">
        <x:v>direct_meal</x:v>
      </x:c>
      <x:c r="M29" s="8" t="str">
        <x:f>IF(P29=1,ROUND((H29-G29)*1440,6),"")</x:f>
      </x:c>
      <x:c r="N29" s="8" t="str">
        <x:f>IF(R29=1,M29,"")</x:f>
      </x:c>
      <x:c r="O29" s="8" t="n">
        <x:f>IF(S29=1,ROUND((J29-I29)*1440,6),"")</x:f>
        <x:v>35</x:v>
      </x:c>
      <x:c r="P29" s="11" t="n">
        <x:v>0</x:v>
      </x:c>
      <x:c r="Q29" s="11" t="n">
        <x:v>0</x:v>
      </x:c>
      <x:c r="R29" s="11" t="n">
        <x:v>0</x:v>
      </x:c>
      <x:c r="S29" s="11" t="n">
        <x:v>1</x:v>
      </x:c>
      <x:c r="T29" s="11" t="n">
        <x:v>1</x:v>
      </x:c>
      <x:c r="U29" s="2" t="str">
        <x:v>documented</x:v>
      </x:c>
      <x:c r="V29" s="2" t="str">
        <x:v>10A</x:v>
      </x:c>
      <x:c r="W29" s="11" t="n">
        <x:v>0</x:v>
      </x:c>
      <x:c r="X29" s="13"/>
    </x:row>
    <x:row r="30" ht="24" customHeight="1">
      <x:c r="A30" s="2" t="str">
        <x:v>133_29</x:v>
      </x:c>
      <x:c r="B30" s="10" t="str">
        <x:v>133</x:v>
      </x:c>
      <x:c r="C30" s="11" t="n">
        <x:v>30</x:v>
      </x:c>
      <x:c r="D30" s="11" t="n">
        <x:v>29</x:v>
      </x:c>
      <x:c r="E30" s="2" t="str">
        <x:v>In house</x:v>
      </x:c>
      <x:c r="F30" s="11" t="n">
        <x:v>1</x:v>
      </x:c>
      <x:c r="G30" s="12"/>
      <x:c r="H30" s="12"/>
      <x:c r="I30" s="12" t="n">
        <x:v>0.3701388888888889</x:v>
      </x:c>
      <x:c r="J30" s="12" t="n">
        <x:v>0.3840277777777778</x:v>
      </x:c>
      <x:c r="K30" s="10" t="str">
        <x:v>7B</x:v>
      </x:c>
      <x:c r="L30" s="2" t="str">
        <x:v>direct_meal</x:v>
      </x:c>
      <x:c r="M30" s="8" t="str">
        <x:f>IF(P30=1,ROUND((H30-G30)*1440,6),"")</x:f>
      </x:c>
      <x:c r="N30" s="8" t="str">
        <x:f>IF(R30=1,M30,"")</x:f>
      </x:c>
      <x:c r="O30" s="8" t="n">
        <x:f>IF(S30=1,ROUND((J30-I30)*1440,6),"")</x:f>
        <x:v>20</x:v>
      </x:c>
      <x:c r="P30" s="11" t="n">
        <x:v>0</x:v>
      </x:c>
      <x:c r="Q30" s="11" t="n">
        <x:v>0</x:v>
      </x:c>
      <x:c r="R30" s="11" t="n">
        <x:v>0</x:v>
      </x:c>
      <x:c r="S30" s="11" t="n">
        <x:v>1</x:v>
      </x:c>
      <x:c r="T30" s="11" t="n">
        <x:v>1</x:v>
      </x:c>
      <x:c r="U30" s="2" t="str">
        <x:v>documented</x:v>
      </x:c>
      <x:c r="V30" s="2" t="str">
        <x:v>7B</x:v>
      </x:c>
      <x:c r="W30" s="11" t="n">
        <x:v>0</x:v>
      </x:c>
      <x:c r="X30" s="13"/>
    </x:row>
    <x:row r="31" ht="24" customHeight="1">
      <x:c r="A31" s="2" t="str">
        <x:v>133_30</x:v>
      </x:c>
      <x:c r="B31" s="10" t="str">
        <x:v>133</x:v>
      </x:c>
      <x:c r="C31" s="11" t="n">
        <x:v>31</x:v>
      </x:c>
      <x:c r="D31" s="11" t="n">
        <x:v>30</x:v>
      </x:c>
      <x:c r="E31" s="2" t="str">
        <x:v>In house</x:v>
      </x:c>
      <x:c r="F31" s="11" t="n">
        <x:v>3</x:v>
      </x:c>
      <x:c r="G31" s="12"/>
      <x:c r="H31" s="12"/>
      <x:c r="I31" s="12" t="n">
        <x:v>0.375</x:v>
      </x:c>
      <x:c r="J31" s="12" t="n">
        <x:v>0.39791666666666664</x:v>
      </x:c>
      <x:c r="K31" s="10" t="str">
        <x:v>6</x:v>
      </x:c>
      <x:c r="L31" s="2" t="str">
        <x:v>direct_meal</x:v>
      </x:c>
      <x:c r="M31" s="8" t="str">
        <x:f>IF(P31=1,ROUND((H31-G31)*1440,6),"")</x:f>
      </x:c>
      <x:c r="N31" s="8" t="str">
        <x:f>IF(R31=1,M31,"")</x:f>
      </x:c>
      <x:c r="O31" s="8" t="n">
        <x:f>IF(S31=1,ROUND((J31-I31)*1440,6),"")</x:f>
        <x:v>33</x:v>
      </x:c>
      <x:c r="P31" s="11" t="n">
        <x:v>0</x:v>
      </x:c>
      <x:c r="Q31" s="11" t="n">
        <x:v>0</x:v>
      </x:c>
      <x:c r="R31" s="11" t="n">
        <x:v>0</x:v>
      </x:c>
      <x:c r="S31" s="11" t="n">
        <x:v>1</x:v>
      </x:c>
      <x:c r="T31" s="11" t="n">
        <x:v>1</x:v>
      </x:c>
      <x:c r="U31" s="2" t="str">
        <x:v>needs_mapping</x:v>
      </x:c>
      <x:c r="V31" s="2"/>
      <x:c r="W31" s="11" t="n">
        <x:v>1</x:v>
      </x:c>
      <x:c r="X31" s="13" t="str">
        <x:v>รหัสโต๊ะต้องยืนยัน</x:v>
      </x:c>
    </x:row>
    <x:row r="32" ht="24" customHeight="1">
      <x:c r="A32" s="2" t="str">
        <x:v>133_31</x:v>
      </x:c>
      <x:c r="B32" s="10" t="str">
        <x:v>133</x:v>
      </x:c>
      <x:c r="C32" s="11" t="n">
        <x:v>32</x:v>
      </x:c>
      <x:c r="D32" s="11" t="n">
        <x:v>31</x:v>
      </x:c>
      <x:c r="E32" s="2" t="str">
        <x:v>Walk in</x:v>
      </x:c>
      <x:c r="F32" s="11" t="n">
        <x:v>2</x:v>
      </x:c>
      <x:c r="G32" s="12"/>
      <x:c r="H32" s="12"/>
      <x:c r="I32" s="12" t="n">
        <x:v>0.3784722222222222</x:v>
      </x:c>
      <x:c r="J32" s="12" t="n">
        <x:v>0.4166666666666667</x:v>
      </x:c>
      <x:c r="K32" s="10" t="str">
        <x:v>4</x:v>
      </x:c>
      <x:c r="L32" s="2" t="str">
        <x:v>direct_meal</x:v>
      </x:c>
      <x:c r="M32" s="8" t="str">
        <x:f>IF(P32=1,ROUND((H32-G32)*1440,6),"")</x:f>
      </x:c>
      <x:c r="N32" s="8" t="str">
        <x:f>IF(R32=1,M32,"")</x:f>
      </x:c>
      <x:c r="O32" s="8" t="n">
        <x:f>IF(S32=1,ROUND((J32-I32)*1440,6),"")</x:f>
        <x:v>55</x:v>
      </x:c>
      <x:c r="P32" s="11" t="n">
        <x:v>0</x:v>
      </x:c>
      <x:c r="Q32" s="11" t="n">
        <x:v>0</x:v>
      </x:c>
      <x:c r="R32" s="11" t="n">
        <x:v>0</x:v>
      </x:c>
      <x:c r="S32" s="11" t="n">
        <x:v>1</x:v>
      </x:c>
      <x:c r="T32" s="11" t="n">
        <x:v>1</x:v>
      </x:c>
      <x:c r="U32" s="2" t="str">
        <x:v>needs_mapping</x:v>
      </x:c>
      <x:c r="V32" s="2"/>
      <x:c r="W32" s="11" t="n">
        <x:v>1</x:v>
      </x:c>
      <x:c r="X32" s="13" t="str">
        <x:v>รหัสโต๊ะต้องยืนยัน</x:v>
      </x:c>
    </x:row>
    <x:row r="33" ht="24" customHeight="1">
      <x:c r="A33" s="2" t="str">
        <x:v>133_32</x:v>
      </x:c>
      <x:c r="B33" s="10" t="str">
        <x:v>133</x:v>
      </x:c>
      <x:c r="C33" s="11" t="n">
        <x:v>33</x:v>
      </x:c>
      <x:c r="D33" s="11" t="n">
        <x:v>32</x:v>
      </x:c>
      <x:c r="E33" s="2" t="str">
        <x:v>In house</x:v>
      </x:c>
      <x:c r="F33" s="11" t="n">
        <x:v>2</x:v>
      </x:c>
      <x:c r="G33" s="12"/>
      <x:c r="H33" s="12"/>
      <x:c r="I33" s="12" t="n">
        <x:v>0.3784722222222222</x:v>
      </x:c>
      <x:c r="J33" s="12" t="n">
        <x:v>0.40208333333333335</x:v>
      </x:c>
      <x:c r="K33" s="10" t="str">
        <x:v>8B</x:v>
      </x:c>
      <x:c r="L33" s="2" t="str">
        <x:v>direct_meal</x:v>
      </x:c>
      <x:c r="M33" s="8" t="str">
        <x:f>IF(P33=1,ROUND((H33-G33)*1440,6),"")</x:f>
      </x:c>
      <x:c r="N33" s="8" t="str">
        <x:f>IF(R33=1,M33,"")</x:f>
      </x:c>
      <x:c r="O33" s="8" t="n">
        <x:f>IF(S33=1,ROUND((J33-I33)*1440,6),"")</x:f>
        <x:v>34</x:v>
      </x:c>
      <x:c r="P33" s="11" t="n">
        <x:v>0</x:v>
      </x:c>
      <x:c r="Q33" s="11" t="n">
        <x:v>0</x:v>
      </x:c>
      <x:c r="R33" s="11" t="n">
        <x:v>0</x:v>
      </x:c>
      <x:c r="S33" s="11" t="n">
        <x:v>1</x:v>
      </x:c>
      <x:c r="T33" s="11" t="n">
        <x:v>1</x:v>
      </x:c>
      <x:c r="U33" s="2" t="str">
        <x:v>documented</x:v>
      </x:c>
      <x:c r="V33" s="2" t="str">
        <x:v>8B</x:v>
      </x:c>
      <x:c r="W33" s="11" t="n">
        <x:v>0</x:v>
      </x:c>
      <x:c r="X33" s="13"/>
    </x:row>
    <x:row r="34" ht="24" customHeight="1">
      <x:c r="A34" s="2" t="str">
        <x:v>133_33</x:v>
      </x:c>
      <x:c r="B34" s="10" t="str">
        <x:v>133</x:v>
      </x:c>
      <x:c r="C34" s="11" t="n">
        <x:v>34</x:v>
      </x:c>
      <x:c r="D34" s="11" t="n">
        <x:v>33</x:v>
      </x:c>
      <x:c r="E34" s="2" t="str">
        <x:v>Walk in</x:v>
      </x:c>
      <x:c r="F34" s="11" t="n">
        <x:v>2</x:v>
      </x:c>
      <x:c r="G34" s="12"/>
      <x:c r="H34" s="12"/>
      <x:c r="I34" s="12" t="n">
        <x:v>0.3798611111111111</x:v>
      </x:c>
      <x:c r="J34" s="12" t="n">
        <x:v>0.4215277777777778</x:v>
      </x:c>
      <x:c r="K34" s="10" t="str">
        <x:v>15A</x:v>
      </x:c>
      <x:c r="L34" s="2" t="str">
        <x:v>direct_meal</x:v>
      </x:c>
      <x:c r="M34" s="8" t="str">
        <x:f>IF(P34=1,ROUND((H34-G34)*1440,6),"")</x:f>
      </x:c>
      <x:c r="N34" s="8" t="str">
        <x:f>IF(R34=1,M34,"")</x:f>
      </x:c>
      <x:c r="O34" s="8" t="n">
        <x:f>IF(S34=1,ROUND((J34-I34)*1440,6),"")</x:f>
        <x:v>60</x:v>
      </x:c>
      <x:c r="P34" s="11" t="n">
        <x:v>0</x:v>
      </x:c>
      <x:c r="Q34" s="11" t="n">
        <x:v>0</x:v>
      </x:c>
      <x:c r="R34" s="11" t="n">
        <x:v>0</x:v>
      </x:c>
      <x:c r="S34" s="11" t="n">
        <x:v>1</x:v>
      </x:c>
      <x:c r="T34" s="11" t="n">
        <x:v>1</x:v>
      </x:c>
      <x:c r="U34" s="2" t="str">
        <x:v>needs_mapping</x:v>
      </x:c>
      <x:c r="V34" s="2"/>
      <x:c r="W34" s="11" t="n">
        <x:v>1</x:v>
      </x:c>
      <x:c r="X34" s="13" t="str">
        <x:v>รหัสโต๊ะต้องยืนยัน</x:v>
      </x:c>
    </x:row>
    <x:row r="35" ht="24" customHeight="1">
      <x:c r="A35" s="2" t="str">
        <x:v>133_34</x:v>
      </x:c>
      <x:c r="B35" s="10" t="str">
        <x:v>133</x:v>
      </x:c>
      <x:c r="C35" s="11" t="n">
        <x:v>35</x:v>
      </x:c>
      <x:c r="D35" s="11" t="n">
        <x:v>34</x:v>
      </x:c>
      <x:c r="E35" s="2" t="str">
        <x:v>In house</x:v>
      </x:c>
      <x:c r="F35" s="11" t="n">
        <x:v>2</x:v>
      </x:c>
      <x:c r="G35" s="12"/>
      <x:c r="H35" s="12"/>
      <x:c r="I35" s="12" t="n">
        <x:v>0.38055555555555554</x:v>
      </x:c>
      <x:c r="J35" s="12" t="n">
        <x:v>0.42291666666666666</x:v>
      </x:c>
      <x:c r="K35" s="10" t="str">
        <x:v>8A</x:v>
      </x:c>
      <x:c r="L35" s="2" t="str">
        <x:v>direct_meal</x:v>
      </x:c>
      <x:c r="M35" s="8" t="str">
        <x:f>IF(P35=1,ROUND((H35-G35)*1440,6),"")</x:f>
      </x:c>
      <x:c r="N35" s="8" t="str">
        <x:f>IF(R35=1,M35,"")</x:f>
      </x:c>
      <x:c r="O35" s="8" t="n">
        <x:f>IF(S35=1,ROUND((J35-I35)*1440,6),"")</x:f>
        <x:v>61</x:v>
      </x:c>
      <x:c r="P35" s="11" t="n">
        <x:v>0</x:v>
      </x:c>
      <x:c r="Q35" s="11" t="n">
        <x:v>0</x:v>
      </x:c>
      <x:c r="R35" s="11" t="n">
        <x:v>0</x:v>
      </x:c>
      <x:c r="S35" s="11" t="n">
        <x:v>1</x:v>
      </x:c>
      <x:c r="T35" s="11" t="n">
        <x:v>1</x:v>
      </x:c>
      <x:c r="U35" s="2" t="str">
        <x:v>documented</x:v>
      </x:c>
      <x:c r="V35" s="2" t="str">
        <x:v>8A</x:v>
      </x:c>
      <x:c r="W35" s="11" t="n">
        <x:v>0</x:v>
      </x:c>
      <x:c r="X35" s="13"/>
    </x:row>
    <x:row r="36" ht="24" customHeight="1">
      <x:c r="A36" s="2" t="str">
        <x:v>133_35</x:v>
      </x:c>
      <x:c r="B36" s="10" t="str">
        <x:v>133</x:v>
      </x:c>
      <x:c r="C36" s="11" t="n">
        <x:v>36</x:v>
      </x:c>
      <x:c r="D36" s="11" t="n">
        <x:v>35</x:v>
      </x:c>
      <x:c r="E36" s="2" t="str">
        <x:v>Walk in</x:v>
      </x:c>
      <x:c r="F36" s="11" t="n">
        <x:v>2</x:v>
      </x:c>
      <x:c r="G36" s="12"/>
      <x:c r="H36" s="12"/>
      <x:c r="I36" s="12" t="n">
        <x:v>0.3861111111111111</x:v>
      </x:c>
      <x:c r="J36" s="12" t="n">
        <x:v>0.42083333333333334</x:v>
      </x:c>
      <x:c r="K36" s="10" t="str">
        <x:v>8</x:v>
      </x:c>
      <x:c r="L36" s="2" t="str">
        <x:v>direct_meal</x:v>
      </x:c>
      <x:c r="M36" s="8" t="str">
        <x:f>IF(P36=1,ROUND((H36-G36)*1440,6),"")</x:f>
      </x:c>
      <x:c r="N36" s="8" t="str">
        <x:f>IF(R36=1,M36,"")</x:f>
      </x:c>
      <x:c r="O36" s="8" t="n">
        <x:f>IF(S36=1,ROUND((J36-I36)*1440,6),"")</x:f>
        <x:v>50</x:v>
      </x:c>
      <x:c r="P36" s="11" t="n">
        <x:v>0</x:v>
      </x:c>
      <x:c r="Q36" s="11" t="n">
        <x:v>0</x:v>
      </x:c>
      <x:c r="R36" s="11" t="n">
        <x:v>0</x:v>
      </x:c>
      <x:c r="S36" s="11" t="n">
        <x:v>1</x:v>
      </x:c>
      <x:c r="T36" s="11" t="n">
        <x:v>1</x:v>
      </x:c>
      <x:c r="U36" s="2" t="str">
        <x:v>needs_mapping</x:v>
      </x:c>
      <x:c r="V36" s="2"/>
      <x:c r="W36" s="11" t="n">
        <x:v>1</x:v>
      </x:c>
      <x:c r="X36" s="13" t="str">
        <x:v>รหัสโต๊ะต้องยืนยัน</x:v>
      </x:c>
    </x:row>
    <x:row r="37" ht="24" customHeight="1">
      <x:c r="A37" s="2" t="str">
        <x:v>133_36</x:v>
      </x:c>
      <x:c r="B37" s="10" t="str">
        <x:v>133</x:v>
      </x:c>
      <x:c r="C37" s="11" t="n">
        <x:v>37</x:v>
      </x:c>
      <x:c r="D37" s="11" t="n">
        <x:v>36</x:v>
      </x:c>
      <x:c r="E37" s="2" t="str">
        <x:v>In house</x:v>
      </x:c>
      <x:c r="F37" s="11" t="n">
        <x:v>1</x:v>
      </x:c>
      <x:c r="G37" s="12"/>
      <x:c r="H37" s="12"/>
      <x:c r="I37" s="12" t="n">
        <x:v>0.3909722222222222</x:v>
      </x:c>
      <x:c r="J37" s="12" t="n">
        <x:v>0.41458333333333336</x:v>
      </x:c>
      <x:c r="K37" s="10" t="str">
        <x:v>12</x:v>
      </x:c>
      <x:c r="L37" s="2" t="str">
        <x:v>direct_meal</x:v>
      </x:c>
      <x:c r="M37" s="8" t="str">
        <x:f>IF(P37=1,ROUND((H37-G37)*1440,6),"")</x:f>
      </x:c>
      <x:c r="N37" s="8" t="str">
        <x:f>IF(R37=1,M37,"")</x:f>
      </x:c>
      <x:c r="O37" s="8" t="n">
        <x:f>IF(S37=1,ROUND((J37-I37)*1440,6),"")</x:f>
        <x:v>34</x:v>
      </x:c>
      <x:c r="P37" s="11" t="n">
        <x:v>0</x:v>
      </x:c>
      <x:c r="Q37" s="11" t="n">
        <x:v>0</x:v>
      </x:c>
      <x:c r="R37" s="11" t="n">
        <x:v>0</x:v>
      </x:c>
      <x:c r="S37" s="11" t="n">
        <x:v>1</x:v>
      </x:c>
      <x:c r="T37" s="11" t="n">
        <x:v>1</x:v>
      </x:c>
      <x:c r="U37" s="2" t="str">
        <x:v>documented</x:v>
      </x:c>
      <x:c r="V37" s="2" t="str">
        <x:v>12</x:v>
      </x:c>
      <x:c r="W37" s="11" t="n">
        <x:v>0</x:v>
      </x:c>
      <x:c r="X37" s="13"/>
    </x:row>
    <x:row r="38" ht="24" customHeight="1">
      <x:c r="A38" s="2" t="str">
        <x:v>133_37</x:v>
      </x:c>
      <x:c r="B38" s="10" t="str">
        <x:v>133</x:v>
      </x:c>
      <x:c r="C38" s="11" t="n">
        <x:v>38</x:v>
      </x:c>
      <x:c r="D38" s="11" t="n">
        <x:v>37</x:v>
      </x:c>
      <x:c r="E38" s="2" t="str">
        <x:v>In house</x:v>
      </x:c>
      <x:c r="F38" s="11" t="n">
        <x:v>1</x:v>
      </x:c>
      <x:c r="G38" s="12"/>
      <x:c r="H38" s="12"/>
      <x:c r="I38" s="12" t="n">
        <x:v>0.3527777777777778</x:v>
      </x:c>
      <x:c r="J38" s="12" t="n">
        <x:v>0.3958333333333333</x:v>
      </x:c>
      <x:c r="K38" s="10" t="str">
        <x:v>7C</x:v>
      </x:c>
      <x:c r="L38" s="2" t="str">
        <x:v>direct_meal</x:v>
      </x:c>
      <x:c r="M38" s="8" t="str">
        <x:f>IF(P38=1,ROUND((H38-G38)*1440,6),"")</x:f>
      </x:c>
      <x:c r="N38" s="8" t="str">
        <x:f>IF(R38=1,M38,"")</x:f>
      </x:c>
      <x:c r="O38" s="8" t="n">
        <x:f>IF(S38=1,ROUND((J38-I38)*1440,6),"")</x:f>
        <x:v>62</x:v>
      </x:c>
      <x:c r="P38" s="11" t="n">
        <x:v>0</x:v>
      </x:c>
      <x:c r="Q38" s="11" t="n">
        <x:v>0</x:v>
      </x:c>
      <x:c r="R38" s="11" t="n">
        <x:v>0</x:v>
      </x:c>
      <x:c r="S38" s="11" t="n">
        <x:v>1</x:v>
      </x:c>
      <x:c r="T38" s="11" t="n">
        <x:v>1</x:v>
      </x:c>
      <x:c r="U38" s="2" t="str">
        <x:v>documented</x:v>
      </x:c>
      <x:c r="V38" s="2" t="str">
        <x:v>7C</x:v>
      </x:c>
      <x:c r="W38" s="11" t="n">
        <x:v>0</x:v>
      </x:c>
      <x:c r="X38" s="13"/>
    </x:row>
    <x:row r="39" ht="24" customHeight="1">
      <x:c r="A39" s="2" t="str">
        <x:v>133_38</x:v>
      </x:c>
      <x:c r="B39" s="10" t="str">
        <x:v>133</x:v>
      </x:c>
      <x:c r="C39" s="11" t="n">
        <x:v>39</x:v>
      </x:c>
      <x:c r="D39" s="11" t="n">
        <x:v>38</x:v>
      </x:c>
      <x:c r="E39" s="2" t="str">
        <x:v>In house</x:v>
      </x:c>
      <x:c r="F39" s="11" t="n">
        <x:v>1</x:v>
      </x:c>
      <x:c r="G39" s="12"/>
      <x:c r="H39" s="12"/>
      <x:c r="I39" s="12" t="n">
        <x:v>0.3958333333333333</x:v>
      </x:c>
      <x:c r="J39" s="12" t="n">
        <x:v>0.4201388888888889</x:v>
      </x:c>
      <x:c r="K39" s="10" t="str">
        <x:v>11A</x:v>
      </x:c>
      <x:c r="L39" s="2" t="str">
        <x:v>direct_meal</x:v>
      </x:c>
      <x:c r="M39" s="8" t="str">
        <x:f>IF(P39=1,ROUND((H39-G39)*1440,6),"")</x:f>
      </x:c>
      <x:c r="N39" s="8" t="str">
        <x:f>IF(R39=1,M39,"")</x:f>
      </x:c>
      <x:c r="O39" s="8" t="n">
        <x:f>IF(S39=1,ROUND((J39-I39)*1440,6),"")</x:f>
        <x:v>35</x:v>
      </x:c>
      <x:c r="P39" s="11" t="n">
        <x:v>0</x:v>
      </x:c>
      <x:c r="Q39" s="11" t="n">
        <x:v>0</x:v>
      </x:c>
      <x:c r="R39" s="11" t="n">
        <x:v>0</x:v>
      </x:c>
      <x:c r="S39" s="11" t="n">
        <x:v>1</x:v>
      </x:c>
      <x:c r="T39" s="11" t="n">
        <x:v>1</x:v>
      </x:c>
      <x:c r="U39" s="2" t="str">
        <x:v>documented</x:v>
      </x:c>
      <x:c r="V39" s="2" t="str">
        <x:v>11A</x:v>
      </x:c>
      <x:c r="W39" s="11" t="n">
        <x:v>0</x:v>
      </x:c>
      <x:c r="X39" s="13"/>
    </x:row>
    <x:row r="40" ht="24" customHeight="1">
      <x:c r="A40" s="2" t="str">
        <x:v>133_39</x:v>
      </x:c>
      <x:c r="B40" s="10" t="str">
        <x:v>133</x:v>
      </x:c>
      <x:c r="C40" s="11" t="n">
        <x:v>40</x:v>
      </x:c>
      <x:c r="D40" s="11" t="n">
        <x:v>39</x:v>
      </x:c>
      <x:c r="E40" s="2" t="str">
        <x:v>In house</x:v>
      </x:c>
      <x:c r="F40" s="11" t="n">
        <x:v>3</x:v>
      </x:c>
      <x:c r="G40" s="12"/>
      <x:c r="H40" s="12"/>
      <x:c r="I40" s="12" t="n">
        <x:v>0.4</x:v>
      </x:c>
      <x:c r="J40" s="12" t="n">
        <x:v>0.4513888888888889</x:v>
      </x:c>
      <x:c r="K40" s="10" t="str">
        <x:v>1</x:v>
      </x:c>
      <x:c r="L40" s="2" t="str">
        <x:v>direct_meal</x:v>
      </x:c>
      <x:c r="M40" s="8" t="str">
        <x:f>IF(P40=1,ROUND((H40-G40)*1440,6),"")</x:f>
      </x:c>
      <x:c r="N40" s="8" t="str">
        <x:f>IF(R40=1,M40,"")</x:f>
      </x:c>
      <x:c r="O40" s="8" t="n">
        <x:f>IF(S40=1,ROUND((J40-I40)*1440,6),"")</x:f>
        <x:v>74</x:v>
      </x:c>
      <x:c r="P40" s="11" t="n">
        <x:v>0</x:v>
      </x:c>
      <x:c r="Q40" s="11" t="n">
        <x:v>0</x:v>
      </x:c>
      <x:c r="R40" s="11" t="n">
        <x:v>0</x:v>
      </x:c>
      <x:c r="S40" s="11" t="n">
        <x:v>1</x:v>
      </x:c>
      <x:c r="T40" s="11" t="n">
        <x:v>1</x:v>
      </x:c>
      <x:c r="U40" s="2" t="str">
        <x:v>needs_mapping</x:v>
      </x:c>
      <x:c r="V40" s="2"/>
      <x:c r="W40" s="11" t="n">
        <x:v>1</x:v>
      </x:c>
      <x:c r="X40" s="13" t="str">
        <x:v>รหัสโต๊ะต้องยืนยัน</x:v>
      </x:c>
    </x:row>
    <x:row r="41" ht="24" customHeight="1">
      <x:c r="A41" s="2" t="str">
        <x:v>133_40</x:v>
      </x:c>
      <x:c r="B41" s="10" t="str">
        <x:v>133</x:v>
      </x:c>
      <x:c r="C41" s="11" t="n">
        <x:v>41</x:v>
      </x:c>
      <x:c r="D41" s="11" t="n">
        <x:v>40</x:v>
      </x:c>
      <x:c r="E41" s="2" t="str">
        <x:v>Walk in</x:v>
      </x:c>
      <x:c r="F41" s="11" t="n">
        <x:v>2</x:v>
      </x:c>
      <x:c r="G41" s="12"/>
      <x:c r="H41" s="12"/>
      <x:c r="I41" s="12" t="n">
        <x:v>0.39861111111111114</x:v>
      </x:c>
      <x:c r="J41" s="12" t="n">
        <x:v>0.4444444444444444</x:v>
      </x:c>
      <x:c r="K41" s="10" t="str">
        <x:v>5</x:v>
      </x:c>
      <x:c r="L41" s="2" t="str">
        <x:v>direct_meal</x:v>
      </x:c>
      <x:c r="M41" s="8" t="str">
        <x:f>IF(P41=1,ROUND((H41-G41)*1440,6),"")</x:f>
      </x:c>
      <x:c r="N41" s="8" t="str">
        <x:f>IF(R41=1,M41,"")</x:f>
      </x:c>
      <x:c r="O41" s="8" t="n">
        <x:f>IF(S41=1,ROUND((J41-I41)*1440,6),"")</x:f>
        <x:v>66</x:v>
      </x:c>
      <x:c r="P41" s="11" t="n">
        <x:v>0</x:v>
      </x:c>
      <x:c r="Q41" s="11" t="n">
        <x:v>0</x:v>
      </x:c>
      <x:c r="R41" s="11" t="n">
        <x:v>0</x:v>
      </x:c>
      <x:c r="S41" s="11" t="n">
        <x:v>1</x:v>
      </x:c>
      <x:c r="T41" s="11" t="n">
        <x:v>1</x:v>
      </x:c>
      <x:c r="U41" s="2" t="str">
        <x:v>needs_mapping</x:v>
      </x:c>
      <x:c r="V41" s="2"/>
      <x:c r="W41" s="11" t="n">
        <x:v>1</x:v>
      </x:c>
      <x:c r="X41" s="13" t="str">
        <x:v>รหัสโต๊ะต้องยืนยัน</x:v>
      </x:c>
    </x:row>
    <x:row r="42" ht="24" customHeight="1">
      <x:c r="A42" s="2" t="str">
        <x:v>133_41</x:v>
      </x:c>
      <x:c r="B42" s="10" t="str">
        <x:v>133</x:v>
      </x:c>
      <x:c r="C42" s="11" t="n">
        <x:v>42</x:v>
      </x:c>
      <x:c r="D42" s="11" t="n">
        <x:v>41</x:v>
      </x:c>
      <x:c r="E42" s="2" t="str">
        <x:v>In house</x:v>
      </x:c>
      <x:c r="F42" s="11" t="n">
        <x:v>2</x:v>
      </x:c>
      <x:c r="G42" s="12"/>
      <x:c r="H42" s="12"/>
      <x:c r="I42" s="12" t="n">
        <x:v>0.4041666666666667</x:v>
      </x:c>
      <x:c r="J42" s="12" t="n">
        <x:v>0.4375</x:v>
      </x:c>
      <x:c r="K42" s="10" t="str">
        <x:v>6</x:v>
      </x:c>
      <x:c r="L42" s="2" t="str">
        <x:v>direct_meal</x:v>
      </x:c>
      <x:c r="M42" s="8" t="str">
        <x:f>IF(P42=1,ROUND((H42-G42)*1440,6),"")</x:f>
      </x:c>
      <x:c r="N42" s="8" t="str">
        <x:f>IF(R42=1,M42,"")</x:f>
      </x:c>
      <x:c r="O42" s="8" t="n">
        <x:f>IF(S42=1,ROUND((J42-I42)*1440,6),"")</x:f>
        <x:v>48</x:v>
      </x:c>
      <x:c r="P42" s="11" t="n">
        <x:v>0</x:v>
      </x:c>
      <x:c r="Q42" s="11" t="n">
        <x:v>0</x:v>
      </x:c>
      <x:c r="R42" s="11" t="n">
        <x:v>0</x:v>
      </x:c>
      <x:c r="S42" s="11" t="n">
        <x:v>1</x:v>
      </x:c>
      <x:c r="T42" s="11" t="n">
        <x:v>1</x:v>
      </x:c>
      <x:c r="U42" s="2" t="str">
        <x:v>needs_mapping</x:v>
      </x:c>
      <x:c r="V42" s="2"/>
      <x:c r="W42" s="11" t="n">
        <x:v>1</x:v>
      </x:c>
      <x:c r="X42" s="13" t="str">
        <x:v>รหัสโต๊ะต้องยืนยัน</x:v>
      </x:c>
    </x:row>
    <x:row r="43" ht="24" customHeight="1">
      <x:c r="A43" s="2" t="str">
        <x:v>133_42</x:v>
      </x:c>
      <x:c r="B43" s="10" t="str">
        <x:v>133</x:v>
      </x:c>
      <x:c r="C43" s="11" t="n">
        <x:v>43</x:v>
      </x:c>
      <x:c r="D43" s="11" t="n">
        <x:v>42</x:v>
      </x:c>
      <x:c r="E43" s="2" t="str">
        <x:v>Walk in</x:v>
      </x:c>
      <x:c r="F43" s="11" t="n">
        <x:v>1</x:v>
      </x:c>
      <x:c r="G43" s="12"/>
      <x:c r="H43" s="12"/>
      <x:c r="I43" s="12" t="n">
        <x:v>0.41180555555555554</x:v>
      </x:c>
      <x:c r="J43" s="12" t="n">
        <x:v>0.4583333333333333</x:v>
      </x:c>
      <x:c r="K43" s="10" t="str">
        <x:v>7A</x:v>
      </x:c>
      <x:c r="L43" s="2" t="str">
        <x:v>direct_meal</x:v>
      </x:c>
      <x:c r="M43" s="8" t="str">
        <x:f>IF(P43=1,ROUND((H43-G43)*1440,6),"")</x:f>
      </x:c>
      <x:c r="N43" s="8" t="str">
        <x:f>IF(R43=1,M43,"")</x:f>
      </x:c>
      <x:c r="O43" s="8" t="n">
        <x:f>IF(S43=1,ROUND((J43-I43)*1440,6),"")</x:f>
        <x:v>67</x:v>
      </x:c>
      <x:c r="P43" s="11" t="n">
        <x:v>0</x:v>
      </x:c>
      <x:c r="Q43" s="11" t="n">
        <x:v>0</x:v>
      </x:c>
      <x:c r="R43" s="11" t="n">
        <x:v>0</x:v>
      </x:c>
      <x:c r="S43" s="11" t="n">
        <x:v>1</x:v>
      </x:c>
      <x:c r="T43" s="11" t="n">
        <x:v>1</x:v>
      </x:c>
      <x:c r="U43" s="2" t="str">
        <x:v>documented</x:v>
      </x:c>
      <x:c r="V43" s="2" t="str">
        <x:v>7A</x:v>
      </x:c>
      <x:c r="W43" s="11" t="n">
        <x:v>0</x:v>
      </x:c>
      <x:c r="X43" s="13"/>
    </x:row>
    <x:row r="44" ht="24" customHeight="1">
      <x:c r="A44" s="2" t="str">
        <x:v>133_43</x:v>
      </x:c>
      <x:c r="B44" s="10" t="str">
        <x:v>133</x:v>
      </x:c>
      <x:c r="C44" s="11" t="n">
        <x:v>44</x:v>
      </x:c>
      <x:c r="D44" s="11" t="n">
        <x:v>43</x:v>
      </x:c>
      <x:c r="E44" s="2" t="str">
        <x:v>In house</x:v>
      </x:c>
      <x:c r="F44" s="11" t="n">
        <x:v>2</x:v>
      </x:c>
      <x:c r="G44" s="12"/>
      <x:c r="H44" s="12"/>
      <x:c r="I44" s="12" t="n">
        <x:v>0.4131944444444444</x:v>
      </x:c>
      <x:c r="J44" s="12" t="n">
        <x:v>0.44027777777777777</x:v>
      </x:c>
      <x:c r="K44" s="10" t="str">
        <x:v>16</x:v>
      </x:c>
      <x:c r="L44" s="2" t="str">
        <x:v>direct_meal</x:v>
      </x:c>
      <x:c r="M44" s="8" t="str">
        <x:f>IF(P44=1,ROUND((H44-G44)*1440,6),"")</x:f>
      </x:c>
      <x:c r="N44" s="8" t="str">
        <x:f>IF(R44=1,M44,"")</x:f>
      </x:c>
      <x:c r="O44" s="8" t="n">
        <x:f>IF(S44=1,ROUND((J44-I44)*1440,6),"")</x:f>
        <x:v>39</x:v>
      </x:c>
      <x:c r="P44" s="11" t="n">
        <x:v>0</x:v>
      </x:c>
      <x:c r="Q44" s="11" t="n">
        <x:v>0</x:v>
      </x:c>
      <x:c r="R44" s="11" t="n">
        <x:v>0</x:v>
      </x:c>
      <x:c r="S44" s="11" t="n">
        <x:v>1</x:v>
      </x:c>
      <x:c r="T44" s="11" t="n">
        <x:v>1</x:v>
      </x:c>
      <x:c r="U44" s="2" t="str">
        <x:v>needs_mapping</x:v>
      </x:c>
      <x:c r="V44" s="2"/>
      <x:c r="W44" s="11" t="n">
        <x:v>1</x:v>
      </x:c>
      <x:c r="X44" s="13" t="str">
        <x:v>รหัสโต๊ะต้องยืนยัน</x:v>
      </x:c>
    </x:row>
    <x:row r="45" ht="24" customHeight="1">
      <x:c r="A45" s="2" t="str">
        <x:v>133_44</x:v>
      </x:c>
      <x:c r="B45" s="10" t="str">
        <x:v>133</x:v>
      </x:c>
      <x:c r="C45" s="11" t="n">
        <x:v>45</x:v>
      </x:c>
      <x:c r="D45" s="11" t="n">
        <x:v>44</x:v>
      </x:c>
      <x:c r="E45" s="2" t="str">
        <x:v>In house</x:v>
      </x:c>
      <x:c r="F45" s="11" t="n">
        <x:v>2</x:v>
      </x:c>
      <x:c r="G45" s="12"/>
      <x:c r="H45" s="12"/>
      <x:c r="I45" s="12" t="n">
        <x:v>0.41875</x:v>
      </x:c>
      <x:c r="J45" s="12" t="n">
        <x:v>0.4409722222222222</x:v>
      </x:c>
      <x:c r="K45" s="10" t="str">
        <x:v>7B</x:v>
      </x:c>
      <x:c r="L45" s="2" t="str">
        <x:v>direct_meal</x:v>
      </x:c>
      <x:c r="M45" s="8" t="str">
        <x:f>IF(P45=1,ROUND((H45-G45)*1440,6),"")</x:f>
      </x:c>
      <x:c r="N45" s="8" t="str">
        <x:f>IF(R45=1,M45,"")</x:f>
      </x:c>
      <x:c r="O45" s="8" t="n">
        <x:f>IF(S45=1,ROUND((J45-I45)*1440,6),"")</x:f>
        <x:v>32</x:v>
      </x:c>
      <x:c r="P45" s="11" t="n">
        <x:v>0</x:v>
      </x:c>
      <x:c r="Q45" s="11" t="n">
        <x:v>0</x:v>
      </x:c>
      <x:c r="R45" s="11" t="n">
        <x:v>0</x:v>
      </x:c>
      <x:c r="S45" s="11" t="n">
        <x:v>1</x:v>
      </x:c>
      <x:c r="T45" s="11" t="n">
        <x:v>1</x:v>
      </x:c>
      <x:c r="U45" s="2" t="str">
        <x:v>documented</x:v>
      </x:c>
      <x:c r="V45" s="2" t="str">
        <x:v>7B</x:v>
      </x:c>
      <x:c r="W45" s="11" t="n">
        <x:v>0</x:v>
      </x:c>
      <x:c r="X45" s="13"/>
    </x:row>
    <x:row r="46" ht="24" customHeight="1">
      <x:c r="A46" s="2" t="str">
        <x:v>133_45</x:v>
      </x:c>
      <x:c r="B46" s="10" t="str">
        <x:v>133</x:v>
      </x:c>
      <x:c r="C46" s="11" t="n">
        <x:v>46</x:v>
      </x:c>
      <x:c r="D46" s="11" t="n">
        <x:v>45</x:v>
      </x:c>
      <x:c r="E46" s="2" t="str">
        <x:v>In house</x:v>
      </x:c>
      <x:c r="F46" s="11" t="n">
        <x:v>2</x:v>
      </x:c>
      <x:c r="G46" s="12"/>
      <x:c r="H46" s="12"/>
      <x:c r="I46" s="12" t="n">
        <x:v>0.4201388888888889</x:v>
      </x:c>
      <x:c r="J46" s="12" t="n">
        <x:v>0.4625</x:v>
      </x:c>
      <x:c r="K46" s="10" t="str">
        <x:v>12</x:v>
      </x:c>
      <x:c r="L46" s="2" t="str">
        <x:v>direct_meal</x:v>
      </x:c>
      <x:c r="M46" s="8" t="str">
        <x:f>IF(P46=1,ROUND((H46-G46)*1440,6),"")</x:f>
      </x:c>
      <x:c r="N46" s="8" t="str">
        <x:f>IF(R46=1,M46,"")</x:f>
      </x:c>
      <x:c r="O46" s="8" t="n">
        <x:f>IF(S46=1,ROUND((J46-I46)*1440,6),"")</x:f>
        <x:v>61</x:v>
      </x:c>
      <x:c r="P46" s="11" t="n">
        <x:v>0</x:v>
      </x:c>
      <x:c r="Q46" s="11" t="n">
        <x:v>0</x:v>
      </x:c>
      <x:c r="R46" s="11" t="n">
        <x:v>0</x:v>
      </x:c>
      <x:c r="S46" s="11" t="n">
        <x:v>1</x:v>
      </x:c>
      <x:c r="T46" s="11" t="n">
        <x:v>1</x:v>
      </x:c>
      <x:c r="U46" s="2" t="str">
        <x:v>documented</x:v>
      </x:c>
      <x:c r="V46" s="2" t="str">
        <x:v>12</x:v>
      </x:c>
      <x:c r="W46" s="11" t="n">
        <x:v>0</x:v>
      </x:c>
      <x:c r="X46" s="13"/>
    </x:row>
    <x:row r="47" ht="24" customHeight="1">
      <x:c r="A47" s="2" t="str">
        <x:v>133_46</x:v>
      </x:c>
      <x:c r="B47" s="10" t="str">
        <x:v>133</x:v>
      </x:c>
      <x:c r="C47" s="11" t="n">
        <x:v>47</x:v>
      </x:c>
      <x:c r="D47" s="11" t="n">
        <x:v>46</x:v>
      </x:c>
      <x:c r="E47" s="2" t="str">
        <x:v>In house</x:v>
      </x:c>
      <x:c r="F47" s="11" t="n">
        <x:v>2</x:v>
      </x:c>
      <x:c r="G47" s="12"/>
      <x:c r="H47" s="12"/>
      <x:c r="I47" s="12" t="n">
        <x:v>0.4222222222222222</x:v>
      </x:c>
      <x:c r="J47" s="12" t="n">
        <x:v>0.4513888888888889</x:v>
      </x:c>
      <x:c r="K47" s="10" t="str">
        <x:v>10A</x:v>
      </x:c>
      <x:c r="L47" s="2" t="str">
        <x:v>direct_meal</x:v>
      </x:c>
      <x:c r="M47" s="8" t="str">
        <x:f>IF(P47=1,ROUND((H47-G47)*1440,6),"")</x:f>
      </x:c>
      <x:c r="N47" s="8" t="str">
        <x:f>IF(R47=1,M47,"")</x:f>
      </x:c>
      <x:c r="O47" s="8" t="n">
        <x:f>IF(S47=1,ROUND((J47-I47)*1440,6),"")</x:f>
        <x:v>42</x:v>
      </x:c>
      <x:c r="P47" s="11" t="n">
        <x:v>0</x:v>
      </x:c>
      <x:c r="Q47" s="11" t="n">
        <x:v>0</x:v>
      </x:c>
      <x:c r="R47" s="11" t="n">
        <x:v>0</x:v>
      </x:c>
      <x:c r="S47" s="11" t="n">
        <x:v>1</x:v>
      </x:c>
      <x:c r="T47" s="11" t="n">
        <x:v>1</x:v>
      </x:c>
      <x:c r="U47" s="2" t="str">
        <x:v>documented</x:v>
      </x:c>
      <x:c r="V47" s="2" t="str">
        <x:v>10A</x:v>
      </x:c>
      <x:c r="W47" s="11" t="n">
        <x:v>0</x:v>
      </x:c>
      <x:c r="X47" s="13"/>
    </x:row>
    <x:row r="48" ht="24" customHeight="1">
      <x:c r="A48" s="2" t="str">
        <x:v>133_47</x:v>
      </x:c>
      <x:c r="B48" s="10" t="str">
        <x:v>133</x:v>
      </x:c>
      <x:c r="C48" s="11" t="n">
        <x:v>48</x:v>
      </x:c>
      <x:c r="D48" s="11" t="n">
        <x:v>47</x:v>
      </x:c>
      <x:c r="E48" s="2" t="str">
        <x:v>Walk in</x:v>
      </x:c>
      <x:c r="F48" s="11" t="n">
        <x:v>2</x:v>
      </x:c>
      <x:c r="G48" s="12"/>
      <x:c r="H48" s="12"/>
      <x:c r="I48" s="12" t="n">
        <x:v>0.4236111111111111</x:v>
      </x:c>
      <x:c r="J48" s="12" t="n">
        <x:v>0.4652777777777778</x:v>
      </x:c>
      <x:c r="K48" s="10" t="str">
        <x:v>8B</x:v>
      </x:c>
      <x:c r="L48" s="2" t="str">
        <x:v>direct_meal</x:v>
      </x:c>
      <x:c r="M48" s="8" t="str">
        <x:f>IF(P48=1,ROUND((H48-G48)*1440,6),"")</x:f>
      </x:c>
      <x:c r="N48" s="8" t="str">
        <x:f>IF(R48=1,M48,"")</x:f>
      </x:c>
      <x:c r="O48" s="8" t="n">
        <x:f>IF(S48=1,ROUND((J48-I48)*1440,6),"")</x:f>
        <x:v>60</x:v>
      </x:c>
      <x:c r="P48" s="11" t="n">
        <x:v>0</x:v>
      </x:c>
      <x:c r="Q48" s="11" t="n">
        <x:v>0</x:v>
      </x:c>
      <x:c r="R48" s="11" t="n">
        <x:v>0</x:v>
      </x:c>
      <x:c r="S48" s="11" t="n">
        <x:v>1</x:v>
      </x:c>
      <x:c r="T48" s="11" t="n">
        <x:v>1</x:v>
      </x:c>
      <x:c r="U48" s="2" t="str">
        <x:v>documented</x:v>
      </x:c>
      <x:c r="V48" s="2" t="str">
        <x:v>8B</x:v>
      </x:c>
      <x:c r="W48" s="11" t="n">
        <x:v>0</x:v>
      </x:c>
      <x:c r="X48" s="13"/>
    </x:row>
    <x:row r="49" ht="24" customHeight="1">
      <x:c r="A49" s="2" t="str">
        <x:v>133_48</x:v>
      </x:c>
      <x:c r="B49" s="10" t="str">
        <x:v>133</x:v>
      </x:c>
      <x:c r="C49" s="11" t="n">
        <x:v>49</x:v>
      </x:c>
      <x:c r="D49" s="11" t="n">
        <x:v>48</x:v>
      </x:c>
      <x:c r="E49" s="2" t="str">
        <x:v>In house</x:v>
      </x:c>
      <x:c r="F49" s="11" t="n">
        <x:v>2</x:v>
      </x:c>
      <x:c r="G49" s="12"/>
      <x:c r="H49" s="12"/>
      <x:c r="I49" s="12" t="n">
        <x:v>0.4305555555555556</x:v>
      </x:c>
      <x:c r="J49" s="12" t="n">
        <x:v>0.45625</x:v>
      </x:c>
      <x:c r="K49" s="10" t="str">
        <x:v>4</x:v>
      </x:c>
      <x:c r="L49" s="2" t="str">
        <x:v>direct_meal</x:v>
      </x:c>
      <x:c r="M49" s="8" t="str">
        <x:f>IF(P49=1,ROUND((H49-G49)*1440,6),"")</x:f>
      </x:c>
      <x:c r="N49" s="8" t="str">
        <x:f>IF(R49=1,M49,"")</x:f>
      </x:c>
      <x:c r="O49" s="8" t="n">
        <x:f>IF(S49=1,ROUND((J49-I49)*1440,6),"")</x:f>
        <x:v>37</x:v>
      </x:c>
      <x:c r="P49" s="11" t="n">
        <x:v>0</x:v>
      </x:c>
      <x:c r="Q49" s="11" t="n">
        <x:v>0</x:v>
      </x:c>
      <x:c r="R49" s="11" t="n">
        <x:v>0</x:v>
      </x:c>
      <x:c r="S49" s="11" t="n">
        <x:v>1</x:v>
      </x:c>
      <x:c r="T49" s="11" t="n">
        <x:v>1</x:v>
      </x:c>
      <x:c r="U49" s="2" t="str">
        <x:v>needs_mapping</x:v>
      </x:c>
      <x:c r="V49" s="2"/>
      <x:c r="W49" s="11" t="n">
        <x:v>1</x:v>
      </x:c>
      <x:c r="X49" s="13" t="str">
        <x:v>รหัสโต๊ะต้องยืนยัน</x:v>
      </x:c>
    </x:row>
    <x:row r="50" ht="24" customHeight="1">
      <x:c r="A50" s="2" t="str">
        <x:v>133_49</x:v>
      </x:c>
      <x:c r="B50" s="10" t="str">
        <x:v>133</x:v>
      </x:c>
      <x:c r="C50" s="11" t="n">
        <x:v>50</x:v>
      </x:c>
      <x:c r="D50" s="11" t="n">
        <x:v>49</x:v>
      </x:c>
      <x:c r="E50" s="2" t="str">
        <x:v>Walk in</x:v>
      </x:c>
      <x:c r="F50" s="11" t="n">
        <x:v>2</x:v>
      </x:c>
      <x:c r="G50" s="12"/>
      <x:c r="H50" s="12"/>
      <x:c r="I50" s="12" t="n">
        <x:v>0.4388888888888889</x:v>
      </x:c>
      <x:c r="J50" s="12" t="n">
        <x:v>0.4583333333333333</x:v>
      </x:c>
      <x:c r="K50" s="10" t="str">
        <x:v>2</x:v>
      </x:c>
      <x:c r="L50" s="2" t="str">
        <x:v>direct_meal</x:v>
      </x:c>
      <x:c r="M50" s="8" t="str">
        <x:f>IF(P50=1,ROUND((H50-G50)*1440,6),"")</x:f>
      </x:c>
      <x:c r="N50" s="8" t="str">
        <x:f>IF(R50=1,M50,"")</x:f>
      </x:c>
      <x:c r="O50" s="8" t="n">
        <x:f>IF(S50=1,ROUND((J50-I50)*1440,6),"")</x:f>
        <x:v>28</x:v>
      </x:c>
      <x:c r="P50" s="11" t="n">
        <x:v>0</x:v>
      </x:c>
      <x:c r="Q50" s="11" t="n">
        <x:v>0</x:v>
      </x:c>
      <x:c r="R50" s="11" t="n">
        <x:v>0</x:v>
      </x:c>
      <x:c r="S50" s="11" t="n">
        <x:v>1</x:v>
      </x:c>
      <x:c r="T50" s="11" t="n">
        <x:v>1</x:v>
      </x:c>
      <x:c r="U50" s="2" t="str">
        <x:v>needs_mapping</x:v>
      </x:c>
      <x:c r="V50" s="2"/>
      <x:c r="W50" s="11" t="n">
        <x:v>1</x:v>
      </x:c>
      <x:c r="X50" s="13" t="str">
        <x:v>รหัสโต๊ะต้องยืนยัน</x:v>
      </x:c>
    </x:row>
    <x:row r="51" ht="24" customHeight="1">
      <x:c r="A51" s="2" t="str">
        <x:v>133_50</x:v>
      </x:c>
      <x:c r="B51" s="10" t="str">
        <x:v>133</x:v>
      </x:c>
      <x:c r="C51" s="11" t="n">
        <x:v>51</x:v>
      </x:c>
      <x:c r="D51" s="11" t="n">
        <x:v>50</x:v>
      </x:c>
      <x:c r="E51" s="2" t="str">
        <x:v>Walk in</x:v>
      </x:c>
      <x:c r="F51" s="11" t="n">
        <x:v>2</x:v>
      </x:c>
      <x:c r="G51" s="12"/>
      <x:c r="H51" s="12"/>
      <x:c r="I51" s="12" t="n">
        <x:v>0.4409722222222222</x:v>
      </x:c>
      <x:c r="J51" s="12" t="n">
        <x:v>0.4722222222222222</x:v>
      </x:c>
      <x:c r="K51" s="10" t="str">
        <x:v>6</x:v>
      </x:c>
      <x:c r="L51" s="2" t="str">
        <x:v>direct_meal</x:v>
      </x:c>
      <x:c r="M51" s="8" t="str">
        <x:f>IF(P51=1,ROUND((H51-G51)*1440,6),"")</x:f>
      </x:c>
      <x:c r="N51" s="8" t="str">
        <x:f>IF(R51=1,M51,"")</x:f>
      </x:c>
      <x:c r="O51" s="8" t="n">
        <x:f>IF(S51=1,ROUND((J51-I51)*1440,6),"")</x:f>
        <x:v>45</x:v>
      </x:c>
      <x:c r="P51" s="11" t="n">
        <x:v>0</x:v>
      </x:c>
      <x:c r="Q51" s="11" t="n">
        <x:v>0</x:v>
      </x:c>
      <x:c r="R51" s="11" t="n">
        <x:v>0</x:v>
      </x:c>
      <x:c r="S51" s="11" t="n">
        <x:v>1</x:v>
      </x:c>
      <x:c r="T51" s="11" t="n">
        <x:v>1</x:v>
      </x:c>
      <x:c r="U51" s="2" t="str">
        <x:v>needs_mapping</x:v>
      </x:c>
      <x:c r="V51" s="2"/>
      <x:c r="W51" s="11" t="n">
        <x:v>1</x:v>
      </x:c>
      <x:c r="X51" s="13" t="str">
        <x:v>รหัสโต๊ะต้องยืนยัน</x:v>
      </x:c>
    </x:row>
    <x:row r="52" ht="24" customHeight="1">
      <x:c r="A52" s="2" t="str">
        <x:v>133_51</x:v>
      </x:c>
      <x:c r="B52" s="10" t="str">
        <x:v>133</x:v>
      </x:c>
      <x:c r="C52" s="11" t="n">
        <x:v>52</x:v>
      </x:c>
      <x:c r="D52" s="11" t="n">
        <x:v>51</x:v>
      </x:c>
      <x:c r="E52" s="2" t="str">
        <x:v>In house</x:v>
      </x:c>
      <x:c r="F52" s="11" t="n">
        <x:v>2</x:v>
      </x:c>
      <x:c r="G52" s="12"/>
      <x:c r="H52" s="12"/>
      <x:c r="I52" s="12" t="n">
        <x:v>0.4479166666666667</x:v>
      </x:c>
      <x:c r="J52" s="12" t="n">
        <x:v>0.47708333333333336</x:v>
      </x:c>
      <x:c r="K52" s="10" t="str">
        <x:v>5</x:v>
      </x:c>
      <x:c r="L52" s="2" t="str">
        <x:v>direct_meal</x:v>
      </x:c>
      <x:c r="M52" s="8" t="str">
        <x:f>IF(P52=1,ROUND((H52-G52)*1440,6),"")</x:f>
      </x:c>
      <x:c r="N52" s="8" t="str">
        <x:f>IF(R52=1,M52,"")</x:f>
      </x:c>
      <x:c r="O52" s="8" t="n">
        <x:f>IF(S52=1,ROUND((J52-I52)*1440,6),"")</x:f>
        <x:v>42</x:v>
      </x:c>
      <x:c r="P52" s="11" t="n">
        <x:v>0</x:v>
      </x:c>
      <x:c r="Q52" s="11" t="n">
        <x:v>0</x:v>
      </x:c>
      <x:c r="R52" s="11" t="n">
        <x:v>0</x:v>
      </x:c>
      <x:c r="S52" s="11" t="n">
        <x:v>1</x:v>
      </x:c>
      <x:c r="T52" s="11" t="n">
        <x:v>1</x:v>
      </x:c>
      <x:c r="U52" s="2" t="str">
        <x:v>needs_mapping</x:v>
      </x:c>
      <x:c r="V52" s="2"/>
      <x:c r="W52" s="11" t="n">
        <x:v>1</x:v>
      </x:c>
      <x:c r="X52" s="13" t="str">
        <x:v>รหัสโต๊ะต้องยืนยัน</x:v>
      </x:c>
    </x:row>
    <x:row r="53" ht="24" customHeight="1">
      <x:c r="A53" s="2" t="str">
        <x:v>133_52</x:v>
      </x:c>
      <x:c r="B53" s="10" t="str">
        <x:v>133</x:v>
      </x:c>
      <x:c r="C53" s="11" t="n">
        <x:v>53</x:v>
      </x:c>
      <x:c r="D53" s="11" t="n">
        <x:v>52</x:v>
      </x:c>
      <x:c r="E53" s="2" t="str">
        <x:v>Walk in</x:v>
      </x:c>
      <x:c r="F53" s="11" t="n">
        <x:v>2</x:v>
      </x:c>
      <x:c r="G53" s="12"/>
      <x:c r="H53" s="12"/>
      <x:c r="I53" s="12" t="n">
        <x:v>0.4534722222222222</x:v>
      </x:c>
      <x:c r="J53" s="12" t="n">
        <x:v>0.4979166666666667</x:v>
      </x:c>
      <x:c r="K53" s="10" t="str">
        <x:v>9</x:v>
      </x:c>
      <x:c r="L53" s="2" t="str">
        <x:v>direct_meal</x:v>
      </x:c>
      <x:c r="M53" s="8" t="str">
        <x:f>IF(P53=1,ROUND((H53-G53)*1440,6),"")</x:f>
      </x:c>
      <x:c r="N53" s="8" t="str">
        <x:f>IF(R53=1,M53,"")</x:f>
      </x:c>
      <x:c r="O53" s="8" t="n">
        <x:f>IF(S53=1,ROUND((J53-I53)*1440,6),"")</x:f>
        <x:v>64</x:v>
      </x:c>
      <x:c r="P53" s="11" t="n">
        <x:v>0</x:v>
      </x:c>
      <x:c r="Q53" s="11" t="n">
        <x:v>0</x:v>
      </x:c>
      <x:c r="R53" s="11" t="n">
        <x:v>0</x:v>
      </x:c>
      <x:c r="S53" s="11" t="n">
        <x:v>1</x:v>
      </x:c>
      <x:c r="T53" s="11" t="n">
        <x:v>1</x:v>
      </x:c>
      <x:c r="U53" s="2" t="str">
        <x:v>needs_mapping</x:v>
      </x:c>
      <x:c r="V53" s="2"/>
      <x:c r="W53" s="11" t="n">
        <x:v>1</x:v>
      </x:c>
      <x:c r="X53" s="13" t="str">
        <x:v>รหัสโต๊ะต้องยืนยัน</x:v>
      </x:c>
    </x:row>
    <x:row r="54" ht="24" customHeight="1">
      <x:c r="A54" s="2" t="str">
        <x:v>133_53</x:v>
      </x:c>
      <x:c r="B54" s="10" t="str">
        <x:v>133</x:v>
      </x:c>
      <x:c r="C54" s="11" t="n">
        <x:v>54</x:v>
      </x:c>
      <x:c r="D54" s="11" t="n">
        <x:v>53</x:v>
      </x:c>
      <x:c r="E54" s="2" t="str">
        <x:v>Walk in</x:v>
      </x:c>
      <x:c r="F54" s="11" t="n">
        <x:v>2</x:v>
      </x:c>
      <x:c r="G54" s="12"/>
      <x:c r="H54" s="12"/>
      <x:c r="I54" s="12" t="n">
        <x:v>0.45694444444444443</x:v>
      </x:c>
      <x:c r="J54" s="12" t="n">
        <x:v>0.4979166666666667</x:v>
      </x:c>
      <x:c r="K54" s="10" t="str">
        <x:v>1</x:v>
      </x:c>
      <x:c r="L54" s="2" t="str">
        <x:v>direct_meal</x:v>
      </x:c>
      <x:c r="M54" s="8" t="str">
        <x:f>IF(P54=1,ROUND((H54-G54)*1440,6),"")</x:f>
      </x:c>
      <x:c r="N54" s="8" t="str">
        <x:f>IF(R54=1,M54,"")</x:f>
      </x:c>
      <x:c r="O54" s="8" t="n">
        <x:f>IF(S54=1,ROUND((J54-I54)*1440,6),"")</x:f>
        <x:v>59</x:v>
      </x:c>
      <x:c r="P54" s="11" t="n">
        <x:v>0</x:v>
      </x:c>
      <x:c r="Q54" s="11" t="n">
        <x:v>0</x:v>
      </x:c>
      <x:c r="R54" s="11" t="n">
        <x:v>0</x:v>
      </x:c>
      <x:c r="S54" s="11" t="n">
        <x:v>1</x:v>
      </x:c>
      <x:c r="T54" s="11" t="n">
        <x:v>1</x:v>
      </x:c>
      <x:c r="U54" s="2" t="str">
        <x:v>needs_mapping</x:v>
      </x:c>
      <x:c r="V54" s="2"/>
      <x:c r="W54" s="11" t="n">
        <x:v>1</x:v>
      </x:c>
      <x:c r="X54" s="13" t="str">
        <x:v>รหัสโต๊ะต้องยืนยัน</x:v>
      </x:c>
    </x:row>
    <x:row r="55" ht="24" customHeight="1">
      <x:c r="A55" s="2" t="str">
        <x:v>133_54</x:v>
      </x:c>
      <x:c r="B55" s="10" t="str">
        <x:v>133</x:v>
      </x:c>
      <x:c r="C55" s="11" t="n">
        <x:v>55</x:v>
      </x:c>
      <x:c r="D55" s="11" t="n">
        <x:v>54</x:v>
      </x:c>
      <x:c r="E55" s="2" t="str">
        <x:v>Walk in</x:v>
      </x:c>
      <x:c r="F55" s="11" t="n">
        <x:v>2</x:v>
      </x:c>
      <x:c r="G55" s="12"/>
      <x:c r="H55" s="12"/>
      <x:c r="I55" s="12" t="n">
        <x:v>0.4583333333333333</x:v>
      </x:c>
      <x:c r="J55" s="12" t="n">
        <x:v>0.5020833333333333</x:v>
      </x:c>
      <x:c r="K55" s="10" t="str">
        <x:v>4</x:v>
      </x:c>
      <x:c r="L55" s="2" t="str">
        <x:v>direct_meal</x:v>
      </x:c>
      <x:c r="M55" s="8" t="str">
        <x:f>IF(P55=1,ROUND((H55-G55)*1440,6),"")</x:f>
      </x:c>
      <x:c r="N55" s="8" t="str">
        <x:f>IF(R55=1,M55,"")</x:f>
      </x:c>
      <x:c r="O55" s="8" t="n">
        <x:f>IF(S55=1,ROUND((J55-I55)*1440,6),"")</x:f>
        <x:v>63</x:v>
      </x:c>
      <x:c r="P55" s="11" t="n">
        <x:v>0</x:v>
      </x:c>
      <x:c r="Q55" s="11" t="n">
        <x:v>0</x:v>
      </x:c>
      <x:c r="R55" s="11" t="n">
        <x:v>0</x:v>
      </x:c>
      <x:c r="S55" s="11" t="n">
        <x:v>1</x:v>
      </x:c>
      <x:c r="T55" s="11" t="n">
        <x:v>1</x:v>
      </x:c>
      <x:c r="U55" s="2" t="str">
        <x:v>needs_mapping</x:v>
      </x:c>
      <x:c r="V55" s="2"/>
      <x:c r="W55" s="11" t="n">
        <x:v>1</x:v>
      </x:c>
      <x:c r="X55" s="13" t="str">
        <x:v>รหัสโต๊ะต้องยืนยัน</x:v>
      </x:c>
    </x:row>
    <x:row r="56" ht="24" customHeight="1">
      <x:c r="A56" s="2" t="str">
        <x:v>133_55</x:v>
      </x:c>
      <x:c r="B56" s="10" t="str">
        <x:v>133</x:v>
      </x:c>
      <x:c r="C56" s="11" t="n">
        <x:v>56</x:v>
      </x:c>
      <x:c r="D56" s="11" t="n">
        <x:v>55</x:v>
      </x:c>
      <x:c r="E56" s="2" t="str">
        <x:v>Walk in</x:v>
      </x:c>
      <x:c r="F56" s="11" t="n">
        <x:v>2</x:v>
      </x:c>
      <x:c r="G56" s="12"/>
      <x:c r="H56" s="12"/>
      <x:c r="I56" s="12" t="n">
        <x:v>0.4583333333333333</x:v>
      </x:c>
      <x:c r="J56" s="12" t="n">
        <x:v>0.4895833333333333</x:v>
      </x:c>
      <x:c r="K56" s="10" t="str">
        <x:v>16</x:v>
      </x:c>
      <x:c r="L56" s="2" t="str">
        <x:v>direct_meal</x:v>
      </x:c>
      <x:c r="M56" s="8" t="str">
        <x:f>IF(P56=1,ROUND((H56-G56)*1440,6),"")</x:f>
      </x:c>
      <x:c r="N56" s="8" t="str">
        <x:f>IF(R56=1,M56,"")</x:f>
      </x:c>
      <x:c r="O56" s="8" t="n">
        <x:f>IF(S56=1,ROUND((J56-I56)*1440,6),"")</x:f>
        <x:v>45</x:v>
      </x:c>
      <x:c r="P56" s="11" t="n">
        <x:v>0</x:v>
      </x:c>
      <x:c r="Q56" s="11" t="n">
        <x:v>0</x:v>
      </x:c>
      <x:c r="R56" s="11" t="n">
        <x:v>0</x:v>
      </x:c>
      <x:c r="S56" s="11" t="n">
        <x:v>1</x:v>
      </x:c>
      <x:c r="T56" s="11" t="n">
        <x:v>1</x:v>
      </x:c>
      <x:c r="U56" s="2" t="str">
        <x:v>needs_mapping</x:v>
      </x:c>
      <x:c r="V56" s="2"/>
      <x:c r="W56" s="11" t="n">
        <x:v>1</x:v>
      </x:c>
      <x:c r="X56" s="13" t="str">
        <x:v>รหัสโต๊ะต้องยืนยัน</x:v>
      </x:c>
    </x:row>
    <x:row r="57" ht="24" customHeight="1">
      <x:c r="A57" s="2" t="str">
        <x:v>133_56</x:v>
      </x:c>
      <x:c r="B57" s="10" t="str">
        <x:v>133</x:v>
      </x:c>
      <x:c r="C57" s="11" t="n">
        <x:v>57</x:v>
      </x:c>
      <x:c r="D57" s="11" t="n">
        <x:v>56</x:v>
      </x:c>
      <x:c r="E57" s="2" t="str">
        <x:v>In house</x:v>
      </x:c>
      <x:c r="F57" s="11" t="n">
        <x:v>2</x:v>
      </x:c>
      <x:c r="G57" s="12"/>
      <x:c r="H57" s="12"/>
      <x:c r="I57" s="12" t="n">
        <x:v>0.46875</x:v>
      </x:c>
      <x:c r="J57" s="12" t="n">
        <x:v>0.48819444444444443</x:v>
      </x:c>
      <x:c r="K57" s="10" t="str">
        <x:v>3</x:v>
      </x:c>
      <x:c r="L57" s="2" t="str">
        <x:v>direct_meal</x:v>
      </x:c>
      <x:c r="M57" s="8" t="str">
        <x:f>IF(P57=1,ROUND((H57-G57)*1440,6),"")</x:f>
      </x:c>
      <x:c r="N57" s="8" t="str">
        <x:f>IF(R57=1,M57,"")</x:f>
      </x:c>
      <x:c r="O57" s="8" t="n">
        <x:f>IF(S57=1,ROUND((J57-I57)*1440,6),"")</x:f>
        <x:v>28</x:v>
      </x:c>
      <x:c r="P57" s="11" t="n">
        <x:v>0</x:v>
      </x:c>
      <x:c r="Q57" s="11" t="n">
        <x:v>0</x:v>
      </x:c>
      <x:c r="R57" s="11" t="n">
        <x:v>0</x:v>
      </x:c>
      <x:c r="S57" s="11" t="n">
        <x:v>1</x:v>
      </x:c>
      <x:c r="T57" s="11" t="n">
        <x:v>1</x:v>
      </x:c>
      <x:c r="U57" s="2" t="str">
        <x:v>needs_mapping</x:v>
      </x:c>
      <x:c r="V57" s="2"/>
      <x:c r="W57" s="11" t="n">
        <x:v>1</x:v>
      </x:c>
      <x:c r="X57" s="13" t="str">
        <x:v>รหัสโต๊ะต้องยืนยัน</x:v>
      </x:c>
    </x:row>
    <x:row r="58" ht="24" customHeight="1">
      <x:c r="A58" s="2" t="str">
        <x:v>133_57</x:v>
      </x:c>
      <x:c r="B58" s="10" t="str">
        <x:v>133</x:v>
      </x:c>
      <x:c r="C58" s="11" t="n">
        <x:v>58</x:v>
      </x:c>
      <x:c r="D58" s="11" t="n">
        <x:v>57</x:v>
      </x:c>
      <x:c r="E58" s="2" t="str">
        <x:v>Walk in</x:v>
      </x:c>
      <x:c r="F58" s="11" t="n">
        <x:v>2</x:v>
      </x:c>
      <x:c r="G58" s="12"/>
      <x:c r="H58" s="12"/>
      <x:c r="I58" s="12" t="n">
        <x:v>0.46944444444444444</x:v>
      </x:c>
      <x:c r="J58" s="12" t="n">
        <x:v>0.5</x:v>
      </x:c>
      <x:c r="K58" s="10" t="str">
        <x:v>2</x:v>
      </x:c>
      <x:c r="L58" s="2" t="str">
        <x:v>direct_meal</x:v>
      </x:c>
      <x:c r="M58" s="8" t="str">
        <x:f>IF(P58=1,ROUND((H58-G58)*1440,6),"")</x:f>
      </x:c>
      <x:c r="N58" s="8" t="str">
        <x:f>IF(R58=1,M58,"")</x:f>
      </x:c>
      <x:c r="O58" s="8" t="n">
        <x:f>IF(S58=1,ROUND((J58-I58)*1440,6),"")</x:f>
        <x:v>44</x:v>
      </x:c>
      <x:c r="P58" s="11" t="n">
        <x:v>0</x:v>
      </x:c>
      <x:c r="Q58" s="11" t="n">
        <x:v>0</x:v>
      </x:c>
      <x:c r="R58" s="11" t="n">
        <x:v>0</x:v>
      </x:c>
      <x:c r="S58" s="11" t="n">
        <x:v>1</x:v>
      </x:c>
      <x:c r="T58" s="11" t="n">
        <x:v>1</x:v>
      </x:c>
      <x:c r="U58" s="2" t="str">
        <x:v>needs_mapping</x:v>
      </x:c>
      <x:c r="V58" s="2"/>
      <x:c r="W58" s="11" t="n">
        <x:v>1</x:v>
      </x:c>
      <x:c r="X58" s="13" t="str">
        <x:v>รหัสโต๊ะต้องยืนยัน</x:v>
      </x:c>
    </x:row>
    <x:row r="59" ht="24" customHeight="1">
      <x:c r="A59" s="2" t="str">
        <x:v>143_1</x:v>
      </x:c>
      <x:c r="B59" s="10" t="str">
        <x:v>143</x:v>
      </x:c>
      <x:c r="C59" s="11" t="n">
        <x:v>2</x:v>
      </x:c>
      <x:c r="D59" s="11" t="n">
        <x:v>1</x:v>
      </x:c>
      <x:c r="E59" s="2" t="str">
        <x:v>Walk in</x:v>
      </x:c>
      <x:c r="F59" s="11" t="n">
        <x:v>1</x:v>
      </x:c>
      <x:c r="G59" s="12"/>
      <x:c r="H59" s="12"/>
      <x:c r="I59" s="12" t="n">
        <x:v>0.2701388888888889</x:v>
      </x:c>
      <x:c r="J59" s="12" t="n">
        <x:v>0.4263888888888889</x:v>
      </x:c>
      <x:c r="K59" s="10" t="str">
        <x:v>5B</x:v>
      </x:c>
      <x:c r="L59" s="2" t="str">
        <x:v>direct_meal</x:v>
      </x:c>
      <x:c r="M59" s="8" t="str">
        <x:f>IF(P59=1,ROUND((H59-G59)*1440,6),"")</x:f>
      </x:c>
      <x:c r="N59" s="8" t="str">
        <x:f>IF(R59=1,M59,"")</x:f>
      </x:c>
      <x:c r="O59" s="8" t="n">
        <x:f>IF(S59=1,ROUND((J59-I59)*1440,6),"")</x:f>
        <x:v>225</x:v>
      </x:c>
      <x:c r="P59" s="11" t="n">
        <x:v>0</x:v>
      </x:c>
      <x:c r="Q59" s="11" t="n">
        <x:v>0</x:v>
      </x:c>
      <x:c r="R59" s="11" t="n">
        <x:v>0</x:v>
      </x:c>
      <x:c r="S59" s="11" t="n">
        <x:v>1</x:v>
      </x:c>
      <x:c r="T59" s="11" t="n">
        <x:v>1</x:v>
      </x:c>
      <x:c r="U59" s="2" t="str">
        <x:v>documented</x:v>
      </x:c>
      <x:c r="V59" s="2" t="str">
        <x:v>5B</x:v>
      </x:c>
      <x:c r="W59" s="11" t="n">
        <x:v>0</x:v>
      </x:c>
      <x:c r="X59" s="13"/>
    </x:row>
    <x:row r="60" ht="24" customHeight="1">
      <x:c r="A60" s="2" t="str">
        <x:v>143_2</x:v>
      </x:c>
      <x:c r="B60" s="10" t="str">
        <x:v>143</x:v>
      </x:c>
      <x:c r="C60" s="11" t="n">
        <x:v>3</x:v>
      </x:c>
      <x:c r="D60" s="11" t="n">
        <x:v>2</x:v>
      </x:c>
      <x:c r="E60" s="2" t="str">
        <x:v>Walk in</x:v>
      </x:c>
      <x:c r="F60" s="11" t="n">
        <x:v>2</x:v>
      </x:c>
      <x:c r="G60" s="12"/>
      <x:c r="H60" s="12"/>
      <x:c r="I60" s="12" t="n">
        <x:v>0.2722222222222222</x:v>
      </x:c>
      <x:c r="J60" s="12" t="n">
        <x:v>0.3347222222222222</x:v>
      </x:c>
      <x:c r="K60" s="10" t="str">
        <x:v>7A</x:v>
      </x:c>
      <x:c r="L60" s="2" t="str">
        <x:v>direct_meal</x:v>
      </x:c>
      <x:c r="M60" s="8" t="str">
        <x:f>IF(P60=1,ROUND((H60-G60)*1440,6),"")</x:f>
      </x:c>
      <x:c r="N60" s="8" t="str">
        <x:f>IF(R60=1,M60,"")</x:f>
      </x:c>
      <x:c r="O60" s="8" t="n">
        <x:f>IF(S60=1,ROUND((J60-I60)*1440,6),"")</x:f>
        <x:v>90</x:v>
      </x:c>
      <x:c r="P60" s="11" t="n">
        <x:v>0</x:v>
      </x:c>
      <x:c r="Q60" s="11" t="n">
        <x:v>0</x:v>
      </x:c>
      <x:c r="R60" s="11" t="n">
        <x:v>0</x:v>
      </x:c>
      <x:c r="S60" s="11" t="n">
        <x:v>1</x:v>
      </x:c>
      <x:c r="T60" s="11" t="n">
        <x:v>1</x:v>
      </x:c>
      <x:c r="U60" s="2" t="str">
        <x:v>documented</x:v>
      </x:c>
      <x:c r="V60" s="2" t="str">
        <x:v>7A</x:v>
      </x:c>
      <x:c r="W60" s="11" t="n">
        <x:v>0</x:v>
      </x:c>
      <x:c r="X60" s="13"/>
    </x:row>
    <x:row r="61" ht="24" customHeight="1">
      <x:c r="A61" s="2" t="str">
        <x:v>143_3</x:v>
      </x:c>
      <x:c r="B61" s="10" t="str">
        <x:v>143</x:v>
      </x:c>
      <x:c r="C61" s="11" t="n">
        <x:v>4</x:v>
      </x:c>
      <x:c r="D61" s="11" t="n">
        <x:v>3</x:v>
      </x:c>
      <x:c r="E61" s="2" t="str">
        <x:v>Walk in</x:v>
      </x:c>
      <x:c r="F61" s="11" t="n">
        <x:v>1</x:v>
      </x:c>
      <x:c r="G61" s="12"/>
      <x:c r="H61" s="12"/>
      <x:c r="I61" s="12" t="n">
        <x:v>0.27291666666666664</x:v>
      </x:c>
      <x:c r="J61" s="12" t="n">
        <x:v>0.32430555555555557</x:v>
      </x:c>
      <x:c r="K61" s="10" t="str">
        <x:v>1A</x:v>
      </x:c>
      <x:c r="L61" s="2" t="str">
        <x:v>direct_meal</x:v>
      </x:c>
      <x:c r="M61" s="8" t="str">
        <x:f>IF(P61=1,ROUND((H61-G61)*1440,6),"")</x:f>
      </x:c>
      <x:c r="N61" s="8" t="str">
        <x:f>IF(R61=1,M61,"")</x:f>
      </x:c>
      <x:c r="O61" s="8" t="n">
        <x:f>IF(S61=1,ROUND((J61-I61)*1440,6),"")</x:f>
        <x:v>74</x:v>
      </x:c>
      <x:c r="P61" s="11" t="n">
        <x:v>0</x:v>
      </x:c>
      <x:c r="Q61" s="11" t="n">
        <x:v>0</x:v>
      </x:c>
      <x:c r="R61" s="11" t="n">
        <x:v>0</x:v>
      </x:c>
      <x:c r="S61" s="11" t="n">
        <x:v>1</x:v>
      </x:c>
      <x:c r="T61" s="11" t="n">
        <x:v>1</x:v>
      </x:c>
      <x:c r="U61" s="2" t="str">
        <x:v>documented</x:v>
      </x:c>
      <x:c r="V61" s="2" t="str">
        <x:v>1A</x:v>
      </x:c>
      <x:c r="W61" s="11" t="n">
        <x:v>0</x:v>
      </x:c>
      <x:c r="X61" s="13"/>
    </x:row>
    <x:row r="62" ht="24" customHeight="1">
      <x:c r="A62" s="2" t="str">
        <x:v>143_4</x:v>
      </x:c>
      <x:c r="B62" s="10" t="str">
        <x:v>143</x:v>
      </x:c>
      <x:c r="C62" s="11" t="n">
        <x:v>5</x:v>
      </x:c>
      <x:c r="D62" s="11" t="n">
        <x:v>4</x:v>
      </x:c>
      <x:c r="E62" s="2" t="str">
        <x:v>Walk in</x:v>
      </x:c>
      <x:c r="F62" s="11" t="n">
        <x:v>4</x:v>
      </x:c>
      <x:c r="G62" s="12"/>
      <x:c r="H62" s="12"/>
      <x:c r="I62" s="12" t="n">
        <x:v>0.27291666666666664</x:v>
      </x:c>
      <x:c r="J62" s="12" t="n">
        <x:v>0.33958333333333335</x:v>
      </x:c>
      <x:c r="K62" s="10" t="str">
        <x:v>4B</x:v>
      </x:c>
      <x:c r="L62" s="2" t="str">
        <x:v>direct_meal</x:v>
      </x:c>
      <x:c r="M62" s="8" t="str">
        <x:f>IF(P62=1,ROUND((H62-G62)*1440,6),"")</x:f>
      </x:c>
      <x:c r="N62" s="8" t="str">
        <x:f>IF(R62=1,M62,"")</x:f>
      </x:c>
      <x:c r="O62" s="8" t="n">
        <x:f>IF(S62=1,ROUND((J62-I62)*1440,6),"")</x:f>
        <x:v>96</x:v>
      </x:c>
      <x:c r="P62" s="11" t="n">
        <x:v>0</x:v>
      </x:c>
      <x:c r="Q62" s="11" t="n">
        <x:v>0</x:v>
      </x:c>
      <x:c r="R62" s="11" t="n">
        <x:v>0</x:v>
      </x:c>
      <x:c r="S62" s="11" t="n">
        <x:v>1</x:v>
      </x:c>
      <x:c r="T62" s="11" t="n">
        <x:v>1</x:v>
      </x:c>
      <x:c r="U62" s="2" t="str">
        <x:v>documented</x:v>
      </x:c>
      <x:c r="V62" s="2" t="str">
        <x:v>4B</x:v>
      </x:c>
      <x:c r="W62" s="11" t="n">
        <x:v>0</x:v>
      </x:c>
      <x:c r="X62" s="13"/>
    </x:row>
    <x:row r="63" ht="24" customHeight="1">
      <x:c r="A63" s="2" t="str">
        <x:v>143_5</x:v>
      </x:c>
      <x:c r="B63" s="10" t="str">
        <x:v>143</x:v>
      </x:c>
      <x:c r="C63" s="11" t="n">
        <x:v>6</x:v>
      </x:c>
      <x:c r="D63" s="11" t="n">
        <x:v>5</x:v>
      </x:c>
      <x:c r="E63" s="2" t="str">
        <x:v>Walk in</x:v>
      </x:c>
      <x:c r="F63" s="11" t="n">
        <x:v>2</x:v>
      </x:c>
      <x:c r="G63" s="12"/>
      <x:c r="H63" s="12"/>
      <x:c r="I63" s="12" t="n">
        <x:v>0.275</x:v>
      </x:c>
      <x:c r="J63" s="12" t="n">
        <x:v>0.3229166666666667</x:v>
      </x:c>
      <x:c r="K63" s="10" t="str">
        <x:v>16</x:v>
      </x:c>
      <x:c r="L63" s="2" t="str">
        <x:v>direct_meal</x:v>
      </x:c>
      <x:c r="M63" s="8" t="str">
        <x:f>IF(P63=1,ROUND((H63-G63)*1440,6),"")</x:f>
      </x:c>
      <x:c r="N63" s="8" t="str">
        <x:f>IF(R63=1,M63,"")</x:f>
      </x:c>
      <x:c r="O63" s="8" t="n">
        <x:f>IF(S63=1,ROUND((J63-I63)*1440,6),"")</x:f>
        <x:v>69</x:v>
      </x:c>
      <x:c r="P63" s="11" t="n">
        <x:v>0</x:v>
      </x:c>
      <x:c r="Q63" s="11" t="n">
        <x:v>0</x:v>
      </x:c>
      <x:c r="R63" s="11" t="n">
        <x:v>0</x:v>
      </x:c>
      <x:c r="S63" s="11" t="n">
        <x:v>1</x:v>
      </x:c>
      <x:c r="T63" s="11" t="n">
        <x:v>1</x:v>
      </x:c>
      <x:c r="U63" s="2" t="str">
        <x:v>needs_mapping</x:v>
      </x:c>
      <x:c r="V63" s="2"/>
      <x:c r="W63" s="11" t="n">
        <x:v>1</x:v>
      </x:c>
      <x:c r="X63" s="13" t="str">
        <x:v>รหัสโต๊ะต้องยืนยัน</x:v>
      </x:c>
    </x:row>
    <x:row r="64" ht="24" customHeight="1">
      <x:c r="A64" s="2" t="str">
        <x:v>143_6</x:v>
      </x:c>
      <x:c r="B64" s="10" t="str">
        <x:v>143</x:v>
      </x:c>
      <x:c r="C64" s="11" t="n">
        <x:v>7</x:v>
      </x:c>
      <x:c r="D64" s="11" t="n">
        <x:v>6</x:v>
      </x:c>
      <x:c r="E64" s="2" t="str">
        <x:v>Walk in</x:v>
      </x:c>
      <x:c r="F64" s="11" t="n">
        <x:v>1</x:v>
      </x:c>
      <x:c r="G64" s="12"/>
      <x:c r="H64" s="12"/>
      <x:c r="I64" s="12" t="n">
        <x:v>0.28055555555555556</x:v>
      </x:c>
      <x:c r="J64" s="12" t="n">
        <x:v>0.30277777777777776</x:v>
      </x:c>
      <x:c r="K64" s="10" t="str">
        <x:v>3</x:v>
      </x:c>
      <x:c r="L64" s="2" t="str">
        <x:v>direct_meal</x:v>
      </x:c>
      <x:c r="M64" s="8" t="str">
        <x:f>IF(P64=1,ROUND((H64-G64)*1440,6),"")</x:f>
      </x:c>
      <x:c r="N64" s="8" t="str">
        <x:f>IF(R64=1,M64,"")</x:f>
      </x:c>
      <x:c r="O64" s="8" t="n">
        <x:f>IF(S64=1,ROUND((J64-I64)*1440,6),"")</x:f>
        <x:v>32</x:v>
      </x:c>
      <x:c r="P64" s="11" t="n">
        <x:v>0</x:v>
      </x:c>
      <x:c r="Q64" s="11" t="n">
        <x:v>0</x:v>
      </x:c>
      <x:c r="R64" s="11" t="n">
        <x:v>0</x:v>
      </x:c>
      <x:c r="S64" s="11" t="n">
        <x:v>1</x:v>
      </x:c>
      <x:c r="T64" s="11" t="n">
        <x:v>1</x:v>
      </x:c>
      <x:c r="U64" s="2" t="str">
        <x:v>needs_mapping</x:v>
      </x:c>
      <x:c r="V64" s="2"/>
      <x:c r="W64" s="11" t="n">
        <x:v>1</x:v>
      </x:c>
      <x:c r="X64" s="13" t="str">
        <x:v>รหัสโต๊ะต้องยืนยัน</x:v>
      </x:c>
    </x:row>
    <x:row r="65" ht="24" customHeight="1">
      <x:c r="A65" s="2" t="str">
        <x:v>143_7</x:v>
      </x:c>
      <x:c r="B65" s="10" t="str">
        <x:v>143</x:v>
      </x:c>
      <x:c r="C65" s="11" t="n">
        <x:v>8</x:v>
      </x:c>
      <x:c r="D65" s="11" t="n">
        <x:v>7</x:v>
      </x:c>
      <x:c r="E65" s="2" t="str">
        <x:v>Walk in</x:v>
      </x:c>
      <x:c r="F65" s="11" t="n">
        <x:v>1</x:v>
      </x:c>
      <x:c r="G65" s="12"/>
      <x:c r="H65" s="12"/>
      <x:c r="I65" s="12" t="n">
        <x:v>0.28055555555555556</x:v>
      </x:c>
      <x:c r="J65" s="12" t="n">
        <x:v>0.35208333333333336</x:v>
      </x:c>
      <x:c r="K65" s="10" t="str">
        <x:v>6</x:v>
      </x:c>
      <x:c r="L65" s="2" t="str">
        <x:v>direct_meal</x:v>
      </x:c>
      <x:c r="M65" s="8" t="str">
        <x:f>IF(P65=1,ROUND((H65-G65)*1440,6),"")</x:f>
      </x:c>
      <x:c r="N65" s="8" t="str">
        <x:f>IF(R65=1,M65,"")</x:f>
      </x:c>
      <x:c r="O65" s="8" t="n">
        <x:f>IF(S65=1,ROUND((J65-I65)*1440,6),"")</x:f>
        <x:v>103</x:v>
      </x:c>
      <x:c r="P65" s="11" t="n">
        <x:v>0</x:v>
      </x:c>
      <x:c r="Q65" s="11" t="n">
        <x:v>0</x:v>
      </x:c>
      <x:c r="R65" s="11" t="n">
        <x:v>0</x:v>
      </x:c>
      <x:c r="S65" s="11" t="n">
        <x:v>1</x:v>
      </x:c>
      <x:c r="T65" s="11" t="n">
        <x:v>1</x:v>
      </x:c>
      <x:c r="U65" s="2" t="str">
        <x:v>needs_mapping</x:v>
      </x:c>
      <x:c r="V65" s="2"/>
      <x:c r="W65" s="11" t="n">
        <x:v>1</x:v>
      </x:c>
      <x:c r="X65" s="13" t="str">
        <x:v>รหัสโต๊ะต้องยืนยัน</x:v>
      </x:c>
    </x:row>
    <x:row r="66" ht="24" customHeight="1">
      <x:c r="A66" s="2" t="str">
        <x:v>143_8</x:v>
      </x:c>
      <x:c r="B66" s="10" t="str">
        <x:v>143</x:v>
      </x:c>
      <x:c r="C66" s="11" t="n">
        <x:v>9</x:v>
      </x:c>
      <x:c r="D66" s="11" t="n">
        <x:v>8</x:v>
      </x:c>
      <x:c r="E66" s="2" t="str">
        <x:v>Walk in</x:v>
      </x:c>
      <x:c r="F66" s="11" t="n">
        <x:v>1</x:v>
      </x:c>
      <x:c r="G66" s="12"/>
      <x:c r="H66" s="12"/>
      <x:c r="I66" s="12" t="n">
        <x:v>0.28055555555555556</x:v>
      </x:c>
      <x:c r="J66" s="12" t="n">
        <x:v>0.325</x:v>
      </x:c>
      <x:c r="K66" s="10" t="str">
        <x:v>11</x:v>
      </x:c>
      <x:c r="L66" s="2" t="str">
        <x:v>direct_meal</x:v>
      </x:c>
      <x:c r="M66" s="8" t="str">
        <x:f>IF(P66=1,ROUND((H66-G66)*1440,6),"")</x:f>
      </x:c>
      <x:c r="N66" s="8" t="str">
        <x:f>IF(R66=1,M66,"")</x:f>
      </x:c>
      <x:c r="O66" s="8" t="n">
        <x:f>IF(S66=1,ROUND((J66-I66)*1440,6),"")</x:f>
        <x:v>64</x:v>
      </x:c>
      <x:c r="P66" s="11" t="n">
        <x:v>0</x:v>
      </x:c>
      <x:c r="Q66" s="11" t="n">
        <x:v>0</x:v>
      </x:c>
      <x:c r="R66" s="11" t="n">
        <x:v>0</x:v>
      </x:c>
      <x:c r="S66" s="11" t="n">
        <x:v>1</x:v>
      </x:c>
      <x:c r="T66" s="11" t="n">
        <x:v>1</x:v>
      </x:c>
      <x:c r="U66" s="2" t="str">
        <x:v>needs_mapping</x:v>
      </x:c>
      <x:c r="V66" s="2"/>
      <x:c r="W66" s="11" t="n">
        <x:v>1</x:v>
      </x:c>
      <x:c r="X66" s="13" t="str">
        <x:v>รหัสโต๊ะต้องยืนยัน</x:v>
      </x:c>
    </x:row>
    <x:row r="67" ht="24" customHeight="1">
      <x:c r="A67" s="2" t="str">
        <x:v>143_9</x:v>
      </x:c>
      <x:c r="B67" s="10" t="str">
        <x:v>143</x:v>
      </x:c>
      <x:c r="C67" s="11" t="n">
        <x:v>10</x:v>
      </x:c>
      <x:c r="D67" s="11" t="n">
        <x:v>9</x:v>
      </x:c>
      <x:c r="E67" s="2" t="str">
        <x:v>Walk in</x:v>
      </x:c>
      <x:c r="F67" s="11" t="n">
        <x:v>2</x:v>
      </x:c>
      <x:c r="G67" s="12"/>
      <x:c r="H67" s="12"/>
      <x:c r="I67" s="12" t="n">
        <x:v>0.2833333333333333</x:v>
      </x:c>
      <x:c r="J67" s="12" t="n">
        <x:v>0.3263888888888889</x:v>
      </x:c>
      <x:c r="K67" s="10" t="str">
        <x:v>4A</x:v>
      </x:c>
      <x:c r="L67" s="2" t="str">
        <x:v>direct_meal</x:v>
      </x:c>
      <x:c r="M67" s="8" t="str">
        <x:f>IF(P67=1,ROUND((H67-G67)*1440,6),"")</x:f>
      </x:c>
      <x:c r="N67" s="8" t="str">
        <x:f>IF(R67=1,M67,"")</x:f>
      </x:c>
      <x:c r="O67" s="8" t="n">
        <x:f>IF(S67=1,ROUND((J67-I67)*1440,6),"")</x:f>
        <x:v>62</x:v>
      </x:c>
      <x:c r="P67" s="11" t="n">
        <x:v>0</x:v>
      </x:c>
      <x:c r="Q67" s="11" t="n">
        <x:v>0</x:v>
      </x:c>
      <x:c r="R67" s="11" t="n">
        <x:v>0</x:v>
      </x:c>
      <x:c r="S67" s="11" t="n">
        <x:v>1</x:v>
      </x:c>
      <x:c r="T67" s="11" t="n">
        <x:v>1</x:v>
      </x:c>
      <x:c r="U67" s="2" t="str">
        <x:v>documented</x:v>
      </x:c>
      <x:c r="V67" s="2" t="str">
        <x:v>4A</x:v>
      </x:c>
      <x:c r="W67" s="11" t="n">
        <x:v>0</x:v>
      </x:c>
      <x:c r="X67" s="13"/>
    </x:row>
    <x:row r="68" ht="24" customHeight="1">
      <x:c r="A68" s="2" t="str">
        <x:v>143_10</x:v>
      </x:c>
      <x:c r="B68" s="10" t="str">
        <x:v>143</x:v>
      </x:c>
      <x:c r="C68" s="11" t="n">
        <x:v>11</x:v>
      </x:c>
      <x:c r="D68" s="11" t="n">
        <x:v>10</x:v>
      </x:c>
      <x:c r="E68" s="2" t="str">
        <x:v>Walk in</x:v>
      </x:c>
      <x:c r="F68" s="11" t="n">
        <x:v>1</x:v>
      </x:c>
      <x:c r="G68" s="12" t="n">
        <x:v>0.2965277777777778</x:v>
      </x:c>
      <x:c r="H68" s="12" t="n">
        <x:v>0.3020833333333333</x:v>
      </x:c>
      <x:c r="I68" s="12" t="n">
        <x:v>0.3034722222222222</x:v>
      </x:c>
      <x:c r="J68" s="12" t="n">
        <x:v>0.39305555555555555</x:v>
      </x:c>
      <x:c r="K68" s="10" t="str">
        <x:v>3B</x:v>
      </x:c>
      <x:c r="L68" s="2" t="str">
        <x:v>queued_meal</x:v>
      </x:c>
      <x:c r="M68" s="8" t="n">
        <x:f>IF(P68=1,ROUND((H68-G68)*1440,6),"")</x:f>
        <x:v>8</x:v>
      </x:c>
      <x:c r="N68" s="8" t="n">
        <x:f>IF(R68=1,M68,"")</x:f>
        <x:v>8</x:v>
      </x:c>
      <x:c r="O68" s="8" t="n">
        <x:f>IF(S68=1,ROUND((J68-I68)*1440,6),"")</x:f>
        <x:v>129</x:v>
      </x:c>
      <x:c r="P68" s="11" t="n">
        <x:v>1</x:v>
      </x:c>
      <x:c r="Q68" s="11" t="n">
        <x:v>0</x:v>
      </x:c>
      <x:c r="R68" s="11" t="n">
        <x:v>1</x:v>
      </x:c>
      <x:c r="S68" s="11" t="n">
        <x:v>1</x:v>
      </x:c>
      <x:c r="T68" s="11" t="n">
        <x:v>1</x:v>
      </x:c>
      <x:c r="U68" s="2" t="str">
        <x:v>documented</x:v>
      </x:c>
      <x:c r="V68" s="2" t="str">
        <x:v>3B</x:v>
      </x:c>
      <x:c r="W68" s="11" t="n">
        <x:v>0</x:v>
      </x:c>
      <x:c r="X68" s="13"/>
    </x:row>
    <x:row r="69" ht="24" customHeight="1">
      <x:c r="A69" s="2" t="str">
        <x:v>143_11</x:v>
      </x:c>
      <x:c r="B69" s="10" t="str">
        <x:v>143</x:v>
      </x:c>
      <x:c r="C69" s="11" t="n">
        <x:v>12</x:v>
      </x:c>
      <x:c r="D69" s="11" t="n">
        <x:v>11</x:v>
      </x:c>
      <x:c r="E69" s="2" t="str">
        <x:v>Walk in</x:v>
      </x:c>
      <x:c r="F69" s="11" t="n">
        <x:v>1</x:v>
      </x:c>
      <x:c r="G69" s="12"/>
      <x:c r="H69" s="12"/>
      <x:c r="I69" s="12" t="n">
        <x:v>0.2972222222222222</x:v>
      </x:c>
      <x:c r="J69" s="12" t="n">
        <x:v>0.3263888888888889</x:v>
      </x:c>
      <x:c r="K69" s="10" t="str">
        <x:v>11</x:v>
      </x:c>
      <x:c r="L69" s="2" t="str">
        <x:v>direct_meal</x:v>
      </x:c>
      <x:c r="M69" s="8" t="str">
        <x:f>IF(P69=1,ROUND((H69-G69)*1440,6),"")</x:f>
      </x:c>
      <x:c r="N69" s="8" t="str">
        <x:f>IF(R69=1,M69,"")</x:f>
      </x:c>
      <x:c r="O69" s="8" t="n">
        <x:f>IF(S69=1,ROUND((J69-I69)*1440,6),"")</x:f>
        <x:v>42</x:v>
      </x:c>
      <x:c r="P69" s="11" t="n">
        <x:v>0</x:v>
      </x:c>
      <x:c r="Q69" s="11" t="n">
        <x:v>0</x:v>
      </x:c>
      <x:c r="R69" s="11" t="n">
        <x:v>0</x:v>
      </x:c>
      <x:c r="S69" s="11" t="n">
        <x:v>1</x:v>
      </x:c>
      <x:c r="T69" s="11" t="n">
        <x:v>1</x:v>
      </x:c>
      <x:c r="U69" s="2" t="str">
        <x:v>needs_mapping</x:v>
      </x:c>
      <x:c r="V69" s="2"/>
      <x:c r="W69" s="11" t="n">
        <x:v>1</x:v>
      </x:c>
      <x:c r="X69" s="13" t="str">
        <x:v>รหัสโต๊ะต้องยืนยัน</x:v>
      </x:c>
    </x:row>
    <x:row r="70" ht="24" customHeight="1">
      <x:c r="A70" s="2" t="str">
        <x:v>143_12</x:v>
      </x:c>
      <x:c r="B70" s="10" t="str">
        <x:v>143</x:v>
      </x:c>
      <x:c r="C70" s="11" t="n">
        <x:v>13</x:v>
      </x:c>
      <x:c r="D70" s="11" t="n">
        <x:v>12</x:v>
      </x:c>
      <x:c r="E70" s="2" t="str">
        <x:v>In house</x:v>
      </x:c>
      <x:c r="F70" s="11" t="n">
        <x:v>2</x:v>
      </x:c>
      <x:c r="G70" s="12"/>
      <x:c r="H70" s="12"/>
      <x:c r="I70" s="12" t="n">
        <x:v>0.3020833333333333</x:v>
      </x:c>
      <x:c r="J70" s="12" t="n">
        <x:v>0.35208333333333336</x:v>
      </x:c>
      <x:c r="K70" s="10" t="str">
        <x:v>8B</x:v>
      </x:c>
      <x:c r="L70" s="2" t="str">
        <x:v>direct_meal</x:v>
      </x:c>
      <x:c r="M70" s="8" t="str">
        <x:f>IF(P70=1,ROUND((H70-G70)*1440,6),"")</x:f>
      </x:c>
      <x:c r="N70" s="8" t="str">
        <x:f>IF(R70=1,M70,"")</x:f>
      </x:c>
      <x:c r="O70" s="8" t="n">
        <x:f>IF(S70=1,ROUND((J70-I70)*1440,6),"")</x:f>
        <x:v>72</x:v>
      </x:c>
      <x:c r="P70" s="11" t="n">
        <x:v>0</x:v>
      </x:c>
      <x:c r="Q70" s="11" t="n">
        <x:v>0</x:v>
      </x:c>
      <x:c r="R70" s="11" t="n">
        <x:v>0</x:v>
      </x:c>
      <x:c r="S70" s="11" t="n">
        <x:v>1</x:v>
      </x:c>
      <x:c r="T70" s="11" t="n">
        <x:v>1</x:v>
      </x:c>
      <x:c r="U70" s="2" t="str">
        <x:v>documented</x:v>
      </x:c>
      <x:c r="V70" s="2" t="str">
        <x:v>8B</x:v>
      </x:c>
      <x:c r="W70" s="11" t="n">
        <x:v>0</x:v>
      </x:c>
      <x:c r="X70" s="13"/>
    </x:row>
    <x:row r="71" ht="24" customHeight="1">
      <x:c r="A71" s="2" t="str">
        <x:v>143_13</x:v>
      </x:c>
      <x:c r="B71" s="10" t="str">
        <x:v>143</x:v>
      </x:c>
      <x:c r="C71" s="11" t="n">
        <x:v>14</x:v>
      </x:c>
      <x:c r="D71" s="11" t="n">
        <x:v>13</x:v>
      </x:c>
      <x:c r="E71" s="2" t="str">
        <x:v>In house</x:v>
      </x:c>
      <x:c r="F71" s="11" t="n">
        <x:v>2</x:v>
      </x:c>
      <x:c r="G71" s="12"/>
      <x:c r="H71" s="12"/>
      <x:c r="I71" s="12" t="n">
        <x:v>0.3090277777777778</x:v>
      </x:c>
      <x:c r="J71" s="12" t="n">
        <x:v>0.35208333333333336</x:v>
      </x:c>
      <x:c r="K71" s="10" t="str">
        <x:v>8C</x:v>
      </x:c>
      <x:c r="L71" s="2" t="str">
        <x:v>direct_meal</x:v>
      </x:c>
      <x:c r="M71" s="8" t="str">
        <x:f>IF(P71=1,ROUND((H71-G71)*1440,6),"")</x:f>
      </x:c>
      <x:c r="N71" s="8" t="str">
        <x:f>IF(R71=1,M71,"")</x:f>
      </x:c>
      <x:c r="O71" s="8" t="n">
        <x:f>IF(S71=1,ROUND((J71-I71)*1440,6),"")</x:f>
        <x:v>62</x:v>
      </x:c>
      <x:c r="P71" s="11" t="n">
        <x:v>0</x:v>
      </x:c>
      <x:c r="Q71" s="11" t="n">
        <x:v>0</x:v>
      </x:c>
      <x:c r="R71" s="11" t="n">
        <x:v>0</x:v>
      </x:c>
      <x:c r="S71" s="11" t="n">
        <x:v>1</x:v>
      </x:c>
      <x:c r="T71" s="11" t="n">
        <x:v>1</x:v>
      </x:c>
      <x:c r="U71" s="2" t="str">
        <x:v>documented</x:v>
      </x:c>
      <x:c r="V71" s="2" t="str">
        <x:v>8C</x:v>
      </x:c>
      <x:c r="W71" s="11" t="n">
        <x:v>0</x:v>
      </x:c>
      <x:c r="X71" s="13"/>
    </x:row>
    <x:row r="72" ht="24" customHeight="1">
      <x:c r="A72" s="2" t="str">
        <x:v>143_14</x:v>
      </x:c>
      <x:c r="B72" s="10" t="str">
        <x:v>143</x:v>
      </x:c>
      <x:c r="C72" s="11" t="n">
        <x:v>15</x:v>
      </x:c>
      <x:c r="D72" s="11" t="n">
        <x:v>14</x:v>
      </x:c>
      <x:c r="E72" s="2" t="str">
        <x:v>Walk in</x:v>
      </x:c>
      <x:c r="F72" s="11" t="n">
        <x:v>1</x:v>
      </x:c>
      <x:c r="G72" s="12"/>
      <x:c r="H72" s="12"/>
      <x:c r="I72" s="12" t="n">
        <x:v>0.30972222222222223</x:v>
      </x:c>
      <x:c r="J72" s="12" t="n">
        <x:v>0.35833333333333334</x:v>
      </x:c>
      <x:c r="K72" s="10" t="str">
        <x:v>8A</x:v>
      </x:c>
      <x:c r="L72" s="2" t="str">
        <x:v>direct_meal</x:v>
      </x:c>
      <x:c r="M72" s="8" t="str">
        <x:f>IF(P72=1,ROUND((H72-G72)*1440,6),"")</x:f>
      </x:c>
      <x:c r="N72" s="8" t="str">
        <x:f>IF(R72=1,M72,"")</x:f>
      </x:c>
      <x:c r="O72" s="8" t="n">
        <x:f>IF(S72=1,ROUND((J72-I72)*1440,6),"")</x:f>
        <x:v>70</x:v>
      </x:c>
      <x:c r="P72" s="11" t="n">
        <x:v>0</x:v>
      </x:c>
      <x:c r="Q72" s="11" t="n">
        <x:v>0</x:v>
      </x:c>
      <x:c r="R72" s="11" t="n">
        <x:v>0</x:v>
      </x:c>
      <x:c r="S72" s="11" t="n">
        <x:v>1</x:v>
      </x:c>
      <x:c r="T72" s="11" t="n">
        <x:v>1</x:v>
      </x:c>
      <x:c r="U72" s="2" t="str">
        <x:v>documented</x:v>
      </x:c>
      <x:c r="V72" s="2" t="str">
        <x:v>8A</x:v>
      </x:c>
      <x:c r="W72" s="11" t="n">
        <x:v>0</x:v>
      </x:c>
      <x:c r="X72" s="13"/>
    </x:row>
    <x:row r="73" ht="24" customHeight="1">
      <x:c r="A73" s="2" t="str">
        <x:v>143_15</x:v>
      </x:c>
      <x:c r="B73" s="10" t="str">
        <x:v>143</x:v>
      </x:c>
      <x:c r="C73" s="11" t="n">
        <x:v>16</x:v>
      </x:c>
      <x:c r="D73" s="11" t="n">
        <x:v>15</x:v>
      </x:c>
      <x:c r="E73" s="2" t="str">
        <x:v>In house</x:v>
      </x:c>
      <x:c r="F73" s="11" t="n">
        <x:v>2</x:v>
      </x:c>
      <x:c r="G73" s="12"/>
      <x:c r="H73" s="12"/>
      <x:c r="I73" s="12" t="n">
        <x:v>0.3111111111111111</x:v>
      </x:c>
      <x:c r="J73" s="12" t="n">
        <x:v>0.34652777777777777</x:v>
      </x:c>
      <x:c r="K73" s="10" t="str">
        <x:v>7B</x:v>
      </x:c>
      <x:c r="L73" s="2" t="str">
        <x:v>direct_meal</x:v>
      </x:c>
      <x:c r="M73" s="8" t="str">
        <x:f>IF(P73=1,ROUND((H73-G73)*1440,6),"")</x:f>
      </x:c>
      <x:c r="N73" s="8" t="str">
        <x:f>IF(R73=1,M73,"")</x:f>
      </x:c>
      <x:c r="O73" s="8" t="n">
        <x:f>IF(S73=1,ROUND((J73-I73)*1440,6),"")</x:f>
        <x:v>51</x:v>
      </x:c>
      <x:c r="P73" s="11" t="n">
        <x:v>0</x:v>
      </x:c>
      <x:c r="Q73" s="11" t="n">
        <x:v>0</x:v>
      </x:c>
      <x:c r="R73" s="11" t="n">
        <x:v>0</x:v>
      </x:c>
      <x:c r="S73" s="11" t="n">
        <x:v>1</x:v>
      </x:c>
      <x:c r="T73" s="11" t="n">
        <x:v>1</x:v>
      </x:c>
      <x:c r="U73" s="2" t="str">
        <x:v>documented</x:v>
      </x:c>
      <x:c r="V73" s="2" t="str">
        <x:v>7B</x:v>
      </x:c>
      <x:c r="W73" s="11" t="n">
        <x:v>0</x:v>
      </x:c>
      <x:c r="X73" s="13"/>
    </x:row>
    <x:row r="74" ht="24" customHeight="1">
      <x:c r="A74" s="2" t="str">
        <x:v>143_16</x:v>
      </x:c>
      <x:c r="B74" s="10" t="str">
        <x:v>143</x:v>
      </x:c>
      <x:c r="C74" s="11" t="n">
        <x:v>17</x:v>
      </x:c>
      <x:c r="D74" s="11" t="n">
        <x:v>16</x:v>
      </x:c>
      <x:c r="E74" s="2" t="str">
        <x:v>Walk in</x:v>
      </x:c>
      <x:c r="F74" s="11" t="n">
        <x:v>4</x:v>
      </x:c>
      <x:c r="G74" s="12"/>
      <x:c r="H74" s="12"/>
      <x:c r="I74" s="12" t="n">
        <x:v>0.31180555555555556</x:v>
      </x:c>
      <x:c r="J74" s="12" t="n">
        <x:v>0.3597222222222222</x:v>
      </x:c>
      <x:c r="K74" s="10" t="str">
        <x:v>15</x:v>
      </x:c>
      <x:c r="L74" s="2" t="str">
        <x:v>direct_meal</x:v>
      </x:c>
      <x:c r="M74" s="8" t="str">
        <x:f>IF(P74=1,ROUND((H74-G74)*1440,6),"")</x:f>
      </x:c>
      <x:c r="N74" s="8" t="str">
        <x:f>IF(R74=1,M74,"")</x:f>
      </x:c>
      <x:c r="O74" s="8" t="n">
        <x:f>IF(S74=1,ROUND((J74-I74)*1440,6),"")</x:f>
        <x:v>69</x:v>
      </x:c>
      <x:c r="P74" s="11" t="n">
        <x:v>0</x:v>
      </x:c>
      <x:c r="Q74" s="11" t="n">
        <x:v>0</x:v>
      </x:c>
      <x:c r="R74" s="11" t="n">
        <x:v>0</x:v>
      </x:c>
      <x:c r="S74" s="11" t="n">
        <x:v>1</x:v>
      </x:c>
      <x:c r="T74" s="11" t="n">
        <x:v>1</x:v>
      </x:c>
      <x:c r="U74" s="2" t="str">
        <x:v>documented</x:v>
      </x:c>
      <x:c r="V74" s="2" t="str">
        <x:v>15</x:v>
      </x:c>
      <x:c r="W74" s="11" t="n">
        <x:v>0</x:v>
      </x:c>
      <x:c r="X74" s="13"/>
    </x:row>
    <x:row r="75" ht="24" customHeight="1">
      <x:c r="A75" s="2" t="str">
        <x:v>143_17</x:v>
      </x:c>
      <x:c r="B75" s="10" t="str">
        <x:v>143</x:v>
      </x:c>
      <x:c r="C75" s="11" t="n">
        <x:v>18</x:v>
      </x:c>
      <x:c r="D75" s="11" t="n">
        <x:v>17</x:v>
      </x:c>
      <x:c r="E75" s="2" t="str">
        <x:v>In house</x:v>
      </x:c>
      <x:c r="F75" s="11" t="n">
        <x:v>2</x:v>
      </x:c>
      <x:c r="G75" s="12"/>
      <x:c r="H75" s="12"/>
      <x:c r="I75" s="12" t="n">
        <x:v>0.3159722222222222</x:v>
      </x:c>
      <x:c r="J75" s="12" t="n">
        <x:v>0.33819444444444446</x:v>
      </x:c>
      <x:c r="K75" s="10" t="str">
        <x:v>9A</x:v>
      </x:c>
      <x:c r="L75" s="2" t="str">
        <x:v>direct_meal</x:v>
      </x:c>
      <x:c r="M75" s="8" t="str">
        <x:f>IF(P75=1,ROUND((H75-G75)*1440,6),"")</x:f>
      </x:c>
      <x:c r="N75" s="8" t="str">
        <x:f>IF(R75=1,M75,"")</x:f>
      </x:c>
      <x:c r="O75" s="8" t="n">
        <x:f>IF(S75=1,ROUND((J75-I75)*1440,6),"")</x:f>
        <x:v>32</x:v>
      </x:c>
      <x:c r="P75" s="11" t="n">
        <x:v>0</x:v>
      </x:c>
      <x:c r="Q75" s="11" t="n">
        <x:v>0</x:v>
      </x:c>
      <x:c r="R75" s="11" t="n">
        <x:v>0</x:v>
      </x:c>
      <x:c r="S75" s="11" t="n">
        <x:v>1</x:v>
      </x:c>
      <x:c r="T75" s="11" t="n">
        <x:v>1</x:v>
      </x:c>
      <x:c r="U75" s="2" t="str">
        <x:v>documented</x:v>
      </x:c>
      <x:c r="V75" s="2" t="str">
        <x:v>9A</x:v>
      </x:c>
      <x:c r="W75" s="11" t="n">
        <x:v>0</x:v>
      </x:c>
      <x:c r="X75" s="13"/>
    </x:row>
    <x:row r="76" ht="24" customHeight="1">
      <x:c r="A76" s="2" t="str">
        <x:v>143_18</x:v>
      </x:c>
      <x:c r="B76" s="10" t="str">
        <x:v>143</x:v>
      </x:c>
      <x:c r="C76" s="11" t="n">
        <x:v>19</x:v>
      </x:c>
      <x:c r="D76" s="11" t="n">
        <x:v>18</x:v>
      </x:c>
      <x:c r="E76" s="2" t="str">
        <x:v>In house</x:v>
      </x:c>
      <x:c r="F76" s="11" t="n">
        <x:v>2</x:v>
      </x:c>
      <x:c r="G76" s="12"/>
      <x:c r="H76" s="12"/>
      <x:c r="I76" s="12" t="n">
        <x:v>0.31805555555555554</x:v>
      </x:c>
      <x:c r="J76" s="12" t="n">
        <x:v>0.3541666666666667</x:v>
      </x:c>
      <x:c r="K76" s="10" t="str">
        <x:v>14</x:v>
      </x:c>
      <x:c r="L76" s="2" t="str">
        <x:v>direct_meal</x:v>
      </x:c>
      <x:c r="M76" s="8" t="str">
        <x:f>IF(P76=1,ROUND((H76-G76)*1440,6),"")</x:f>
      </x:c>
      <x:c r="N76" s="8" t="str">
        <x:f>IF(R76=1,M76,"")</x:f>
      </x:c>
      <x:c r="O76" s="8" t="n">
        <x:f>IF(S76=1,ROUND((J76-I76)*1440,6),"")</x:f>
        <x:v>52</x:v>
      </x:c>
      <x:c r="P76" s="11" t="n">
        <x:v>0</x:v>
      </x:c>
      <x:c r="Q76" s="11" t="n">
        <x:v>0</x:v>
      </x:c>
      <x:c r="R76" s="11" t="n">
        <x:v>0</x:v>
      </x:c>
      <x:c r="S76" s="11" t="n">
        <x:v>1</x:v>
      </x:c>
      <x:c r="T76" s="11" t="n">
        <x:v>1</x:v>
      </x:c>
      <x:c r="U76" s="2" t="str">
        <x:v>documented</x:v>
      </x:c>
      <x:c r="V76" s="2" t="str">
        <x:v>14</x:v>
      </x:c>
      <x:c r="W76" s="11" t="n">
        <x:v>0</x:v>
      </x:c>
      <x:c r="X76" s="13"/>
    </x:row>
    <x:row r="77" ht="24" customHeight="1">
      <x:c r="A77" s="2" t="str">
        <x:v>143_19</x:v>
      </x:c>
      <x:c r="B77" s="10" t="str">
        <x:v>143</x:v>
      </x:c>
      <x:c r="C77" s="11" t="n">
        <x:v>20</x:v>
      </x:c>
      <x:c r="D77" s="11" t="n">
        <x:v>19</x:v>
      </x:c>
      <x:c r="E77" s="2" t="str">
        <x:v>Walk in</x:v>
      </x:c>
      <x:c r="F77" s="11" t="n">
        <x:v>2</x:v>
      </x:c>
      <x:c r="G77" s="12"/>
      <x:c r="H77" s="12"/>
      <x:c r="I77" s="12" t="n">
        <x:v>0.3194444444444444</x:v>
      </x:c>
      <x:c r="J77" s="12" t="n">
        <x:v>0.39652777777777776</x:v>
      </x:c>
      <x:c r="K77" s="10" t="str">
        <x:v>12</x:v>
      </x:c>
      <x:c r="L77" s="2" t="str">
        <x:v>direct_meal</x:v>
      </x:c>
      <x:c r="M77" s="8" t="str">
        <x:f>IF(P77=1,ROUND((H77-G77)*1440,6),"")</x:f>
      </x:c>
      <x:c r="N77" s="8" t="str">
        <x:f>IF(R77=1,M77,"")</x:f>
      </x:c>
      <x:c r="O77" s="8" t="n">
        <x:f>IF(S77=1,ROUND((J77-I77)*1440,6),"")</x:f>
        <x:v>111</x:v>
      </x:c>
      <x:c r="P77" s="11" t="n">
        <x:v>0</x:v>
      </x:c>
      <x:c r="Q77" s="11" t="n">
        <x:v>0</x:v>
      </x:c>
      <x:c r="R77" s="11" t="n">
        <x:v>0</x:v>
      </x:c>
      <x:c r="S77" s="11" t="n">
        <x:v>1</x:v>
      </x:c>
      <x:c r="T77" s="11" t="n">
        <x:v>1</x:v>
      </x:c>
      <x:c r="U77" s="2" t="str">
        <x:v>documented</x:v>
      </x:c>
      <x:c r="V77" s="2" t="str">
        <x:v>12</x:v>
      </x:c>
      <x:c r="W77" s="11" t="n">
        <x:v>0</x:v>
      </x:c>
      <x:c r="X77" s="13"/>
    </x:row>
    <x:row r="78" ht="24" customHeight="1">
      <x:c r="A78" s="2" t="str">
        <x:v>143_20</x:v>
      </x:c>
      <x:c r="B78" s="10" t="str">
        <x:v>143</x:v>
      </x:c>
      <x:c r="C78" s="11" t="n">
        <x:v>21</x:v>
      </x:c>
      <x:c r="D78" s="11" t="n">
        <x:v>20</x:v>
      </x:c>
      <x:c r="E78" s="2" t="str">
        <x:v>Walk in</x:v>
      </x:c>
      <x:c r="F78" s="11" t="n">
        <x:v>1</x:v>
      </x:c>
      <x:c r="G78" s="12"/>
      <x:c r="H78" s="12"/>
      <x:c r="I78" s="12" t="n">
        <x:v>0.32430555555555557</x:v>
      </x:c>
      <x:c r="J78" s="12" t="n">
        <x:v>0.3423611111111111</x:v>
      </x:c>
      <x:c r="K78" s="10" t="str">
        <x:v>7C</x:v>
      </x:c>
      <x:c r="L78" s="2" t="str">
        <x:v>direct_meal</x:v>
      </x:c>
      <x:c r="M78" s="8" t="str">
        <x:f>IF(P78=1,ROUND((H78-G78)*1440,6),"")</x:f>
      </x:c>
      <x:c r="N78" s="8" t="str">
        <x:f>IF(R78=1,M78,"")</x:f>
      </x:c>
      <x:c r="O78" s="8" t="n">
        <x:f>IF(S78=1,ROUND((J78-I78)*1440,6),"")</x:f>
        <x:v>26</x:v>
      </x:c>
      <x:c r="P78" s="11" t="n">
        <x:v>0</x:v>
      </x:c>
      <x:c r="Q78" s="11" t="n">
        <x:v>0</x:v>
      </x:c>
      <x:c r="R78" s="11" t="n">
        <x:v>0</x:v>
      </x:c>
      <x:c r="S78" s="11" t="n">
        <x:v>1</x:v>
      </x:c>
      <x:c r="T78" s="11" t="n">
        <x:v>1</x:v>
      </x:c>
      <x:c r="U78" s="2" t="str">
        <x:v>documented</x:v>
      </x:c>
      <x:c r="V78" s="2" t="str">
        <x:v>7C</x:v>
      </x:c>
      <x:c r="W78" s="11" t="n">
        <x:v>0</x:v>
      </x:c>
      <x:c r="X78" s="13"/>
    </x:row>
    <x:row r="79" ht="24" customHeight="1">
      <x:c r="A79" s="2" t="str">
        <x:v>143_21</x:v>
      </x:c>
      <x:c r="B79" s="10" t="str">
        <x:v>143</x:v>
      </x:c>
      <x:c r="C79" s="11" t="n">
        <x:v>22</x:v>
      </x:c>
      <x:c r="D79" s="11" t="n">
        <x:v>21</x:v>
      </x:c>
      <x:c r="E79" s="2" t="str">
        <x:v>In house</x:v>
      </x:c>
      <x:c r="F79" s="11" t="n">
        <x:v>2</x:v>
      </x:c>
      <x:c r="G79" s="12"/>
      <x:c r="H79" s="12"/>
      <x:c r="I79" s="12" t="n">
        <x:v>0.32569444444444445</x:v>
      </x:c>
      <x:c r="J79" s="12" t="n">
        <x:v>0.3416666666666667</x:v>
      </x:c>
      <x:c r="K79" s="10" t="str">
        <x:v>16</x:v>
      </x:c>
      <x:c r="L79" s="2" t="str">
        <x:v>direct_meal</x:v>
      </x:c>
      <x:c r="M79" s="8" t="str">
        <x:f>IF(P79=1,ROUND((H79-G79)*1440,6),"")</x:f>
      </x:c>
      <x:c r="N79" s="8" t="str">
        <x:f>IF(R79=1,M79,"")</x:f>
      </x:c>
      <x:c r="O79" s="8" t="n">
        <x:f>IF(S79=1,ROUND((J79-I79)*1440,6),"")</x:f>
        <x:v>23</x:v>
      </x:c>
      <x:c r="P79" s="11" t="n">
        <x:v>0</x:v>
      </x:c>
      <x:c r="Q79" s="11" t="n">
        <x:v>0</x:v>
      </x:c>
      <x:c r="R79" s="11" t="n">
        <x:v>0</x:v>
      </x:c>
      <x:c r="S79" s="11" t="n">
        <x:v>1</x:v>
      </x:c>
      <x:c r="T79" s="11" t="n">
        <x:v>1</x:v>
      </x:c>
      <x:c r="U79" s="2" t="str">
        <x:v>needs_mapping</x:v>
      </x:c>
      <x:c r="V79" s="2"/>
      <x:c r="W79" s="11" t="n">
        <x:v>1</x:v>
      </x:c>
      <x:c r="X79" s="13" t="str">
        <x:v>รหัสโต๊ะต้องยืนยัน</x:v>
      </x:c>
    </x:row>
    <x:row r="80" ht="24" customHeight="1">
      <x:c r="A80" s="2" t="str">
        <x:v>143_22</x:v>
      </x:c>
      <x:c r="B80" s="10" t="str">
        <x:v>143</x:v>
      </x:c>
      <x:c r="C80" s="11" t="n">
        <x:v>23</x:v>
      </x:c>
      <x:c r="D80" s="11" t="n">
        <x:v>22</x:v>
      </x:c>
      <x:c r="E80" s="2" t="str">
        <x:v>Walk in</x:v>
      </x:c>
      <x:c r="F80" s="11" t="n">
        <x:v>3</x:v>
      </x:c>
      <x:c r="G80" s="12"/>
      <x:c r="H80" s="12"/>
      <x:c r="I80" s="12" t="n">
        <x:v>0.32708333333333334</x:v>
      </x:c>
      <x:c r="J80" s="12" t="n">
        <x:v>0.4270833333333333</x:v>
      </x:c>
      <x:c r="K80" s="10" t="str">
        <x:v>11</x:v>
      </x:c>
      <x:c r="L80" s="2" t="str">
        <x:v>direct_meal</x:v>
      </x:c>
      <x:c r="M80" s="8" t="str">
        <x:f>IF(P80=1,ROUND((H80-G80)*1440,6),"")</x:f>
      </x:c>
      <x:c r="N80" s="8" t="str">
        <x:f>IF(R80=1,M80,"")</x:f>
      </x:c>
      <x:c r="O80" s="8" t="n">
        <x:f>IF(S80=1,ROUND((J80-I80)*1440,6),"")</x:f>
        <x:v>144</x:v>
      </x:c>
      <x:c r="P80" s="11" t="n">
        <x:v>0</x:v>
      </x:c>
      <x:c r="Q80" s="11" t="n">
        <x:v>0</x:v>
      </x:c>
      <x:c r="R80" s="11" t="n">
        <x:v>0</x:v>
      </x:c>
      <x:c r="S80" s="11" t="n">
        <x:v>1</x:v>
      </x:c>
      <x:c r="T80" s="11" t="n">
        <x:v>1</x:v>
      </x:c>
      <x:c r="U80" s="2" t="str">
        <x:v>needs_mapping</x:v>
      </x:c>
      <x:c r="V80" s="2"/>
      <x:c r="W80" s="11" t="n">
        <x:v>1</x:v>
      </x:c>
      <x:c r="X80" s="13" t="str">
        <x:v>รหัสโต๊ะต้องยืนยัน</x:v>
      </x:c>
    </x:row>
    <x:row r="81" ht="24" customHeight="1">
      <x:c r="A81" s="2" t="str">
        <x:v>143_23</x:v>
      </x:c>
      <x:c r="B81" s="10" t="str">
        <x:v>143</x:v>
      </x:c>
      <x:c r="C81" s="11" t="n">
        <x:v>24</x:v>
      </x:c>
      <x:c r="D81" s="11" t="n">
        <x:v>23</x:v>
      </x:c>
      <x:c r="E81" s="2" t="str">
        <x:v>In house</x:v>
      </x:c>
      <x:c r="F81" s="11" t="n">
        <x:v>1</x:v>
      </x:c>
      <x:c r="G81" s="12"/>
      <x:c r="H81" s="12"/>
      <x:c r="I81" s="12" t="n">
        <x:v>0.3298611111111111</x:v>
      </x:c>
      <x:c r="J81" s="12" t="n">
        <x:v>0.34652777777777777</x:v>
      </x:c>
      <x:c r="K81" s="10" t="str">
        <x:v>1A</x:v>
      </x:c>
      <x:c r="L81" s="2" t="str">
        <x:v>direct_meal</x:v>
      </x:c>
      <x:c r="M81" s="8" t="str">
        <x:f>IF(P81=1,ROUND((H81-G81)*1440,6),"")</x:f>
      </x:c>
      <x:c r="N81" s="8" t="str">
        <x:f>IF(R81=1,M81,"")</x:f>
      </x:c>
      <x:c r="O81" s="8" t="n">
        <x:f>IF(S81=1,ROUND((J81-I81)*1440,6),"")</x:f>
        <x:v>24</x:v>
      </x:c>
      <x:c r="P81" s="11" t="n">
        <x:v>0</x:v>
      </x:c>
      <x:c r="Q81" s="11" t="n">
        <x:v>0</x:v>
      </x:c>
      <x:c r="R81" s="11" t="n">
        <x:v>0</x:v>
      </x:c>
      <x:c r="S81" s="11" t="n">
        <x:v>1</x:v>
      </x:c>
      <x:c r="T81" s="11" t="n">
        <x:v>1</x:v>
      </x:c>
      <x:c r="U81" s="2" t="str">
        <x:v>documented</x:v>
      </x:c>
      <x:c r="V81" s="2" t="str">
        <x:v>1A</x:v>
      </x:c>
      <x:c r="W81" s="11" t="n">
        <x:v>0</x:v>
      </x:c>
      <x:c r="X81" s="13"/>
    </x:row>
    <x:row r="82" ht="24" customHeight="1">
      <x:c r="A82" s="2" t="str">
        <x:v>143_24</x:v>
      </x:c>
      <x:c r="B82" s="10" t="str">
        <x:v>143</x:v>
      </x:c>
      <x:c r="C82" s="11" t="n">
        <x:v>25</x:v>
      </x:c>
      <x:c r="D82" s="11" t="n">
        <x:v>24</x:v>
      </x:c>
      <x:c r="E82" s="2" t="str">
        <x:v>In house</x:v>
      </x:c>
      <x:c r="F82" s="11" t="n">
        <x:v>2</x:v>
      </x:c>
      <x:c r="G82" s="12"/>
      <x:c r="H82" s="12"/>
      <x:c r="I82" s="12" t="n">
        <x:v>0.33125</x:v>
      </x:c>
      <x:c r="J82" s="12" t="n">
        <x:v>0.3506944444444444</x:v>
      </x:c>
      <x:c r="K82" s="10" t="str">
        <x:v>10B</x:v>
      </x:c>
      <x:c r="L82" s="2" t="str">
        <x:v>direct_meal</x:v>
      </x:c>
      <x:c r="M82" s="8" t="str">
        <x:f>IF(P82=1,ROUND((H82-G82)*1440,6),"")</x:f>
      </x:c>
      <x:c r="N82" s="8" t="str">
        <x:f>IF(R82=1,M82,"")</x:f>
      </x:c>
      <x:c r="O82" s="8" t="n">
        <x:f>IF(S82=1,ROUND((J82-I82)*1440,6),"")</x:f>
        <x:v>28</x:v>
      </x:c>
      <x:c r="P82" s="11" t="n">
        <x:v>0</x:v>
      </x:c>
      <x:c r="Q82" s="11" t="n">
        <x:v>0</x:v>
      </x:c>
      <x:c r="R82" s="11" t="n">
        <x:v>0</x:v>
      </x:c>
      <x:c r="S82" s="11" t="n">
        <x:v>1</x:v>
      </x:c>
      <x:c r="T82" s="11" t="n">
        <x:v>1</x:v>
      </x:c>
      <x:c r="U82" s="2" t="str">
        <x:v>documented</x:v>
      </x:c>
      <x:c r="V82" s="2" t="str">
        <x:v>10B</x:v>
      </x:c>
      <x:c r="W82" s="11" t="n">
        <x:v>0</x:v>
      </x:c>
      <x:c r="X82" s="13"/>
    </x:row>
    <x:row r="83" ht="24" customHeight="1">
      <x:c r="A83" s="2" t="str">
        <x:v>143_25</x:v>
      </x:c>
      <x:c r="B83" s="10" t="str">
        <x:v>143</x:v>
      </x:c>
      <x:c r="C83" s="11" t="n">
        <x:v>26</x:v>
      </x:c>
      <x:c r="D83" s="11" t="n">
        <x:v>25</x:v>
      </x:c>
      <x:c r="E83" s="2" t="str">
        <x:v>In house</x:v>
      </x:c>
      <x:c r="F83" s="11" t="n">
        <x:v>2</x:v>
      </x:c>
      <x:c r="G83" s="12"/>
      <x:c r="H83" s="12"/>
      <x:c r="I83" s="12" t="n">
        <x:v>0.3347222222222222</x:v>
      </x:c>
      <x:c r="J83" s="12" t="n">
        <x:v>0.35833333333333334</x:v>
      </x:c>
      <x:c r="K83" s="10" t="str">
        <x:v>9B</x:v>
      </x:c>
      <x:c r="L83" s="2" t="str">
        <x:v>direct_meal</x:v>
      </x:c>
      <x:c r="M83" s="8" t="str">
        <x:f>IF(P83=1,ROUND((H83-G83)*1440,6),"")</x:f>
      </x:c>
      <x:c r="N83" s="8" t="str">
        <x:f>IF(R83=1,M83,"")</x:f>
      </x:c>
      <x:c r="O83" s="8" t="n">
        <x:f>IF(S83=1,ROUND((J83-I83)*1440,6),"")</x:f>
        <x:v>34</x:v>
      </x:c>
      <x:c r="P83" s="11" t="n">
        <x:v>0</x:v>
      </x:c>
      <x:c r="Q83" s="11" t="n">
        <x:v>0</x:v>
      </x:c>
      <x:c r="R83" s="11" t="n">
        <x:v>0</x:v>
      </x:c>
      <x:c r="S83" s="11" t="n">
        <x:v>1</x:v>
      </x:c>
      <x:c r="T83" s="11" t="n">
        <x:v>1</x:v>
      </x:c>
      <x:c r="U83" s="2" t="str">
        <x:v>documented</x:v>
      </x:c>
      <x:c r="V83" s="2" t="str">
        <x:v>9B</x:v>
      </x:c>
      <x:c r="W83" s="11" t="n">
        <x:v>0</x:v>
      </x:c>
      <x:c r="X83" s="13"/>
    </x:row>
    <x:row r="84" ht="24" customHeight="1">
      <x:c r="A84" s="2" t="str">
        <x:v>143_26</x:v>
      </x:c>
      <x:c r="B84" s="10" t="str">
        <x:v>143</x:v>
      </x:c>
      <x:c r="C84" s="11" t="n">
        <x:v>27</x:v>
      </x:c>
      <x:c r="D84" s="11" t="n">
        <x:v>26</x:v>
      </x:c>
      <x:c r="E84" s="2" t="str">
        <x:v>Walk in</x:v>
      </x:c>
      <x:c r="F84" s="11" t="n">
        <x:v>4</x:v>
      </x:c>
      <x:c r="G84" s="12"/>
      <x:c r="H84" s="12"/>
      <x:c r="I84" s="12" t="n">
        <x:v>0.3368055555555556</x:v>
      </x:c>
      <x:c r="J84" s="12" t="n">
        <x:v>0.38958333333333334</x:v>
      </x:c>
      <x:c r="K84" s="10" t="str">
        <x:v>2</x:v>
      </x:c>
      <x:c r="L84" s="2" t="str">
        <x:v>direct_meal</x:v>
      </x:c>
      <x:c r="M84" s="8" t="str">
        <x:f>IF(P84=1,ROUND((H84-G84)*1440,6),"")</x:f>
      </x:c>
      <x:c r="N84" s="8" t="str">
        <x:f>IF(R84=1,M84,"")</x:f>
      </x:c>
      <x:c r="O84" s="8" t="n">
        <x:f>IF(S84=1,ROUND((J84-I84)*1440,6),"")</x:f>
        <x:v>76</x:v>
      </x:c>
      <x:c r="P84" s="11" t="n">
        <x:v>0</x:v>
      </x:c>
      <x:c r="Q84" s="11" t="n">
        <x:v>0</x:v>
      </x:c>
      <x:c r="R84" s="11" t="n">
        <x:v>0</x:v>
      </x:c>
      <x:c r="S84" s="11" t="n">
        <x:v>1</x:v>
      </x:c>
      <x:c r="T84" s="11" t="n">
        <x:v>1</x:v>
      </x:c>
      <x:c r="U84" s="2" t="str">
        <x:v>needs_mapping</x:v>
      </x:c>
      <x:c r="V84" s="2"/>
      <x:c r="W84" s="11" t="n">
        <x:v>1</x:v>
      </x:c>
      <x:c r="X84" s="13" t="str">
        <x:v>รหัสโต๊ะต้องยืนยัน</x:v>
      </x:c>
    </x:row>
    <x:row r="85" ht="24" customHeight="1">
      <x:c r="A85" s="2" t="str">
        <x:v>143_27</x:v>
      </x:c>
      <x:c r="B85" s="10" t="str">
        <x:v>143</x:v>
      </x:c>
      <x:c r="C85" s="11" t="n">
        <x:v>28</x:v>
      </x:c>
      <x:c r="D85" s="11" t="n">
        <x:v>27</x:v>
      </x:c>
      <x:c r="E85" s="2" t="str">
        <x:v>Walk in</x:v>
      </x:c>
      <x:c r="F85" s="11" t="n">
        <x:v>2</x:v>
      </x:c>
      <x:c r="G85" s="12"/>
      <x:c r="H85" s="12"/>
      <x:c r="I85" s="12" t="n">
        <x:v>0.3375</x:v>
      </x:c>
      <x:c r="J85" s="12" t="n">
        <x:v>0.3527777777777778</x:v>
      </x:c>
      <x:c r="K85" s="10" t="str">
        <x:v>4A</x:v>
      </x:c>
      <x:c r="L85" s="2" t="str">
        <x:v>direct_meal</x:v>
      </x:c>
      <x:c r="M85" s="8" t="str">
        <x:f>IF(P85=1,ROUND((H85-G85)*1440,6),"")</x:f>
      </x:c>
      <x:c r="N85" s="8" t="str">
        <x:f>IF(R85=1,M85,"")</x:f>
      </x:c>
      <x:c r="O85" s="8" t="n">
        <x:f>IF(S85=1,ROUND((J85-I85)*1440,6),"")</x:f>
        <x:v>22</x:v>
      </x:c>
      <x:c r="P85" s="11" t="n">
        <x:v>0</x:v>
      </x:c>
      <x:c r="Q85" s="11" t="n">
        <x:v>0</x:v>
      </x:c>
      <x:c r="R85" s="11" t="n">
        <x:v>0</x:v>
      </x:c>
      <x:c r="S85" s="11" t="n">
        <x:v>1</x:v>
      </x:c>
      <x:c r="T85" s="11" t="n">
        <x:v>1</x:v>
      </x:c>
      <x:c r="U85" s="2" t="str">
        <x:v>documented</x:v>
      </x:c>
      <x:c r="V85" s="2" t="str">
        <x:v>4A</x:v>
      </x:c>
      <x:c r="W85" s="11" t="n">
        <x:v>0</x:v>
      </x:c>
      <x:c r="X85" s="13"/>
    </x:row>
    <x:row r="86" ht="24" customHeight="1">
      <x:c r="A86" s="2" t="str">
        <x:v>143_28</x:v>
      </x:c>
      <x:c r="B86" s="10" t="str">
        <x:v>143</x:v>
      </x:c>
      <x:c r="C86" s="11" t="n">
        <x:v>29</x:v>
      </x:c>
      <x:c r="D86" s="11" t="n">
        <x:v>28</x:v>
      </x:c>
      <x:c r="E86" s="2" t="str">
        <x:v>In house</x:v>
      </x:c>
      <x:c r="F86" s="11" t="n">
        <x:v>1</x:v>
      </x:c>
      <x:c r="G86" s="12"/>
      <x:c r="H86" s="12"/>
      <x:c r="I86" s="12" t="n">
        <x:v>0.3416666666666667</x:v>
      </x:c>
      <x:c r="J86" s="12" t="n">
        <x:v>0.36666666666666664</x:v>
      </x:c>
      <x:c r="K86" s="10" t="str">
        <x:v>1B</x:v>
      </x:c>
      <x:c r="L86" s="2" t="str">
        <x:v>direct_meal</x:v>
      </x:c>
      <x:c r="M86" s="8" t="str">
        <x:f>IF(P86=1,ROUND((H86-G86)*1440,6),"")</x:f>
      </x:c>
      <x:c r="N86" s="8" t="str">
        <x:f>IF(R86=1,M86,"")</x:f>
      </x:c>
      <x:c r="O86" s="8" t="n">
        <x:f>IF(S86=1,ROUND((J86-I86)*1440,6),"")</x:f>
        <x:v>36</x:v>
      </x:c>
      <x:c r="P86" s="11" t="n">
        <x:v>0</x:v>
      </x:c>
      <x:c r="Q86" s="11" t="n">
        <x:v>0</x:v>
      </x:c>
      <x:c r="R86" s="11" t="n">
        <x:v>0</x:v>
      </x:c>
      <x:c r="S86" s="11" t="n">
        <x:v>1</x:v>
      </x:c>
      <x:c r="T86" s="11" t="n">
        <x:v>1</x:v>
      </x:c>
      <x:c r="U86" s="2" t="str">
        <x:v>documented</x:v>
      </x:c>
      <x:c r="V86" s="2" t="str">
        <x:v>1B</x:v>
      </x:c>
      <x:c r="W86" s="11" t="n">
        <x:v>0</x:v>
      </x:c>
      <x:c r="X86" s="13"/>
    </x:row>
    <x:row r="87" ht="24" customHeight="1">
      <x:c r="A87" s="2" t="str">
        <x:v>143_29</x:v>
      </x:c>
      <x:c r="B87" s="10" t="str">
        <x:v>143</x:v>
      </x:c>
      <x:c r="C87" s="11" t="n">
        <x:v>30</x:v>
      </x:c>
      <x:c r="D87" s="11" t="n">
        <x:v>29</x:v>
      </x:c>
      <x:c r="E87" s="2" t="str">
        <x:v>In house</x:v>
      </x:c>
      <x:c r="F87" s="11" t="n">
        <x:v>4</x:v>
      </x:c>
      <x:c r="G87" s="12"/>
      <x:c r="H87" s="12"/>
      <x:c r="I87" s="12" t="n">
        <x:v>0.3423611111111111</x:v>
      </x:c>
      <x:c r="J87" s="12" t="n">
        <x:v>0.3680555555555556</x:v>
      </x:c>
      <x:c r="K87" s="10" t="str">
        <x:v>4B</x:v>
      </x:c>
      <x:c r="L87" s="2" t="str">
        <x:v>direct_meal</x:v>
      </x:c>
      <x:c r="M87" s="8" t="str">
        <x:f>IF(P87=1,ROUND((H87-G87)*1440,6),"")</x:f>
      </x:c>
      <x:c r="N87" s="8" t="str">
        <x:f>IF(R87=1,M87,"")</x:f>
      </x:c>
      <x:c r="O87" s="8" t="n">
        <x:f>IF(S87=1,ROUND((J87-I87)*1440,6),"")</x:f>
        <x:v>37</x:v>
      </x:c>
      <x:c r="P87" s="11" t="n">
        <x:v>0</x:v>
      </x:c>
      <x:c r="Q87" s="11" t="n">
        <x:v>0</x:v>
      </x:c>
      <x:c r="R87" s="11" t="n">
        <x:v>0</x:v>
      </x:c>
      <x:c r="S87" s="11" t="n">
        <x:v>1</x:v>
      </x:c>
      <x:c r="T87" s="11" t="n">
        <x:v>1</x:v>
      </x:c>
      <x:c r="U87" s="2" t="str">
        <x:v>documented</x:v>
      </x:c>
      <x:c r="V87" s="2" t="str">
        <x:v>4B</x:v>
      </x:c>
      <x:c r="W87" s="11" t="n">
        <x:v>0</x:v>
      </x:c>
      <x:c r="X87" s="13"/>
    </x:row>
    <x:row r="88" ht="24" customHeight="1">
      <x:c r="A88" s="2" t="str">
        <x:v>143_30</x:v>
      </x:c>
      <x:c r="B88" s="10" t="str">
        <x:v>143</x:v>
      </x:c>
      <x:c r="C88" s="11" t="n">
        <x:v>31</x:v>
      </x:c>
      <x:c r="D88" s="11" t="n">
        <x:v>30</x:v>
      </x:c>
      <x:c r="E88" s="2" t="str">
        <x:v>Walk in</x:v>
      </x:c>
      <x:c r="F88" s="11" t="n">
        <x:v>2</x:v>
      </x:c>
      <x:c r="G88" s="12"/>
      <x:c r="H88" s="12"/>
      <x:c r="I88" s="12" t="n">
        <x:v>0.34305555555555556</x:v>
      </x:c>
      <x:c r="J88" s="12" t="n">
        <x:v>0.40694444444444444</x:v>
      </x:c>
      <x:c r="K88" s="10" t="str">
        <x:v>7A</x:v>
      </x:c>
      <x:c r="L88" s="2" t="str">
        <x:v>direct_meal</x:v>
      </x:c>
      <x:c r="M88" s="8" t="str">
        <x:f>IF(P88=1,ROUND((H88-G88)*1440,6),"")</x:f>
      </x:c>
      <x:c r="N88" s="8" t="str">
        <x:f>IF(R88=1,M88,"")</x:f>
      </x:c>
      <x:c r="O88" s="8" t="n">
        <x:f>IF(S88=1,ROUND((J88-I88)*1440,6),"")</x:f>
        <x:v>92</x:v>
      </x:c>
      <x:c r="P88" s="11" t="n">
        <x:v>0</x:v>
      </x:c>
      <x:c r="Q88" s="11" t="n">
        <x:v>0</x:v>
      </x:c>
      <x:c r="R88" s="11" t="n">
        <x:v>0</x:v>
      </x:c>
      <x:c r="S88" s="11" t="n">
        <x:v>1</x:v>
      </x:c>
      <x:c r="T88" s="11" t="n">
        <x:v>1</x:v>
      </x:c>
      <x:c r="U88" s="2" t="str">
        <x:v>documented</x:v>
      </x:c>
      <x:c r="V88" s="2" t="str">
        <x:v>7A</x:v>
      </x:c>
      <x:c r="W88" s="11" t="n">
        <x:v>0</x:v>
      </x:c>
      <x:c r="X88" s="13"/>
    </x:row>
    <x:row r="89" ht="24" customHeight="1">
      <x:c r="A89" s="2" t="str">
        <x:v>143_31</x:v>
      </x:c>
      <x:c r="B89" s="10" t="str">
        <x:v>143</x:v>
      </x:c>
      <x:c r="C89" s="11" t="n">
        <x:v>32</x:v>
      </x:c>
      <x:c r="D89" s="11" t="n">
        <x:v>31</x:v>
      </x:c>
      <x:c r="E89" s="2" t="str">
        <x:v>Walk in</x:v>
      </x:c>
      <x:c r="F89" s="11" t="n">
        <x:v>1</x:v>
      </x:c>
      <x:c r="G89" s="12"/>
      <x:c r="H89" s="12"/>
      <x:c r="I89" s="12" t="n">
        <x:v>0.3472222222222222</x:v>
      </x:c>
      <x:c r="J89" s="12" t="n">
        <x:v>0.40347222222222223</x:v>
      </x:c>
      <x:c r="K89" s="10" t="str">
        <x:v>1A</x:v>
      </x:c>
      <x:c r="L89" s="2" t="str">
        <x:v>direct_meal</x:v>
      </x:c>
      <x:c r="M89" s="8" t="str">
        <x:f>IF(P89=1,ROUND((H89-G89)*1440,6),"")</x:f>
      </x:c>
      <x:c r="N89" s="8" t="str">
        <x:f>IF(R89=1,M89,"")</x:f>
      </x:c>
      <x:c r="O89" s="8" t="n">
        <x:f>IF(S89=1,ROUND((J89-I89)*1440,6),"")</x:f>
        <x:v>81</x:v>
      </x:c>
      <x:c r="P89" s="11" t="n">
        <x:v>0</x:v>
      </x:c>
      <x:c r="Q89" s="11" t="n">
        <x:v>0</x:v>
      </x:c>
      <x:c r="R89" s="11" t="n">
        <x:v>0</x:v>
      </x:c>
      <x:c r="S89" s="11" t="n">
        <x:v>1</x:v>
      </x:c>
      <x:c r="T89" s="11" t="n">
        <x:v>1</x:v>
      </x:c>
      <x:c r="U89" s="2" t="str">
        <x:v>documented</x:v>
      </x:c>
      <x:c r="V89" s="2" t="str">
        <x:v>1A</x:v>
      </x:c>
      <x:c r="W89" s="11" t="n">
        <x:v>0</x:v>
      </x:c>
      <x:c r="X89" s="13"/>
    </x:row>
    <x:row r="90" ht="24" customHeight="1">
      <x:c r="A90" s="2" t="str">
        <x:v>143_32</x:v>
      </x:c>
      <x:c r="B90" s="10" t="str">
        <x:v>143</x:v>
      </x:c>
      <x:c r="C90" s="11" t="n">
        <x:v>33</x:v>
      </x:c>
      <x:c r="D90" s="11" t="n">
        <x:v>32</x:v>
      </x:c>
      <x:c r="E90" s="2" t="str">
        <x:v>Walk in</x:v>
      </x:c>
      <x:c r="F90" s="11" t="n">
        <x:v>2</x:v>
      </x:c>
      <x:c r="G90" s="12"/>
      <x:c r="H90" s="12"/>
      <x:c r="I90" s="12" t="n">
        <x:v>0.3451388888888889</x:v>
      </x:c>
      <x:c r="J90" s="12" t="n">
        <x:v>0.3958333333333333</x:v>
      </x:c>
      <x:c r="K90" s="10" t="str">
        <x:v>16</x:v>
      </x:c>
      <x:c r="L90" s="2" t="str">
        <x:v>direct_meal</x:v>
      </x:c>
      <x:c r="M90" s="8" t="str">
        <x:f>IF(P90=1,ROUND((H90-G90)*1440,6),"")</x:f>
      </x:c>
      <x:c r="N90" s="8" t="str">
        <x:f>IF(R90=1,M90,"")</x:f>
      </x:c>
      <x:c r="O90" s="8" t="n">
        <x:f>IF(S90=1,ROUND((J90-I90)*1440,6),"")</x:f>
        <x:v>73</x:v>
      </x:c>
      <x:c r="P90" s="11" t="n">
        <x:v>0</x:v>
      </x:c>
      <x:c r="Q90" s="11" t="n">
        <x:v>0</x:v>
      </x:c>
      <x:c r="R90" s="11" t="n">
        <x:v>0</x:v>
      </x:c>
      <x:c r="S90" s="11" t="n">
        <x:v>1</x:v>
      </x:c>
      <x:c r="T90" s="11" t="n">
        <x:v>1</x:v>
      </x:c>
      <x:c r="U90" s="2" t="str">
        <x:v>needs_mapping</x:v>
      </x:c>
      <x:c r="V90" s="2"/>
      <x:c r="W90" s="11" t="n">
        <x:v>1</x:v>
      </x:c>
      <x:c r="X90" s="13" t="str">
        <x:v>รหัสโต๊ะต้องยืนยัน</x:v>
      </x:c>
    </x:row>
    <x:row r="91" ht="24" customHeight="1">
      <x:c r="A91" s="2" t="str">
        <x:v>143_33</x:v>
      </x:c>
      <x:c r="B91" s="10" t="str">
        <x:v>143</x:v>
      </x:c>
      <x:c r="C91" s="11" t="n">
        <x:v>34</x:v>
      </x:c>
      <x:c r="D91" s="11" t="n">
        <x:v>33</x:v>
      </x:c>
      <x:c r="E91" s="2" t="str">
        <x:v>Walk in</x:v>
      </x:c>
      <x:c r="F91" s="11" t="n">
        <x:v>4</x:v>
      </x:c>
      <x:c r="G91" s="12"/>
      <x:c r="H91" s="12"/>
      <x:c r="I91" s="12" t="n">
        <x:v>0.35347222222222224</x:v>
      </x:c>
      <x:c r="J91" s="12" t="n">
        <x:v>0.40694444444444444</x:v>
      </x:c>
      <x:c r="K91" s="10" t="str">
        <x:v>6</x:v>
      </x:c>
      <x:c r="L91" s="2" t="str">
        <x:v>direct_meal</x:v>
      </x:c>
      <x:c r="M91" s="8" t="str">
        <x:f>IF(P91=1,ROUND((H91-G91)*1440,6),"")</x:f>
      </x:c>
      <x:c r="N91" s="8" t="str">
        <x:f>IF(R91=1,M91,"")</x:f>
      </x:c>
      <x:c r="O91" s="8" t="n">
        <x:f>IF(S91=1,ROUND((J91-I91)*1440,6),"")</x:f>
        <x:v>77</x:v>
      </x:c>
      <x:c r="P91" s="11" t="n">
        <x:v>0</x:v>
      </x:c>
      <x:c r="Q91" s="11" t="n">
        <x:v>0</x:v>
      </x:c>
      <x:c r="R91" s="11" t="n">
        <x:v>0</x:v>
      </x:c>
      <x:c r="S91" s="11" t="n">
        <x:v>1</x:v>
      </x:c>
      <x:c r="T91" s="11" t="n">
        <x:v>1</x:v>
      </x:c>
      <x:c r="U91" s="2" t="str">
        <x:v>needs_mapping</x:v>
      </x:c>
      <x:c r="V91" s="2"/>
      <x:c r="W91" s="11" t="n">
        <x:v>1</x:v>
      </x:c>
      <x:c r="X91" s="13" t="str">
        <x:v>รหัสโต๊ะต้องยืนยัน</x:v>
      </x:c>
    </x:row>
    <x:row r="92" ht="24" customHeight="1">
      <x:c r="A92" s="2" t="str">
        <x:v>143_34</x:v>
      </x:c>
      <x:c r="B92" s="10" t="str">
        <x:v>143</x:v>
      </x:c>
      <x:c r="C92" s="11" t="n">
        <x:v>35</x:v>
      </x:c>
      <x:c r="D92" s="11" t="n">
        <x:v>34</x:v>
      </x:c>
      <x:c r="E92" s="2" t="str">
        <x:v>Walk in</x:v>
      </x:c>
      <x:c r="F92" s="11" t="n">
        <x:v>2</x:v>
      </x:c>
      <x:c r="G92" s="12"/>
      <x:c r="H92" s="12"/>
      <x:c r="I92" s="12" t="n">
        <x:v>0.3472222222222222</x:v>
      </x:c>
      <x:c r="J92" s="12" t="n">
        <x:v>0.4166666666666667</x:v>
      </x:c>
      <x:c r="K92" s="10" t="str">
        <x:v>7C</x:v>
      </x:c>
      <x:c r="L92" s="2" t="str">
        <x:v>direct_meal</x:v>
      </x:c>
      <x:c r="M92" s="8" t="str">
        <x:f>IF(P92=1,ROUND((H92-G92)*1440,6),"")</x:f>
      </x:c>
      <x:c r="N92" s="8" t="str">
        <x:f>IF(R92=1,M92,"")</x:f>
      </x:c>
      <x:c r="O92" s="8" t="n">
        <x:f>IF(S92=1,ROUND((J92-I92)*1440,6),"")</x:f>
        <x:v>100</x:v>
      </x:c>
      <x:c r="P92" s="11" t="n">
        <x:v>0</x:v>
      </x:c>
      <x:c r="Q92" s="11" t="n">
        <x:v>0</x:v>
      </x:c>
      <x:c r="R92" s="11" t="n">
        <x:v>0</x:v>
      </x:c>
      <x:c r="S92" s="11" t="n">
        <x:v>1</x:v>
      </x:c>
      <x:c r="T92" s="11" t="n">
        <x:v>1</x:v>
      </x:c>
      <x:c r="U92" s="2" t="str">
        <x:v>documented</x:v>
      </x:c>
      <x:c r="V92" s="2" t="str">
        <x:v>7C</x:v>
      </x:c>
      <x:c r="W92" s="11" t="n">
        <x:v>0</x:v>
      </x:c>
      <x:c r="X92" s="13"/>
    </x:row>
    <x:row r="93" ht="24" customHeight="1">
      <x:c r="A93" s="2" t="str">
        <x:v>143_35</x:v>
      </x:c>
      <x:c r="B93" s="10" t="str">
        <x:v>143</x:v>
      </x:c>
      <x:c r="C93" s="11" t="n">
        <x:v>36</x:v>
      </x:c>
      <x:c r="D93" s="11" t="n">
        <x:v>35</x:v>
      </x:c>
      <x:c r="E93" s="2" t="str">
        <x:v>In house</x:v>
      </x:c>
      <x:c r="F93" s="11" t="n">
        <x:v>1</x:v>
      </x:c>
      <x:c r="G93" s="12"/>
      <x:c r="H93" s="12"/>
      <x:c r="I93" s="12" t="n">
        <x:v>0.34930555555555554</x:v>
      </x:c>
      <x:c r="J93" s="12" t="n">
        <x:v>0.36666666666666664</x:v>
      </x:c>
      <x:c r="K93" s="10" t="str">
        <x:v>7B</x:v>
      </x:c>
      <x:c r="L93" s="2" t="str">
        <x:v>direct_meal</x:v>
      </x:c>
      <x:c r="M93" s="8" t="str">
        <x:f>IF(P93=1,ROUND((H93-G93)*1440,6),"")</x:f>
      </x:c>
      <x:c r="N93" s="8" t="str">
        <x:f>IF(R93=1,M93,"")</x:f>
      </x:c>
      <x:c r="O93" s="8" t="n">
        <x:f>IF(S93=1,ROUND((J93-I93)*1440,6),"")</x:f>
        <x:v>25</x:v>
      </x:c>
      <x:c r="P93" s="11" t="n">
        <x:v>0</x:v>
      </x:c>
      <x:c r="Q93" s="11" t="n">
        <x:v>0</x:v>
      </x:c>
      <x:c r="R93" s="11" t="n">
        <x:v>0</x:v>
      </x:c>
      <x:c r="S93" s="11" t="n">
        <x:v>1</x:v>
      </x:c>
      <x:c r="T93" s="11" t="n">
        <x:v>1</x:v>
      </x:c>
      <x:c r="U93" s="2" t="str">
        <x:v>documented</x:v>
      </x:c>
      <x:c r="V93" s="2" t="str">
        <x:v>7B</x:v>
      </x:c>
      <x:c r="W93" s="11" t="n">
        <x:v>0</x:v>
      </x:c>
      <x:c r="X93" s="13"/>
    </x:row>
    <x:row r="94" ht="24" customHeight="1">
      <x:c r="A94" s="2" t="str">
        <x:v>143_36</x:v>
      </x:c>
      <x:c r="B94" s="10" t="str">
        <x:v>143</x:v>
      </x:c>
      <x:c r="C94" s="11" t="n">
        <x:v>37</x:v>
      </x:c>
      <x:c r="D94" s="11" t="n">
        <x:v>36</x:v>
      </x:c>
      <x:c r="E94" s="2" t="str">
        <x:v>Walk in</x:v>
      </x:c>
      <x:c r="F94" s="11" t="n">
        <x:v>2</x:v>
      </x:c>
      <x:c r="G94" s="12"/>
      <x:c r="H94" s="12"/>
      <x:c r="I94" s="12" t="n">
        <x:v>0.34930555555555554</x:v>
      </x:c>
      <x:c r="J94" s="12" t="n">
        <x:v>0.38333333333333336</x:v>
      </x:c>
      <x:c r="K94" s="10" t="str">
        <x:v>9A</x:v>
      </x:c>
      <x:c r="L94" s="2" t="str">
        <x:v>direct_meal</x:v>
      </x:c>
      <x:c r="M94" s="8" t="str">
        <x:f>IF(P94=1,ROUND((H94-G94)*1440,6),"")</x:f>
      </x:c>
      <x:c r="N94" s="8" t="str">
        <x:f>IF(R94=1,M94,"")</x:f>
      </x:c>
      <x:c r="O94" s="8" t="n">
        <x:f>IF(S94=1,ROUND((J94-I94)*1440,6),"")</x:f>
        <x:v>49</x:v>
      </x:c>
      <x:c r="P94" s="11" t="n">
        <x:v>0</x:v>
      </x:c>
      <x:c r="Q94" s="11" t="n">
        <x:v>0</x:v>
      </x:c>
      <x:c r="R94" s="11" t="n">
        <x:v>0</x:v>
      </x:c>
      <x:c r="S94" s="11" t="n">
        <x:v>1</x:v>
      </x:c>
      <x:c r="T94" s="11" t="n">
        <x:v>1</x:v>
      </x:c>
      <x:c r="U94" s="2" t="str">
        <x:v>documented</x:v>
      </x:c>
      <x:c r="V94" s="2" t="str">
        <x:v>9A</x:v>
      </x:c>
      <x:c r="W94" s="11" t="n">
        <x:v>0</x:v>
      </x:c>
      <x:c r="X94" s="13"/>
    </x:row>
    <x:row r="95" ht="24" customHeight="1">
      <x:c r="A95" s="2" t="str">
        <x:v>143_37</x:v>
      </x:c>
      <x:c r="B95" s="10" t="str">
        <x:v>143</x:v>
      </x:c>
      <x:c r="C95" s="11" t="n">
        <x:v>38</x:v>
      </x:c>
      <x:c r="D95" s="11" t="n">
        <x:v>37</x:v>
      </x:c>
      <x:c r="E95" s="2" t="str">
        <x:v>Walk in</x:v>
      </x:c>
      <x:c r="F95" s="11" t="n">
        <x:v>2</x:v>
      </x:c>
      <x:c r="G95" s="12" t="n">
        <x:v>0.3506944444444444</x:v>
      </x:c>
      <x:c r="H95" s="12" t="n">
        <x:v>0.36666666666666664</x:v>
      </x:c>
      <x:c r="I95" s="12" t="n">
        <x:v>0.36666666666666664</x:v>
      </x:c>
      <x:c r="J95" s="12" t="n">
        <x:v>0.4201388888888889</x:v>
      </x:c>
      <x:c r="K95" s="10" t="str">
        <x:v>1B</x:v>
      </x:c>
      <x:c r="L95" s="2" t="str">
        <x:v>queued_meal</x:v>
      </x:c>
      <x:c r="M95" s="8" t="n">
        <x:f>IF(P95=1,ROUND((H95-G95)*1440,6),"")</x:f>
        <x:v>23</x:v>
      </x:c>
      <x:c r="N95" s="8" t="n">
        <x:f>IF(R95=1,M95,"")</x:f>
        <x:v>23</x:v>
      </x:c>
      <x:c r="O95" s="8" t="n">
        <x:f>IF(S95=1,ROUND((J95-I95)*1440,6),"")</x:f>
        <x:v>77</x:v>
      </x:c>
      <x:c r="P95" s="11" t="n">
        <x:v>1</x:v>
      </x:c>
      <x:c r="Q95" s="11" t="n">
        <x:v>0</x:v>
      </x:c>
      <x:c r="R95" s="11" t="n">
        <x:v>1</x:v>
      </x:c>
      <x:c r="S95" s="11" t="n">
        <x:v>1</x:v>
      </x:c>
      <x:c r="T95" s="11" t="n">
        <x:v>1</x:v>
      </x:c>
      <x:c r="U95" s="2" t="str">
        <x:v>documented</x:v>
      </x:c>
      <x:c r="V95" s="2" t="str">
        <x:v>1B</x:v>
      </x:c>
      <x:c r="W95" s="11" t="n">
        <x:v>0</x:v>
      </x:c>
      <x:c r="X95" s="13"/>
    </x:row>
    <x:row r="96" ht="24" customHeight="1">
      <x:c r="A96" s="2" t="str">
        <x:v>143_38</x:v>
      </x:c>
      <x:c r="B96" s="10" t="str">
        <x:v>143</x:v>
      </x:c>
      <x:c r="C96" s="11" t="n">
        <x:v>39</x:v>
      </x:c>
      <x:c r="D96" s="11" t="n">
        <x:v>38</x:v>
      </x:c>
      <x:c r="E96" s="2" t="str">
        <x:v>Walk in</x:v>
      </x:c>
      <x:c r="F96" s="11" t="n">
        <x:v>2</x:v>
      </x:c>
      <x:c r="G96" s="12"/>
      <x:c r="H96" s="12"/>
      <x:c r="I96" s="12" t="n">
        <x:v>0.35347222222222224</x:v>
      </x:c>
      <x:c r="J96" s="12" t="n">
        <x:v>0.43125</x:v>
      </x:c>
      <x:c r="K96" s="10" t="str">
        <x:v>8B</x:v>
      </x:c>
      <x:c r="L96" s="2" t="str">
        <x:v>direct_meal</x:v>
      </x:c>
      <x:c r="M96" s="8" t="str">
        <x:f>IF(P96=1,ROUND((H96-G96)*1440,6),"")</x:f>
      </x:c>
      <x:c r="N96" s="8" t="str">
        <x:f>IF(R96=1,M96,"")</x:f>
      </x:c>
      <x:c r="O96" s="8" t="n">
        <x:f>IF(S96=1,ROUND((J96-I96)*1440,6),"")</x:f>
        <x:v>112</x:v>
      </x:c>
      <x:c r="P96" s="11" t="n">
        <x:v>0</x:v>
      </x:c>
      <x:c r="Q96" s="11" t="n">
        <x:v>0</x:v>
      </x:c>
      <x:c r="R96" s="11" t="n">
        <x:v>0</x:v>
      </x:c>
      <x:c r="S96" s="11" t="n">
        <x:v>1</x:v>
      </x:c>
      <x:c r="T96" s="11" t="n">
        <x:v>1</x:v>
      </x:c>
      <x:c r="U96" s="2" t="str">
        <x:v>documented</x:v>
      </x:c>
      <x:c r="V96" s="2" t="str">
        <x:v>8B</x:v>
      </x:c>
      <x:c r="W96" s="11" t="n">
        <x:v>0</x:v>
      </x:c>
      <x:c r="X96" s="13"/>
    </x:row>
    <x:row r="97" ht="24" customHeight="1">
      <x:c r="A97" s="2" t="str">
        <x:v>143_39</x:v>
      </x:c>
      <x:c r="B97" s="10" t="str">
        <x:v>143</x:v>
      </x:c>
      <x:c r="C97" s="11" t="n">
        <x:v>40</x:v>
      </x:c>
      <x:c r="D97" s="11" t="n">
        <x:v>39</x:v>
      </x:c>
      <x:c r="E97" s="2" t="str">
        <x:v>Walk in</x:v>
      </x:c>
      <x:c r="F97" s="11" t="n">
        <x:v>1</x:v>
      </x:c>
      <x:c r="G97" s="12"/>
      <x:c r="H97" s="12"/>
      <x:c r="I97" s="12" t="n">
        <x:v>0.35694444444444445</x:v>
      </x:c>
      <x:c r="J97" s="12" t="n">
        <x:v>0.45069444444444445</x:v>
      </x:c>
      <x:c r="K97" s="10" t="str">
        <x:v>10B</x:v>
      </x:c>
      <x:c r="L97" s="2" t="str">
        <x:v>direct_meal</x:v>
      </x:c>
      <x:c r="M97" s="8" t="str">
        <x:f>IF(P97=1,ROUND((H97-G97)*1440,6),"")</x:f>
      </x:c>
      <x:c r="N97" s="8" t="str">
        <x:f>IF(R97=1,M97,"")</x:f>
      </x:c>
      <x:c r="O97" s="8" t="n">
        <x:f>IF(S97=1,ROUND((J97-I97)*1440,6),"")</x:f>
        <x:v>135</x:v>
      </x:c>
      <x:c r="P97" s="11" t="n">
        <x:v>0</x:v>
      </x:c>
      <x:c r="Q97" s="11" t="n">
        <x:v>0</x:v>
      </x:c>
      <x:c r="R97" s="11" t="n">
        <x:v>0</x:v>
      </x:c>
      <x:c r="S97" s="11" t="n">
        <x:v>1</x:v>
      </x:c>
      <x:c r="T97" s="11" t="n">
        <x:v>1</x:v>
      </x:c>
      <x:c r="U97" s="2" t="str">
        <x:v>documented</x:v>
      </x:c>
      <x:c r="V97" s="2" t="str">
        <x:v>10B</x:v>
      </x:c>
      <x:c r="W97" s="11" t="n">
        <x:v>0</x:v>
      </x:c>
      <x:c r="X97" s="13"/>
    </x:row>
    <x:row r="98" ht="24" customHeight="1">
      <x:c r="A98" s="2" t="str">
        <x:v>143_40</x:v>
      </x:c>
      <x:c r="B98" s="10" t="str">
        <x:v>143</x:v>
      </x:c>
      <x:c r="C98" s="11" t="n">
        <x:v>41</x:v>
      </x:c>
      <x:c r="D98" s="11" t="n">
        <x:v>40</x:v>
      </x:c>
      <x:c r="E98" s="2" t="str">
        <x:v>In house</x:v>
      </x:c>
      <x:c r="F98" s="11" t="n">
        <x:v>5</x:v>
      </x:c>
      <x:c r="G98" s="12"/>
      <x:c r="H98" s="12"/>
      <x:c r="I98" s="12" t="n">
        <x:v>0.36319444444444443</x:v>
      </x:c>
      <x:c r="J98" s="12" t="n">
        <x:v>0.4097222222222222</x:v>
      </x:c>
      <x:c r="K98" s="10" t="str">
        <x:v>13-14</x:v>
      </x:c>
      <x:c r="L98" s="2" t="str">
        <x:v>direct_meal</x:v>
      </x:c>
      <x:c r="M98" s="8" t="str">
        <x:f>IF(P98=1,ROUND((H98-G98)*1440,6),"")</x:f>
      </x:c>
      <x:c r="N98" s="8" t="str">
        <x:f>IF(R98=1,M98,"")</x:f>
      </x:c>
      <x:c r="O98" s="8" t="n">
        <x:f>IF(S98=1,ROUND((J98-I98)*1440,6),"")</x:f>
        <x:v>67</x:v>
      </x:c>
      <x:c r="P98" s="11" t="n">
        <x:v>0</x:v>
      </x:c>
      <x:c r="Q98" s="11" t="n">
        <x:v>0</x:v>
      </x:c>
      <x:c r="R98" s="11" t="n">
        <x:v>0</x:v>
      </x:c>
      <x:c r="S98" s="11" t="n">
        <x:v>1</x:v>
      </x:c>
      <x:c r="T98" s="11" t="n">
        <x:v>1</x:v>
      </x:c>
      <x:c r="U98" s="2" t="str">
        <x:v>documented</x:v>
      </x:c>
      <x:c r="V98" s="2" t="str">
        <x:v>13 | 14</x:v>
      </x:c>
      <x:c r="W98" s="11" t="n">
        <x:v>0</x:v>
      </x:c>
      <x:c r="X98" s="13"/>
    </x:row>
    <x:row r="99" ht="24" customHeight="1">
      <x:c r="A99" s="2" t="str">
        <x:v>143_41</x:v>
      </x:c>
      <x:c r="B99" s="10" t="str">
        <x:v>143</x:v>
      </x:c>
      <x:c r="C99" s="11" t="n">
        <x:v>42</x:v>
      </x:c>
      <x:c r="D99" s="11" t="n">
        <x:v>41</x:v>
      </x:c>
      <x:c r="E99" s="2" t="str">
        <x:v>In house</x:v>
      </x:c>
      <x:c r="F99" s="11" t="n">
        <x:v>1</x:v>
      </x:c>
      <x:c r="G99" s="12"/>
      <x:c r="H99" s="12"/>
      <x:c r="I99" s="12" t="n">
        <x:v>0.36527777777777776</x:v>
      </x:c>
      <x:c r="J99" s="12" t="n">
        <x:v>0.39166666666666666</x:v>
      </x:c>
      <x:c r="K99" s="10" t="str">
        <x:v>10A</x:v>
      </x:c>
      <x:c r="L99" s="2" t="str">
        <x:v>direct_meal</x:v>
      </x:c>
      <x:c r="M99" s="8" t="str">
        <x:f>IF(P99=1,ROUND((H99-G99)*1440,6),"")</x:f>
      </x:c>
      <x:c r="N99" s="8" t="str">
        <x:f>IF(R99=1,M99,"")</x:f>
      </x:c>
      <x:c r="O99" s="8" t="n">
        <x:f>IF(S99=1,ROUND((J99-I99)*1440,6),"")</x:f>
        <x:v>38</x:v>
      </x:c>
      <x:c r="P99" s="11" t="n">
        <x:v>0</x:v>
      </x:c>
      <x:c r="Q99" s="11" t="n">
        <x:v>0</x:v>
      </x:c>
      <x:c r="R99" s="11" t="n">
        <x:v>0</x:v>
      </x:c>
      <x:c r="S99" s="11" t="n">
        <x:v>1</x:v>
      </x:c>
      <x:c r="T99" s="11" t="n">
        <x:v>1</x:v>
      </x:c>
      <x:c r="U99" s="2" t="str">
        <x:v>documented</x:v>
      </x:c>
      <x:c r="V99" s="2" t="str">
        <x:v>10A</x:v>
      </x:c>
      <x:c r="W99" s="11" t="n">
        <x:v>0</x:v>
      </x:c>
      <x:c r="X99" s="13"/>
    </x:row>
    <x:row r="100" ht="24" customHeight="1">
      <x:c r="A100" s="2" t="str">
        <x:v>143_42</x:v>
      </x:c>
      <x:c r="B100" s="10" t="str">
        <x:v>143</x:v>
      </x:c>
      <x:c r="C100" s="11" t="n">
        <x:v>43</x:v>
      </x:c>
      <x:c r="D100" s="11" t="n">
        <x:v>42</x:v>
      </x:c>
      <x:c r="E100" s="2" t="str">
        <x:v>Walk in</x:v>
      </x:c>
      <x:c r="F100" s="11" t="n">
        <x:v>2</x:v>
      </x:c>
      <x:c r="G100" s="12"/>
      <x:c r="H100" s="12"/>
      <x:c r="I100" s="12" t="n">
        <x:v>0.3680555555555556</x:v>
      </x:c>
      <x:c r="J100" s="12" t="n">
        <x:v>0.38680555555555557</x:v>
      </x:c>
      <x:c r="K100" s="10" t="str">
        <x:v>9B</x:v>
      </x:c>
      <x:c r="L100" s="2" t="str">
        <x:v>direct_meal</x:v>
      </x:c>
      <x:c r="M100" s="8" t="str">
        <x:f>IF(P100=1,ROUND((H100-G100)*1440,6),"")</x:f>
      </x:c>
      <x:c r="N100" s="8" t="str">
        <x:f>IF(R100=1,M100,"")</x:f>
      </x:c>
      <x:c r="O100" s="8" t="n">
        <x:f>IF(S100=1,ROUND((J100-I100)*1440,6),"")</x:f>
        <x:v>27</x:v>
      </x:c>
      <x:c r="P100" s="11" t="n">
        <x:v>0</x:v>
      </x:c>
      <x:c r="Q100" s="11" t="n">
        <x:v>0</x:v>
      </x:c>
      <x:c r="R100" s="11" t="n">
        <x:v>0</x:v>
      </x:c>
      <x:c r="S100" s="11" t="n">
        <x:v>1</x:v>
      </x:c>
      <x:c r="T100" s="11" t="n">
        <x:v>1</x:v>
      </x:c>
      <x:c r="U100" s="2" t="str">
        <x:v>documented</x:v>
      </x:c>
      <x:c r="V100" s="2" t="str">
        <x:v>9B</x:v>
      </x:c>
      <x:c r="W100" s="11" t="n">
        <x:v>0</x:v>
      </x:c>
      <x:c r="X100" s="13"/>
    </x:row>
    <x:row r="101" ht="24" customHeight="1">
      <x:c r="A101" s="2" t="str">
        <x:v>143_43</x:v>
      </x:c>
      <x:c r="B101" s="10" t="str">
        <x:v>143</x:v>
      </x:c>
      <x:c r="C101" s="11" t="n">
        <x:v>44</x:v>
      </x:c>
      <x:c r="D101" s="11" t="n">
        <x:v>43</x:v>
      </x:c>
      <x:c r="E101" s="2" t="str">
        <x:v>Walk in</x:v>
      </x:c>
      <x:c r="F101" s="11" t="n">
        <x:v>4</x:v>
      </x:c>
      <x:c r="G101" s="12"/>
      <x:c r="H101" s="12"/>
      <x:c r="I101" s="12" t="n">
        <x:v>0.36875</x:v>
      </x:c>
      <x:c r="J101" s="12" t="n">
        <x:v>0.40347222222222223</x:v>
      </x:c>
      <x:c r="K101" s="10" t="str">
        <x:v>15</x:v>
      </x:c>
      <x:c r="L101" s="2" t="str">
        <x:v>direct_meal</x:v>
      </x:c>
      <x:c r="M101" s="8" t="str">
        <x:f>IF(P101=1,ROUND((H101-G101)*1440,6),"")</x:f>
      </x:c>
      <x:c r="N101" s="8" t="str">
        <x:f>IF(R101=1,M101,"")</x:f>
      </x:c>
      <x:c r="O101" s="8" t="n">
        <x:f>IF(S101=1,ROUND((J101-I101)*1440,6),"")</x:f>
        <x:v>50</x:v>
      </x:c>
      <x:c r="P101" s="11" t="n">
        <x:v>0</x:v>
      </x:c>
      <x:c r="Q101" s="11" t="n">
        <x:v>0</x:v>
      </x:c>
      <x:c r="R101" s="11" t="n">
        <x:v>0</x:v>
      </x:c>
      <x:c r="S101" s="11" t="n">
        <x:v>1</x:v>
      </x:c>
      <x:c r="T101" s="11" t="n">
        <x:v>1</x:v>
      </x:c>
      <x:c r="U101" s="2" t="str">
        <x:v>documented</x:v>
      </x:c>
      <x:c r="V101" s="2" t="str">
        <x:v>15</x:v>
      </x:c>
      <x:c r="W101" s="11" t="n">
        <x:v>0</x:v>
      </x:c>
      <x:c r="X101" s="13"/>
    </x:row>
    <x:row r="102" ht="24" customHeight="1">
      <x:c r="A102" s="2" t="str">
        <x:v>143_44</x:v>
      </x:c>
      <x:c r="B102" s="10" t="str">
        <x:v>143</x:v>
      </x:c>
      <x:c r="C102" s="11" t="n">
        <x:v>45</x:v>
      </x:c>
      <x:c r="D102" s="11" t="n">
        <x:v>44</x:v>
      </x:c>
      <x:c r="E102" s="2" t="str">
        <x:v>In house</x:v>
      </x:c>
      <x:c r="F102" s="11" t="n">
        <x:v>2</x:v>
      </x:c>
      <x:c r="G102" s="12"/>
      <x:c r="H102" s="12"/>
      <x:c r="I102" s="12" t="n">
        <x:v>0.36944444444444446</x:v>
      </x:c>
      <x:c r="J102" s="12" t="n">
        <x:v>0.3923611111111111</x:v>
      </x:c>
      <x:c r="K102" s="10" t="str">
        <x:v>3B</x:v>
      </x:c>
      <x:c r="L102" s="2" t="str">
        <x:v>direct_meal</x:v>
      </x:c>
      <x:c r="M102" s="8" t="str">
        <x:f>IF(P102=1,ROUND((H102-G102)*1440,6),"")</x:f>
      </x:c>
      <x:c r="N102" s="8" t="str">
        <x:f>IF(R102=1,M102,"")</x:f>
      </x:c>
      <x:c r="O102" s="8" t="n">
        <x:f>IF(S102=1,ROUND((J102-I102)*1440,6),"")</x:f>
        <x:v>33</x:v>
      </x:c>
      <x:c r="P102" s="11" t="n">
        <x:v>0</x:v>
      </x:c>
      <x:c r="Q102" s="11" t="n">
        <x:v>0</x:v>
      </x:c>
      <x:c r="R102" s="11" t="n">
        <x:v>0</x:v>
      </x:c>
      <x:c r="S102" s="11" t="n">
        <x:v>1</x:v>
      </x:c>
      <x:c r="T102" s="11" t="n">
        <x:v>1</x:v>
      </x:c>
      <x:c r="U102" s="2" t="str">
        <x:v>documented</x:v>
      </x:c>
      <x:c r="V102" s="2" t="str">
        <x:v>3B</x:v>
      </x:c>
      <x:c r="W102" s="11" t="n">
        <x:v>0</x:v>
      </x:c>
      <x:c r="X102" s="13"/>
    </x:row>
    <x:row r="103" ht="24" customHeight="1">
      <x:c r="A103" s="2" t="str">
        <x:v>143_45</x:v>
      </x:c>
      <x:c r="B103" s="10" t="str">
        <x:v>143</x:v>
      </x:c>
      <x:c r="C103" s="11" t="n">
        <x:v>46</x:v>
      </x:c>
      <x:c r="D103" s="11" t="n">
        <x:v>45</x:v>
      </x:c>
      <x:c r="E103" s="2" t="str">
        <x:v>In house</x:v>
      </x:c>
      <x:c r="F103" s="11" t="n">
        <x:v>1</x:v>
      </x:c>
      <x:c r="G103" s="12"/>
      <x:c r="H103" s="12"/>
      <x:c r="I103" s="12" t="n">
        <x:v>0.37083333333333335</x:v>
      </x:c>
      <x:c r="J103" s="12" t="n">
        <x:v>0.3958333333333333</x:v>
      </x:c>
      <x:c r="K103" s="10" t="str">
        <x:v>8C</x:v>
      </x:c>
      <x:c r="L103" s="2" t="str">
        <x:v>direct_meal</x:v>
      </x:c>
      <x:c r="M103" s="8" t="str">
        <x:f>IF(P103=1,ROUND((H103-G103)*1440,6),"")</x:f>
      </x:c>
      <x:c r="N103" s="8" t="str">
        <x:f>IF(R103=1,M103,"")</x:f>
      </x:c>
      <x:c r="O103" s="8" t="n">
        <x:f>IF(S103=1,ROUND((J103-I103)*1440,6),"")</x:f>
        <x:v>36</x:v>
      </x:c>
      <x:c r="P103" s="11" t="n">
        <x:v>0</x:v>
      </x:c>
      <x:c r="Q103" s="11" t="n">
        <x:v>0</x:v>
      </x:c>
      <x:c r="R103" s="11" t="n">
        <x:v>0</x:v>
      </x:c>
      <x:c r="S103" s="11" t="n">
        <x:v>1</x:v>
      </x:c>
      <x:c r="T103" s="11" t="n">
        <x:v>1</x:v>
      </x:c>
      <x:c r="U103" s="2" t="str">
        <x:v>documented</x:v>
      </x:c>
      <x:c r="V103" s="2" t="str">
        <x:v>8C</x:v>
      </x:c>
      <x:c r="W103" s="11" t="n">
        <x:v>0</x:v>
      </x:c>
      <x:c r="X103" s="13"/>
    </x:row>
    <x:row r="104" ht="24" customHeight="1">
      <x:c r="A104" s="2" t="str">
        <x:v>143_46</x:v>
      </x:c>
      <x:c r="B104" s="10" t="str">
        <x:v>143</x:v>
      </x:c>
      <x:c r="C104" s="11" t="n">
        <x:v>47</x:v>
      </x:c>
      <x:c r="D104" s="11" t="n">
        <x:v>46</x:v>
      </x:c>
      <x:c r="E104" s="2" t="str">
        <x:v>In house</x:v>
      </x:c>
      <x:c r="F104" s="11" t="n">
        <x:v>2</x:v>
      </x:c>
      <x:c r="G104" s="12"/>
      <x:c r="H104" s="12"/>
      <x:c r="I104" s="12" t="n">
        <x:v>0.3715277777777778</x:v>
      </x:c>
      <x:c r="J104" s="12" t="n">
        <x:v>0.3993055555555556</x:v>
      </x:c>
      <x:c r="K104" s="10" t="str">
        <x:v>7B</x:v>
      </x:c>
      <x:c r="L104" s="2" t="str">
        <x:v>direct_meal</x:v>
      </x:c>
      <x:c r="M104" s="8" t="str">
        <x:f>IF(P104=1,ROUND((H104-G104)*1440,6),"")</x:f>
      </x:c>
      <x:c r="N104" s="8" t="str">
        <x:f>IF(R104=1,M104,"")</x:f>
      </x:c>
      <x:c r="O104" s="8" t="n">
        <x:f>IF(S104=1,ROUND((J104-I104)*1440,6),"")</x:f>
        <x:v>40</x:v>
      </x:c>
      <x:c r="P104" s="11" t="n">
        <x:v>0</x:v>
      </x:c>
      <x:c r="Q104" s="11" t="n">
        <x:v>0</x:v>
      </x:c>
      <x:c r="R104" s="11" t="n">
        <x:v>0</x:v>
      </x:c>
      <x:c r="S104" s="11" t="n">
        <x:v>1</x:v>
      </x:c>
      <x:c r="T104" s="11" t="n">
        <x:v>1</x:v>
      </x:c>
      <x:c r="U104" s="2" t="str">
        <x:v>documented</x:v>
      </x:c>
      <x:c r="V104" s="2" t="str">
        <x:v>7B</x:v>
      </x:c>
      <x:c r="W104" s="11" t="n">
        <x:v>0</x:v>
      </x:c>
      <x:c r="X104" s="13"/>
    </x:row>
    <x:row r="105" ht="24" customHeight="1">
      <x:c r="A105" s="2" t="str">
        <x:v>143_47</x:v>
      </x:c>
      <x:c r="B105" s="10" t="str">
        <x:v>143</x:v>
      </x:c>
      <x:c r="C105" s="11" t="n">
        <x:v>48</x:v>
      </x:c>
      <x:c r="D105" s="11" t="n">
        <x:v>47</x:v>
      </x:c>
      <x:c r="E105" s="2" t="str">
        <x:v>Walk in</x:v>
      </x:c>
      <x:c r="F105" s="11" t="n">
        <x:v>1</x:v>
      </x:c>
      <x:c r="G105" s="12" t="n">
        <x:v>0.37222222222222223</x:v>
      </x:c>
      <x:c r="H105" s="12" t="n">
        <x:v>0.375</x:v>
      </x:c>
      <x:c r="I105" s="12" t="n">
        <x:v>0.375</x:v>
      </x:c>
      <x:c r="J105" s="12" t="n">
        <x:v>0.42291666666666666</x:v>
      </x:c>
      <x:c r="K105" s="10" t="str">
        <x:v>8A</x:v>
      </x:c>
      <x:c r="L105" s="2" t="str">
        <x:v>queued_meal</x:v>
      </x:c>
      <x:c r="M105" s="8" t="n">
        <x:f>IF(P105=1,ROUND((H105-G105)*1440,6),"")</x:f>
        <x:v>4</x:v>
      </x:c>
      <x:c r="N105" s="8" t="n">
        <x:f>IF(R105=1,M105,"")</x:f>
        <x:v>4</x:v>
      </x:c>
      <x:c r="O105" s="8" t="n">
        <x:f>IF(S105=1,ROUND((J105-I105)*1440,6),"")</x:f>
        <x:v>69</x:v>
      </x:c>
      <x:c r="P105" s="11" t="n">
        <x:v>1</x:v>
      </x:c>
      <x:c r="Q105" s="11" t="n">
        <x:v>0</x:v>
      </x:c>
      <x:c r="R105" s="11" t="n">
        <x:v>1</x:v>
      </x:c>
      <x:c r="S105" s="11" t="n">
        <x:v>1</x:v>
      </x:c>
      <x:c r="T105" s="11" t="n">
        <x:v>1</x:v>
      </x:c>
      <x:c r="U105" s="2" t="str">
        <x:v>documented</x:v>
      </x:c>
      <x:c r="V105" s="2" t="str">
        <x:v>8A</x:v>
      </x:c>
      <x:c r="W105" s="11" t="n">
        <x:v>0</x:v>
      </x:c>
      <x:c r="X105" s="13"/>
    </x:row>
    <x:row r="106" ht="24" customHeight="1">
      <x:c r="A106" s="2" t="str">
        <x:v>143_48</x:v>
      </x:c>
      <x:c r="B106" s="10" t="str">
        <x:v>143</x:v>
      </x:c>
      <x:c r="C106" s="11" t="n">
        <x:v>49</x:v>
      </x:c>
      <x:c r="D106" s="11" t="n">
        <x:v>48</x:v>
      </x:c>
      <x:c r="E106" s="2" t="str">
        <x:v>Walk in</x:v>
      </x:c>
      <x:c r="F106" s="11" t="n">
        <x:v>1</x:v>
      </x:c>
      <x:c r="G106" s="12" t="n">
        <x:v>0.37222222222222223</x:v>
      </x:c>
      <x:c r="H106" s="12" t="n">
        <x:v>0.38333333333333336</x:v>
      </x:c>
      <x:c r="I106" s="12" t="n">
        <x:v>0.38333333333333336</x:v>
      </x:c>
      <x:c r="J106" s="12" t="n">
        <x:v>0.4583333333333333</x:v>
      </x:c>
      <x:c r="K106" s="10" t="str">
        <x:v>9A</x:v>
      </x:c>
      <x:c r="L106" s="2" t="str">
        <x:v>queued_meal</x:v>
      </x:c>
      <x:c r="M106" s="8" t="n">
        <x:f>IF(P106=1,ROUND((H106-G106)*1440,6),"")</x:f>
        <x:v>16</x:v>
      </x:c>
      <x:c r="N106" s="8" t="n">
        <x:f>IF(R106=1,M106,"")</x:f>
        <x:v>16</x:v>
      </x:c>
      <x:c r="O106" s="8" t="n">
        <x:f>IF(S106=1,ROUND((J106-I106)*1440,6),"")</x:f>
        <x:v>108</x:v>
      </x:c>
      <x:c r="P106" s="11" t="n">
        <x:v>1</x:v>
      </x:c>
      <x:c r="Q106" s="11" t="n">
        <x:v>0</x:v>
      </x:c>
      <x:c r="R106" s="11" t="n">
        <x:v>1</x:v>
      </x:c>
      <x:c r="S106" s="11" t="n">
        <x:v>1</x:v>
      </x:c>
      <x:c r="T106" s="11" t="n">
        <x:v>1</x:v>
      </x:c>
      <x:c r="U106" s="2" t="str">
        <x:v>documented</x:v>
      </x:c>
      <x:c r="V106" s="2" t="str">
        <x:v>9A</x:v>
      </x:c>
      <x:c r="W106" s="11" t="n">
        <x:v>0</x:v>
      </x:c>
      <x:c r="X106" s="13"/>
    </x:row>
    <x:row r="107" ht="24" customHeight="1">
      <x:c r="A107" s="2" t="str">
        <x:v>143_49</x:v>
      </x:c>
      <x:c r="B107" s="10" t="str">
        <x:v>143</x:v>
      </x:c>
      <x:c r="C107" s="11" t="n">
        <x:v>50</x:v>
      </x:c>
      <x:c r="D107" s="11" t="n">
        <x:v>49</x:v>
      </x:c>
      <x:c r="E107" s="2" t="str">
        <x:v>Walk in</x:v>
      </x:c>
      <x:c r="F107" s="11" t="n">
        <x:v>3</x:v>
      </x:c>
      <x:c r="G107" s="12" t="n">
        <x:v>0.38055555555555554</x:v>
      </x:c>
      <x:c r="H107" s="12" t="n">
        <x:v>0.3909722222222222</x:v>
      </x:c>
      <x:c r="I107" s="12" t="n">
        <x:v>0.3909722222222222</x:v>
      </x:c>
      <x:c r="J107" s="12" t="n">
        <x:v>0.4222222222222222</x:v>
      </x:c>
      <x:c r="K107" s="10" t="str">
        <x:v>1B-2A</x:v>
      </x:c>
      <x:c r="L107" s="2" t="str">
        <x:v>queued_meal</x:v>
      </x:c>
      <x:c r="M107" s="8" t="n">
        <x:f>IF(P107=1,ROUND((H107-G107)*1440,6),"")</x:f>
        <x:v>15</x:v>
      </x:c>
      <x:c r="N107" s="8" t="n">
        <x:f>IF(R107=1,M107,"")</x:f>
        <x:v>15</x:v>
      </x:c>
      <x:c r="O107" s="8" t="n">
        <x:f>IF(S107=1,ROUND((J107-I107)*1440,6),"")</x:f>
        <x:v>45</x:v>
      </x:c>
      <x:c r="P107" s="11" t="n">
        <x:v>1</x:v>
      </x:c>
      <x:c r="Q107" s="11" t="n">
        <x:v>0</x:v>
      </x:c>
      <x:c r="R107" s="11" t="n">
        <x:v>1</x:v>
      </x:c>
      <x:c r="S107" s="11" t="n">
        <x:v>1</x:v>
      </x:c>
      <x:c r="T107" s="11" t="n">
        <x:v>1</x:v>
      </x:c>
      <x:c r="U107" s="2" t="str">
        <x:v>documented</x:v>
      </x:c>
      <x:c r="V107" s="2" t="str">
        <x:v>1B | 2A</x:v>
      </x:c>
      <x:c r="W107" s="11" t="n">
        <x:v>0</x:v>
      </x:c>
      <x:c r="X107" s="13"/>
    </x:row>
    <x:row r="108" ht="24" customHeight="1">
      <x:c r="A108" s="2" t="str">
        <x:v>143_50</x:v>
      </x:c>
      <x:c r="B108" s="10" t="str">
        <x:v>143</x:v>
      </x:c>
      <x:c r="C108" s="11" t="n">
        <x:v>51</x:v>
      </x:c>
      <x:c r="D108" s="11" t="n">
        <x:v>50</x:v>
      </x:c>
      <x:c r="E108" s="2" t="str">
        <x:v>Walk in</x:v>
      </x:c>
      <x:c r="F108" s="11" t="n">
        <x:v>1</x:v>
      </x:c>
      <x:c r="G108" s="12" t="n">
        <x:v>0.38125</x:v>
      </x:c>
      <x:c r="H108" s="12" t="n">
        <x:v>0.39166666666666666</x:v>
      </x:c>
      <x:c r="I108" s="12" t="n">
        <x:v>0.39166666666666666</x:v>
      </x:c>
      <x:c r="J108" s="12" t="n">
        <x:v>0.40625</x:v>
      </x:c>
      <x:c r="K108" s="10" t="str">
        <x:v>10A</x:v>
      </x:c>
      <x:c r="L108" s="2" t="str">
        <x:v>queued_meal</x:v>
      </x:c>
      <x:c r="M108" s="8" t="n">
        <x:f>IF(P108=1,ROUND((H108-G108)*1440,6),"")</x:f>
        <x:v>15</x:v>
      </x:c>
      <x:c r="N108" s="8" t="n">
        <x:f>IF(R108=1,M108,"")</x:f>
        <x:v>15</x:v>
      </x:c>
      <x:c r="O108" s="8" t="n">
        <x:f>IF(S108=1,ROUND((J108-I108)*1440,6),"")</x:f>
        <x:v>21</x:v>
      </x:c>
      <x:c r="P108" s="11" t="n">
        <x:v>1</x:v>
      </x:c>
      <x:c r="Q108" s="11" t="n">
        <x:v>0</x:v>
      </x:c>
      <x:c r="R108" s="11" t="n">
        <x:v>1</x:v>
      </x:c>
      <x:c r="S108" s="11" t="n">
        <x:v>1</x:v>
      </x:c>
      <x:c r="T108" s="11" t="n">
        <x:v>1</x:v>
      </x:c>
      <x:c r="U108" s="2" t="str">
        <x:v>documented</x:v>
      </x:c>
      <x:c r="V108" s="2" t="str">
        <x:v>10A</x:v>
      </x:c>
      <x:c r="W108" s="11" t="n">
        <x:v>0</x:v>
      </x:c>
      <x:c r="X108" s="13"/>
    </x:row>
    <x:row r="109" ht="24" customHeight="1">
      <x:c r="A109" s="2" t="str">
        <x:v>143_51</x:v>
      </x:c>
      <x:c r="B109" s="10" t="str">
        <x:v>143</x:v>
      </x:c>
      <x:c r="C109" s="11" t="n">
        <x:v>52</x:v>
      </x:c>
      <x:c r="D109" s="11" t="n">
        <x:v>51</x:v>
      </x:c>
      <x:c r="E109" s="2" t="str">
        <x:v>In house</x:v>
      </x:c>
      <x:c r="F109" s="11" t="n">
        <x:v>2</x:v>
      </x:c>
      <x:c r="G109" s="12" t="n">
        <x:v>0.3819444444444444</x:v>
      </x:c>
      <x:c r="H109" s="12" t="n">
        <x:v>0.3888888888888889</x:v>
      </x:c>
      <x:c r="I109" s="12" t="n">
        <x:v>0.3888888888888889</x:v>
      </x:c>
      <x:c r="J109" s="12" t="n">
        <x:v>0.40555555555555556</x:v>
      </x:c>
      <x:c r="K109" s="10" t="str">
        <x:v>99</x:v>
      </x:c>
      <x:c r="L109" s="2" t="str">
        <x:v>queued_meal</x:v>
      </x:c>
      <x:c r="M109" s="8" t="n">
        <x:f>IF(P109=1,ROUND((H109-G109)*1440,6),"")</x:f>
        <x:v>10</x:v>
      </x:c>
      <x:c r="N109" s="8" t="n">
        <x:f>IF(R109=1,M109,"")</x:f>
        <x:v>10</x:v>
      </x:c>
      <x:c r="O109" s="8" t="n">
        <x:f>IF(S109=1,ROUND((J109-I109)*1440,6),"")</x:f>
        <x:v>24</x:v>
      </x:c>
      <x:c r="P109" s="11" t="n">
        <x:v>1</x:v>
      </x:c>
      <x:c r="Q109" s="11" t="n">
        <x:v>0</x:v>
      </x:c>
      <x:c r="R109" s="11" t="n">
        <x:v>1</x:v>
      </x:c>
      <x:c r="S109" s="11" t="n">
        <x:v>1</x:v>
      </x:c>
      <x:c r="T109" s="11" t="n">
        <x:v>1</x:v>
      </x:c>
      <x:c r="U109" s="2" t="str">
        <x:v>queue_area_99</x:v>
      </x:c>
      <x:c r="V109" s="2"/>
      <x:c r="W109" s="11" t="n">
        <x:v>0</x:v>
      </x:c>
      <x:c r="X109" s="13"/>
    </x:row>
    <x:row r="110" ht="24" customHeight="1">
      <x:c r="A110" s="2" t="str">
        <x:v>143_52</x:v>
      </x:c>
      <x:c r="B110" s="10" t="str">
        <x:v>143</x:v>
      </x:c>
      <x:c r="C110" s="11" t="n">
        <x:v>53</x:v>
      </x:c>
      <x:c r="D110" s="11" t="n">
        <x:v>52</x:v>
      </x:c>
      <x:c r="E110" s="2" t="str">
        <x:v>In house</x:v>
      </x:c>
      <x:c r="F110" s="11" t="n">
        <x:v>2</x:v>
      </x:c>
      <x:c r="G110" s="12" t="n">
        <x:v>0.3819444444444444</x:v>
      </x:c>
      <x:c r="H110" s="12" t="n">
        <x:v>0.3923611111111111</x:v>
      </x:c>
      <x:c r="I110" s="12" t="n">
        <x:v>0.3923611111111111</x:v>
      </x:c>
      <x:c r="J110" s="12" t="n">
        <x:v>0.4111111111111111</x:v>
      </x:c>
      <x:c r="K110" s="10" t="str">
        <x:v>3B</x:v>
      </x:c>
      <x:c r="L110" s="2" t="str">
        <x:v>queued_meal</x:v>
      </x:c>
      <x:c r="M110" s="8" t="n">
        <x:f>IF(P110=1,ROUND((H110-G110)*1440,6),"")</x:f>
        <x:v>15</x:v>
      </x:c>
      <x:c r="N110" s="8" t="n">
        <x:f>IF(R110=1,M110,"")</x:f>
        <x:v>15</x:v>
      </x:c>
      <x:c r="O110" s="8" t="n">
        <x:f>IF(S110=1,ROUND((J110-I110)*1440,6),"")</x:f>
        <x:v>27</x:v>
      </x:c>
      <x:c r="P110" s="11" t="n">
        <x:v>1</x:v>
      </x:c>
      <x:c r="Q110" s="11" t="n">
        <x:v>0</x:v>
      </x:c>
      <x:c r="R110" s="11" t="n">
        <x:v>1</x:v>
      </x:c>
      <x:c r="S110" s="11" t="n">
        <x:v>1</x:v>
      </x:c>
      <x:c r="T110" s="11" t="n">
        <x:v>1</x:v>
      </x:c>
      <x:c r="U110" s="2" t="str">
        <x:v>documented</x:v>
      </x:c>
      <x:c r="V110" s="2" t="str">
        <x:v>3B</x:v>
      </x:c>
      <x:c r="W110" s="11" t="n">
        <x:v>0</x:v>
      </x:c>
      <x:c r="X110" s="13"/>
    </x:row>
    <x:row r="111" ht="24" customHeight="1">
      <x:c r="A111" s="2" t="str">
        <x:v>143_53</x:v>
      </x:c>
      <x:c r="B111" s="10" t="str">
        <x:v>143</x:v>
      </x:c>
      <x:c r="C111" s="11" t="n">
        <x:v>54</x:v>
      </x:c>
      <x:c r="D111" s="11" t="n">
        <x:v>53</x:v>
      </x:c>
      <x:c r="E111" s="2" t="str">
        <x:v>In house</x:v>
      </x:c>
      <x:c r="F111" s="11" t="n">
        <x:v>2</x:v>
      </x:c>
      <x:c r="G111" s="12" t="n">
        <x:v>0.38263888888888886</x:v>
      </x:c>
      <x:c r="H111" s="12" t="n">
        <x:v>0.4048611111111111</x:v>
      </x:c>
      <x:c r="I111" s="12" t="n">
        <x:v>0.4048611111111111</x:v>
      </x:c>
      <x:c r="J111" s="12" t="n">
        <x:v>0.42916666666666664</x:v>
      </x:c>
      <x:c r="K111" s="10" t="str">
        <x:v>15</x:v>
      </x:c>
      <x:c r="L111" s="2" t="str">
        <x:v>queued_meal</x:v>
      </x:c>
      <x:c r="M111" s="8" t="n">
        <x:f>IF(P111=1,ROUND((H111-G111)*1440,6),"")</x:f>
        <x:v>32</x:v>
      </x:c>
      <x:c r="N111" s="8" t="n">
        <x:f>IF(R111=1,M111,"")</x:f>
        <x:v>32</x:v>
      </x:c>
      <x:c r="O111" s="8" t="n">
        <x:f>IF(S111=1,ROUND((J111-I111)*1440,6),"")</x:f>
        <x:v>35</x:v>
      </x:c>
      <x:c r="P111" s="11" t="n">
        <x:v>1</x:v>
      </x:c>
      <x:c r="Q111" s="11" t="n">
        <x:v>0</x:v>
      </x:c>
      <x:c r="R111" s="11" t="n">
        <x:v>1</x:v>
      </x:c>
      <x:c r="S111" s="11" t="n">
        <x:v>1</x:v>
      </x:c>
      <x:c r="T111" s="11" t="n">
        <x:v>1</x:v>
      </x:c>
      <x:c r="U111" s="2" t="str">
        <x:v>documented</x:v>
      </x:c>
      <x:c r="V111" s="2" t="str">
        <x:v>15</x:v>
      </x:c>
      <x:c r="W111" s="11" t="n">
        <x:v>0</x:v>
      </x:c>
      <x:c r="X111" s="13"/>
    </x:row>
    <x:row r="112" ht="24" customHeight="1">
      <x:c r="A112" s="2" t="str">
        <x:v>143_54</x:v>
      </x:c>
      <x:c r="B112" s="10" t="str">
        <x:v>143</x:v>
      </x:c>
      <x:c r="C112" s="11" t="n">
        <x:v>55</x:v>
      </x:c>
      <x:c r="D112" s="11" t="n">
        <x:v>54</x:v>
      </x:c>
      <x:c r="E112" s="2" t="str">
        <x:v>In house</x:v>
      </x:c>
      <x:c r="F112" s="11" t="n">
        <x:v>2</x:v>
      </x:c>
      <x:c r="G112" s="12" t="n">
        <x:v>0.38472222222222224</x:v>
      </x:c>
      <x:c r="H112" s="12" t="n">
        <x:v>0.3958333333333333</x:v>
      </x:c>
      <x:c r="I112" s="12" t="n">
        <x:v>0.3958333333333333</x:v>
      </x:c>
      <x:c r="J112" s="12" t="n">
        <x:v>0.4111111111111111</x:v>
      </x:c>
      <x:c r="K112" s="10" t="str">
        <x:v>4A</x:v>
      </x:c>
      <x:c r="L112" s="2" t="str">
        <x:v>queued_meal</x:v>
      </x:c>
      <x:c r="M112" s="8" t="n">
        <x:f>IF(P112=1,ROUND((H112-G112)*1440,6),"")</x:f>
        <x:v>16</x:v>
      </x:c>
      <x:c r="N112" s="8" t="n">
        <x:f>IF(R112=1,M112,"")</x:f>
        <x:v>16</x:v>
      </x:c>
      <x:c r="O112" s="8" t="n">
        <x:f>IF(S112=1,ROUND((J112-I112)*1440,6),"")</x:f>
        <x:v>22</x:v>
      </x:c>
      <x:c r="P112" s="11" t="n">
        <x:v>1</x:v>
      </x:c>
      <x:c r="Q112" s="11" t="n">
        <x:v>0</x:v>
      </x:c>
      <x:c r="R112" s="11" t="n">
        <x:v>1</x:v>
      </x:c>
      <x:c r="S112" s="11" t="n">
        <x:v>1</x:v>
      </x:c>
      <x:c r="T112" s="11" t="n">
        <x:v>1</x:v>
      </x:c>
      <x:c r="U112" s="2" t="str">
        <x:v>documented</x:v>
      </x:c>
      <x:c r="V112" s="2" t="str">
        <x:v>4A</x:v>
      </x:c>
      <x:c r="W112" s="11" t="n">
        <x:v>0</x:v>
      </x:c>
      <x:c r="X112" s="13"/>
    </x:row>
    <x:row r="113" ht="24" customHeight="1">
      <x:c r="A113" s="2" t="str">
        <x:v>143_55</x:v>
      </x:c>
      <x:c r="B113" s="10" t="str">
        <x:v>143</x:v>
      </x:c>
      <x:c r="C113" s="11" t="n">
        <x:v>56</x:v>
      </x:c>
      <x:c r="D113" s="11" t="n">
        <x:v>55</x:v>
      </x:c>
      <x:c r="E113" s="2" t="str">
        <x:v>Walk in</x:v>
      </x:c>
      <x:c r="F113" s="11" t="n">
        <x:v>1</x:v>
      </x:c>
      <x:c r="G113" s="12" t="n">
        <x:v>0.3854166666666667</x:v>
      </x:c>
      <x:c r="H113" s="12" t="n">
        <x:v>0.4</x:v>
      </x:c>
      <x:c r="I113" s="12" t="n">
        <x:v>0.4</x:v>
      </x:c>
      <x:c r="J113" s="12" t="n">
        <x:v>0.49166666666666664</x:v>
      </x:c>
      <x:c r="K113" s="10" t="str">
        <x:v>9B</x:v>
      </x:c>
      <x:c r="L113" s="2" t="str">
        <x:v>queued_meal</x:v>
      </x:c>
      <x:c r="M113" s="8" t="n">
        <x:f>IF(P113=1,ROUND((H113-G113)*1440,6),"")</x:f>
        <x:v>21</x:v>
      </x:c>
      <x:c r="N113" s="8" t="n">
        <x:f>IF(R113=1,M113,"")</x:f>
        <x:v>21</x:v>
      </x:c>
      <x:c r="O113" s="8" t="n">
        <x:f>IF(S113=1,ROUND((J113-I113)*1440,6),"")</x:f>
        <x:v>132</x:v>
      </x:c>
      <x:c r="P113" s="11" t="n">
        <x:v>1</x:v>
      </x:c>
      <x:c r="Q113" s="11" t="n">
        <x:v>0</x:v>
      </x:c>
      <x:c r="R113" s="11" t="n">
        <x:v>1</x:v>
      </x:c>
      <x:c r="S113" s="11" t="n">
        <x:v>1</x:v>
      </x:c>
      <x:c r="T113" s="11" t="n">
        <x:v>1</x:v>
      </x:c>
      <x:c r="U113" s="2" t="str">
        <x:v>documented</x:v>
      </x:c>
      <x:c r="V113" s="2" t="str">
        <x:v>9B</x:v>
      </x:c>
      <x:c r="W113" s="11" t="n">
        <x:v>0</x:v>
      </x:c>
      <x:c r="X113" s="13"/>
    </x:row>
    <x:row r="114" ht="24" customHeight="1">
      <x:c r="A114" s="2" t="str">
        <x:v>143_56</x:v>
      </x:c>
      <x:c r="B114" s="10" t="str">
        <x:v>143</x:v>
      </x:c>
      <x:c r="C114" s="11" t="n">
        <x:v>57</x:v>
      </x:c>
      <x:c r="D114" s="11" t="n">
        <x:v>56</x:v>
      </x:c>
      <x:c r="E114" s="2" t="str">
        <x:v>In house</x:v>
      </x:c>
      <x:c r="F114" s="11" t="n">
        <x:v>2</x:v>
      </x:c>
      <x:c r="G114" s="12" t="n">
        <x:v>0.3854166666666667</x:v>
      </x:c>
      <x:c r="H114" s="12" t="n">
        <x:v>0.4013888888888889</x:v>
      </x:c>
      <x:c r="I114" s="12" t="n">
        <x:v>0.4013888888888889</x:v>
      </x:c>
      <x:c r="J114" s="12" t="n">
        <x:v>0.43125</x:v>
      </x:c>
      <x:c r="K114" s="10" t="str">
        <x:v>13</x:v>
      </x:c>
      <x:c r="L114" s="2" t="str">
        <x:v>queued_meal</x:v>
      </x:c>
      <x:c r="M114" s="8" t="n">
        <x:f>IF(P114=1,ROUND((H114-G114)*1440,6),"")</x:f>
        <x:v>23</x:v>
      </x:c>
      <x:c r="N114" s="8" t="n">
        <x:f>IF(R114=1,M114,"")</x:f>
        <x:v>23</x:v>
      </x:c>
      <x:c r="O114" s="8" t="n">
        <x:f>IF(S114=1,ROUND((J114-I114)*1440,6),"")</x:f>
        <x:v>43</x:v>
      </x:c>
      <x:c r="P114" s="11" t="n">
        <x:v>1</x:v>
      </x:c>
      <x:c r="Q114" s="11" t="n">
        <x:v>0</x:v>
      </x:c>
      <x:c r="R114" s="11" t="n">
        <x:v>1</x:v>
      </x:c>
      <x:c r="S114" s="11" t="n">
        <x:v>1</x:v>
      </x:c>
      <x:c r="T114" s="11" t="n">
        <x:v>1</x:v>
      </x:c>
      <x:c r="U114" s="2" t="str">
        <x:v>documented</x:v>
      </x:c>
      <x:c r="V114" s="2" t="str">
        <x:v>13</x:v>
      </x:c>
      <x:c r="W114" s="11" t="n">
        <x:v>0</x:v>
      </x:c>
      <x:c r="X114" s="13"/>
    </x:row>
    <x:row r="115" ht="24" customHeight="1">
      <x:c r="A115" s="2" t="str">
        <x:v>143_57</x:v>
      </x:c>
      <x:c r="B115" s="10" t="str">
        <x:v>143</x:v>
      </x:c>
      <x:c r="C115" s="11" t="n">
        <x:v>58</x:v>
      </x:c>
      <x:c r="D115" s="11" t="n">
        <x:v>57</x:v>
      </x:c>
      <x:c r="E115" s="2" t="str">
        <x:v>Walk in</x:v>
      </x:c>
      <x:c r="F115" s="11" t="n">
        <x:v>2</x:v>
      </x:c>
      <x:c r="G115" s="12" t="n">
        <x:v>0.38958333333333334</x:v>
      </x:c>
      <x:c r="H115" s="12" t="n">
        <x:v>0.40208333333333335</x:v>
      </x:c>
      <x:c r="I115" s="12" t="n">
        <x:v>0.40208333333333335</x:v>
      </x:c>
      <x:c r="J115" s="12" t="n">
        <x:v>0.4354166666666667</x:v>
      </x:c>
      <x:c r="K115" s="10" t="str">
        <x:v>7B</x:v>
      </x:c>
      <x:c r="L115" s="2" t="str">
        <x:v>queued_meal</x:v>
      </x:c>
      <x:c r="M115" s="8" t="n">
        <x:f>IF(P115=1,ROUND((H115-G115)*1440,6),"")</x:f>
        <x:v>18</x:v>
      </x:c>
      <x:c r="N115" s="8" t="n">
        <x:f>IF(R115=1,M115,"")</x:f>
        <x:v>18</x:v>
      </x:c>
      <x:c r="O115" s="8" t="n">
        <x:f>IF(S115=1,ROUND((J115-I115)*1440,6),"")</x:f>
        <x:v>48</x:v>
      </x:c>
      <x:c r="P115" s="11" t="n">
        <x:v>1</x:v>
      </x:c>
      <x:c r="Q115" s="11" t="n">
        <x:v>0</x:v>
      </x:c>
      <x:c r="R115" s="11" t="n">
        <x:v>1</x:v>
      </x:c>
      <x:c r="S115" s="11" t="n">
        <x:v>1</x:v>
      </x:c>
      <x:c r="T115" s="11" t="n">
        <x:v>1</x:v>
      </x:c>
      <x:c r="U115" s="2" t="str">
        <x:v>documented</x:v>
      </x:c>
      <x:c r="V115" s="2" t="str">
        <x:v>7B</x:v>
      </x:c>
      <x:c r="W115" s="11" t="n">
        <x:v>0</x:v>
      </x:c>
      <x:c r="X115" s="13"/>
    </x:row>
    <x:row r="116" ht="24" customHeight="1">
      <x:c r="A116" s="2" t="str">
        <x:v>143_58</x:v>
      </x:c>
      <x:c r="B116" s="10" t="str">
        <x:v>143</x:v>
      </x:c>
      <x:c r="C116" s="11" t="n">
        <x:v>59</x:v>
      </x:c>
      <x:c r="D116" s="11" t="n">
        <x:v>58</x:v>
      </x:c>
      <x:c r="E116" s="2" t="str">
        <x:v>In house</x:v>
      </x:c>
      <x:c r="F116" s="11" t="n">
        <x:v>1</x:v>
      </x:c>
      <x:c r="G116" s="12" t="n">
        <x:v>0.38958333333333334</x:v>
      </x:c>
      <x:c r="H116" s="12" t="n">
        <x:v>0.4041666666666667</x:v>
      </x:c>
      <x:c r="I116" s="12"/>
      <x:c r="J116" s="12"/>
      <x:c r="K116" s="10"/>
      <x:c r="L116" s="2" t="str">
        <x:v>walk_away</x:v>
      </x:c>
      <x:c r="M116" s="8" t="n">
        <x:f>IF(P116=1,ROUND((H116-G116)*1440,6),"")</x:f>
        <x:v>21</x:v>
      </x:c>
      <x:c r="N116" s="8" t="n">
        <x:f>IF(R116=1,M116,"")</x:f>
        <x:v>21</x:v>
      </x:c>
      <x:c r="O116" s="8" t="str">
        <x:f>IF(S116=1,ROUND((J116-I116)*1440,6),"")</x:f>
      </x:c>
      <x:c r="P116" s="11" t="n">
        <x:v>1</x:v>
      </x:c>
      <x:c r="Q116" s="11" t="n">
        <x:v>1</x:v>
      </x:c>
      <x:c r="R116" s="11" t="n">
        <x:v>1</x:v>
      </x:c>
      <x:c r="S116" s="11" t="n">
        <x:v>0</x:v>
      </x:c>
      <x:c r="T116" s="11" t="n">
        <x:v>1</x:v>
      </x:c>
      <x:c r="U116" s="2" t="str">
        <x:v>no_table</x:v>
      </x:c>
      <x:c r="V116" s="2"/>
      <x:c r="W116" s="11" t="n">
        <x:v>0</x:v>
      </x:c>
      <x:c r="X116" s="13"/>
    </x:row>
    <x:row r="117" ht="24" customHeight="1">
      <x:c r="A117" s="2" t="str">
        <x:v>143_59</x:v>
      </x:c>
      <x:c r="B117" s="10" t="str">
        <x:v>143</x:v>
      </x:c>
      <x:c r="C117" s="11" t="n">
        <x:v>60</x:v>
      </x:c>
      <x:c r="D117" s="11" t="n">
        <x:v>59</x:v>
      </x:c>
      <x:c r="E117" s="2" t="str">
        <x:v>Walk in</x:v>
      </x:c>
      <x:c r="F117" s="11" t="n">
        <x:v>2</x:v>
      </x:c>
      <x:c r="G117" s="12" t="n">
        <x:v>0.3902777777777778</x:v>
      </x:c>
      <x:c r="H117" s="12" t="n">
        <x:v>0.4041666666666667</x:v>
      </x:c>
      <x:c r="I117" s="12" t="n">
        <x:v>0.4041666666666667</x:v>
      </x:c>
      <x:c r="J117" s="12" t="n">
        <x:v>0.46041666666666664</x:v>
      </x:c>
      <x:c r="K117" s="10" t="str">
        <x:v>1A</x:v>
      </x:c>
      <x:c r="L117" s="2" t="str">
        <x:v>queued_meal</x:v>
      </x:c>
      <x:c r="M117" s="8" t="n">
        <x:f>IF(P117=1,ROUND((H117-G117)*1440,6),"")</x:f>
        <x:v>20</x:v>
      </x:c>
      <x:c r="N117" s="8" t="n">
        <x:f>IF(R117=1,M117,"")</x:f>
        <x:v>20</x:v>
      </x:c>
      <x:c r="O117" s="8" t="n">
        <x:f>IF(S117=1,ROUND((J117-I117)*1440,6),"")</x:f>
        <x:v>81</x:v>
      </x:c>
      <x:c r="P117" s="11" t="n">
        <x:v>1</x:v>
      </x:c>
      <x:c r="Q117" s="11" t="n">
        <x:v>0</x:v>
      </x:c>
      <x:c r="R117" s="11" t="n">
        <x:v>1</x:v>
      </x:c>
      <x:c r="S117" s="11" t="n">
        <x:v>1</x:v>
      </x:c>
      <x:c r="T117" s="11" t="n">
        <x:v>1</x:v>
      </x:c>
      <x:c r="U117" s="2" t="str">
        <x:v>documented</x:v>
      </x:c>
      <x:c r="V117" s="2" t="str">
        <x:v>1A</x:v>
      </x:c>
      <x:c r="W117" s="11" t="n">
        <x:v>0</x:v>
      </x:c>
      <x:c r="X117" s="13"/>
    </x:row>
    <x:row r="118" ht="24" customHeight="1">
      <x:c r="A118" s="2" t="str">
        <x:v>143_60</x:v>
      </x:c>
      <x:c r="B118" s="10" t="str">
        <x:v>143</x:v>
      </x:c>
      <x:c r="C118" s="11" t="n">
        <x:v>61</x:v>
      </x:c>
      <x:c r="D118" s="11" t="n">
        <x:v>60</x:v>
      </x:c>
      <x:c r="E118" s="2" t="str">
        <x:v>Walk in</x:v>
      </x:c>
      <x:c r="F118" s="11" t="n">
        <x:v>1</x:v>
      </x:c>
      <x:c r="G118" s="12" t="n">
        <x:v>0.39652777777777776</x:v>
      </x:c>
      <x:c r="H118" s="12" t="n">
        <x:v>0.4083333333333333</x:v>
      </x:c>
      <x:c r="I118" s="12" t="n">
        <x:v>0.4083333333333333</x:v>
      </x:c>
      <x:c r="J118" s="12" t="n">
        <x:v>0.47291666666666665</x:v>
      </x:c>
      <x:c r="K118" s="10" t="str">
        <x:v>7A</x:v>
      </x:c>
      <x:c r="L118" s="2" t="str">
        <x:v>queued_meal</x:v>
      </x:c>
      <x:c r="M118" s="8" t="n">
        <x:f>IF(P118=1,ROUND((H118-G118)*1440,6),"")</x:f>
        <x:v>17</x:v>
      </x:c>
      <x:c r="N118" s="8" t="n">
        <x:f>IF(R118=1,M118,"")</x:f>
        <x:v>17</x:v>
      </x:c>
      <x:c r="O118" s="8" t="n">
        <x:f>IF(S118=1,ROUND((J118-I118)*1440,6),"")</x:f>
        <x:v>93</x:v>
      </x:c>
      <x:c r="P118" s="11" t="n">
        <x:v>1</x:v>
      </x:c>
      <x:c r="Q118" s="11" t="n">
        <x:v>0</x:v>
      </x:c>
      <x:c r="R118" s="11" t="n">
        <x:v>1</x:v>
      </x:c>
      <x:c r="S118" s="11" t="n">
        <x:v>1</x:v>
      </x:c>
      <x:c r="T118" s="11" t="n">
        <x:v>1</x:v>
      </x:c>
      <x:c r="U118" s="2" t="str">
        <x:v>documented</x:v>
      </x:c>
      <x:c r="V118" s="2" t="str">
        <x:v>7A</x:v>
      </x:c>
      <x:c r="W118" s="11" t="n">
        <x:v>0</x:v>
      </x:c>
      <x:c r="X118" s="13"/>
    </x:row>
    <x:row r="119" ht="24" customHeight="1">
      <x:c r="A119" s="2" t="str">
        <x:v>143_61</x:v>
      </x:c>
      <x:c r="B119" s="10" t="str">
        <x:v>143</x:v>
      </x:c>
      <x:c r="C119" s="11" t="n">
        <x:v>62</x:v>
      </x:c>
      <x:c r="D119" s="11" t="n">
        <x:v>61</x:v>
      </x:c>
      <x:c r="E119" s="2" t="str">
        <x:v>Walk in</x:v>
      </x:c>
      <x:c r="F119" s="11" t="n">
        <x:v>2</x:v>
      </x:c>
      <x:c r="G119" s="12" t="n">
        <x:v>0.3972222222222222</x:v>
      </x:c>
      <x:c r="H119" s="12" t="n">
        <x:v>0.4125</x:v>
      </x:c>
      <x:c r="I119" s="12" t="n">
        <x:v>0.4125</x:v>
      </x:c>
      <x:c r="J119" s="12" t="n">
        <x:v>0.45555555555555555</x:v>
      </x:c>
      <x:c r="K119" s="10" t="str">
        <x:v>4A</x:v>
      </x:c>
      <x:c r="L119" s="2" t="str">
        <x:v>queued_meal</x:v>
      </x:c>
      <x:c r="M119" s="8" t="n">
        <x:f>IF(P119=1,ROUND((H119-G119)*1440,6),"")</x:f>
        <x:v>22</x:v>
      </x:c>
      <x:c r="N119" s="8" t="n">
        <x:f>IF(R119=1,M119,"")</x:f>
        <x:v>22</x:v>
      </x:c>
      <x:c r="O119" s="8" t="n">
        <x:f>IF(S119=1,ROUND((J119-I119)*1440,6),"")</x:f>
        <x:v>62</x:v>
      </x:c>
      <x:c r="P119" s="11" t="n">
        <x:v>1</x:v>
      </x:c>
      <x:c r="Q119" s="11" t="n">
        <x:v>0</x:v>
      </x:c>
      <x:c r="R119" s="11" t="n">
        <x:v>1</x:v>
      </x:c>
      <x:c r="S119" s="11" t="n">
        <x:v>1</x:v>
      </x:c>
      <x:c r="T119" s="11" t="n">
        <x:v>1</x:v>
      </x:c>
      <x:c r="U119" s="2" t="str">
        <x:v>documented</x:v>
      </x:c>
      <x:c r="V119" s="2" t="str">
        <x:v>4A</x:v>
      </x:c>
      <x:c r="W119" s="11" t="n">
        <x:v>0</x:v>
      </x:c>
      <x:c r="X119" s="13"/>
    </x:row>
    <x:row r="120" ht="24" customHeight="1">
      <x:c r="A120" s="2" t="str">
        <x:v>143_62</x:v>
      </x:c>
      <x:c r="B120" s="10" t="str">
        <x:v>143</x:v>
      </x:c>
      <x:c r="C120" s="11" t="n">
        <x:v>63</x:v>
      </x:c>
      <x:c r="D120" s="11" t="n">
        <x:v>62</x:v>
      </x:c>
      <x:c r="E120" s="2" t="str">
        <x:v>Walk in</x:v>
      </x:c>
      <x:c r="F120" s="11" t="n">
        <x:v>2</x:v>
      </x:c>
      <x:c r="G120" s="12" t="n">
        <x:v>0.4</x:v>
      </x:c>
      <x:c r="H120" s="12" t="n">
        <x:v>0.41041666666666665</x:v>
      </x:c>
      <x:c r="I120" s="12" t="n">
        <x:v>0.41041666666666665</x:v>
      </x:c>
      <x:c r="J120" s="12" t="n">
        <x:v>0.47430555555555554</x:v>
      </x:c>
      <x:c r="K120" s="10" t="str">
        <x:v>4B</x:v>
      </x:c>
      <x:c r="L120" s="2" t="str">
        <x:v>queued_meal</x:v>
      </x:c>
      <x:c r="M120" s="8" t="n">
        <x:f>IF(P120=1,ROUND((H120-G120)*1440,6),"")</x:f>
        <x:v>15</x:v>
      </x:c>
      <x:c r="N120" s="8" t="n">
        <x:f>IF(R120=1,M120,"")</x:f>
        <x:v>15</x:v>
      </x:c>
      <x:c r="O120" s="8" t="n">
        <x:f>IF(S120=1,ROUND((J120-I120)*1440,6),"")</x:f>
        <x:v>92</x:v>
      </x:c>
      <x:c r="P120" s="11" t="n">
        <x:v>1</x:v>
      </x:c>
      <x:c r="Q120" s="11" t="n">
        <x:v>0</x:v>
      </x:c>
      <x:c r="R120" s="11" t="n">
        <x:v>1</x:v>
      </x:c>
      <x:c r="S120" s="11" t="n">
        <x:v>1</x:v>
      </x:c>
      <x:c r="T120" s="11" t="n">
        <x:v>1</x:v>
      </x:c>
      <x:c r="U120" s="2" t="str">
        <x:v>documented</x:v>
      </x:c>
      <x:c r="V120" s="2" t="str">
        <x:v>4B</x:v>
      </x:c>
      <x:c r="W120" s="11" t="n">
        <x:v>0</x:v>
      </x:c>
      <x:c r="X120" s="13"/>
    </x:row>
    <x:row r="121" ht="24" customHeight="1">
      <x:c r="A121" s="2" t="str">
        <x:v>143_63</x:v>
      </x:c>
      <x:c r="B121" s="10" t="str">
        <x:v>143</x:v>
      </x:c>
      <x:c r="C121" s="11" t="n">
        <x:v>64</x:v>
      </x:c>
      <x:c r="D121" s="11" t="n">
        <x:v>63</x:v>
      </x:c>
      <x:c r="E121" s="2" t="str">
        <x:v>Walk in</x:v>
      </x:c>
      <x:c r="F121" s="11" t="n">
        <x:v>2</x:v>
      </x:c>
      <x:c r="G121" s="12" t="n">
        <x:v>0.4027777777777778</x:v>
      </x:c>
      <x:c r="H121" s="12" t="n">
        <x:v>0.4111111111111111</x:v>
      </x:c>
      <x:c r="I121" s="12" t="n">
        <x:v>0.4111111111111111</x:v>
      </x:c>
      <x:c r="J121" s="12" t="n">
        <x:v>0.4444444444444444</x:v>
      </x:c>
      <x:c r="K121" s="10" t="str">
        <x:v>5A</x:v>
      </x:c>
      <x:c r="L121" s="2" t="str">
        <x:v>queued_meal</x:v>
      </x:c>
      <x:c r="M121" s="8" t="n">
        <x:f>IF(P121=1,ROUND((H121-G121)*1440,6),"")</x:f>
        <x:v>12</x:v>
      </x:c>
      <x:c r="N121" s="8" t="n">
        <x:f>IF(R121=1,M121,"")</x:f>
        <x:v>12</x:v>
      </x:c>
      <x:c r="O121" s="8" t="n">
        <x:f>IF(S121=1,ROUND((J121-I121)*1440,6),"")</x:f>
        <x:v>48</x:v>
      </x:c>
      <x:c r="P121" s="11" t="n">
        <x:v>1</x:v>
      </x:c>
      <x:c r="Q121" s="11" t="n">
        <x:v>0</x:v>
      </x:c>
      <x:c r="R121" s="11" t="n">
        <x:v>1</x:v>
      </x:c>
      <x:c r="S121" s="11" t="n">
        <x:v>1</x:v>
      </x:c>
      <x:c r="T121" s="11" t="n">
        <x:v>1</x:v>
      </x:c>
      <x:c r="U121" s="2" t="str">
        <x:v>documented</x:v>
      </x:c>
      <x:c r="V121" s="2" t="str">
        <x:v>5A</x:v>
      </x:c>
      <x:c r="W121" s="11" t="n">
        <x:v>0</x:v>
      </x:c>
      <x:c r="X121" s="13"/>
    </x:row>
    <x:row r="122" ht="24" customHeight="1">
      <x:c r="A122" s="2" t="str">
        <x:v>143_64</x:v>
      </x:c>
      <x:c r="B122" s="10" t="str">
        <x:v>143</x:v>
      </x:c>
      <x:c r="C122" s="11" t="n">
        <x:v>65</x:v>
      </x:c>
      <x:c r="D122" s="11" t="n">
        <x:v>64</x:v>
      </x:c>
      <x:c r="E122" s="2" t="str">
        <x:v>Walk in</x:v>
      </x:c>
      <x:c r="F122" s="11" t="n">
        <x:v>3</x:v>
      </x:c>
      <x:c r="G122" s="12"/>
      <x:c r="H122" s="12"/>
      <x:c r="I122" s="12" t="n">
        <x:v>0.41458333333333336</x:v>
      </x:c>
      <x:c r="J122" s="12" t="n">
        <x:v>0.4777777777777778</x:v>
      </x:c>
      <x:c r="K122" s="10" t="str">
        <x:v>2B-3A</x:v>
      </x:c>
      <x:c r="L122" s="2" t="str">
        <x:v>direct_meal</x:v>
      </x:c>
      <x:c r="M122" s="8" t="str">
        <x:f>IF(P122=1,ROUND((H122-G122)*1440,6),"")</x:f>
      </x:c>
      <x:c r="N122" s="8" t="str">
        <x:f>IF(R122=1,M122,"")</x:f>
      </x:c>
      <x:c r="O122" s="8" t="n">
        <x:f>IF(S122=1,ROUND((J122-I122)*1440,6),"")</x:f>
        <x:v>91</x:v>
      </x:c>
      <x:c r="P122" s="11" t="n">
        <x:v>0</x:v>
      </x:c>
      <x:c r="Q122" s="11" t="n">
        <x:v>0</x:v>
      </x:c>
      <x:c r="R122" s="11" t="n">
        <x:v>0</x:v>
      </x:c>
      <x:c r="S122" s="11" t="n">
        <x:v>1</x:v>
      </x:c>
      <x:c r="T122" s="11" t="n">
        <x:v>1</x:v>
      </x:c>
      <x:c r="U122" s="2" t="str">
        <x:v>documented</x:v>
      </x:c>
      <x:c r="V122" s="2" t="str">
        <x:v>2B | 3A</x:v>
      </x:c>
      <x:c r="W122" s="11" t="n">
        <x:v>0</x:v>
      </x:c>
      <x:c r="X122" s="13"/>
    </x:row>
    <x:row r="123" ht="24" customHeight="1">
      <x:c r="A123" s="2" t="str">
        <x:v>143_65</x:v>
      </x:c>
      <x:c r="B123" s="10" t="str">
        <x:v>143</x:v>
      </x:c>
      <x:c r="C123" s="11" t="n">
        <x:v>66</x:v>
      </x:c>
      <x:c r="D123" s="11" t="n">
        <x:v>65</x:v>
      </x:c>
      <x:c r="E123" s="2" t="str">
        <x:v>Walk in</x:v>
      </x:c>
      <x:c r="F123" s="11" t="n">
        <x:v>2</x:v>
      </x:c>
      <x:c r="G123" s="12"/>
      <x:c r="H123" s="12"/>
      <x:c r="I123" s="12" t="n">
        <x:v>0.41597222222222224</x:v>
      </x:c>
      <x:c r="J123" s="12" t="n">
        <x:v>0.4479166666666667</x:v>
      </x:c>
      <x:c r="K123" s="10" t="str">
        <x:v>10A</x:v>
      </x:c>
      <x:c r="L123" s="2" t="str">
        <x:v>direct_meal</x:v>
      </x:c>
      <x:c r="M123" s="8" t="str">
        <x:f>IF(P123=1,ROUND((H123-G123)*1440,6),"")</x:f>
      </x:c>
      <x:c r="N123" s="8" t="str">
        <x:f>IF(R123=1,M123,"")</x:f>
      </x:c>
      <x:c r="O123" s="8" t="n">
        <x:f>IF(S123=1,ROUND((J123-I123)*1440,6),"")</x:f>
        <x:v>46</x:v>
      </x:c>
      <x:c r="P123" s="11" t="n">
        <x:v>0</x:v>
      </x:c>
      <x:c r="Q123" s="11" t="n">
        <x:v>0</x:v>
      </x:c>
      <x:c r="R123" s="11" t="n">
        <x:v>0</x:v>
      </x:c>
      <x:c r="S123" s="11" t="n">
        <x:v>1</x:v>
      </x:c>
      <x:c r="T123" s="11" t="n">
        <x:v>1</x:v>
      </x:c>
      <x:c r="U123" s="2" t="str">
        <x:v>documented</x:v>
      </x:c>
      <x:c r="V123" s="2" t="str">
        <x:v>10A</x:v>
      </x:c>
      <x:c r="W123" s="11" t="n">
        <x:v>0</x:v>
      </x:c>
      <x:c r="X123" s="13"/>
    </x:row>
    <x:row r="124" ht="24" customHeight="1">
      <x:c r="A124" s="2" t="str">
        <x:v>143_66</x:v>
      </x:c>
      <x:c r="B124" s="10" t="str">
        <x:v>143</x:v>
      </x:c>
      <x:c r="C124" s="11" t="n">
        <x:v>67</x:v>
      </x:c>
      <x:c r="D124" s="11" t="n">
        <x:v>66</x:v>
      </x:c>
      <x:c r="E124" s="2" t="str">
        <x:v>Walk in</x:v>
      </x:c>
      <x:c r="F124" s="11" t="n">
        <x:v>2</x:v>
      </x:c>
      <x:c r="G124" s="12"/>
      <x:c r="H124" s="12"/>
      <x:c r="I124" s="12" t="n">
        <x:v>0.4166666666666667</x:v>
      </x:c>
      <x:c r="J124" s="12" t="n">
        <x:v>0.47708333333333336</x:v>
      </x:c>
      <x:c r="K124" s="10" t="str">
        <x:v>14</x:v>
      </x:c>
      <x:c r="L124" s="2" t="str">
        <x:v>direct_meal</x:v>
      </x:c>
      <x:c r="M124" s="8" t="str">
        <x:f>IF(P124=1,ROUND((H124-G124)*1440,6),"")</x:f>
      </x:c>
      <x:c r="N124" s="8" t="str">
        <x:f>IF(R124=1,M124,"")</x:f>
      </x:c>
      <x:c r="O124" s="8" t="n">
        <x:f>IF(S124=1,ROUND((J124-I124)*1440,6),"")</x:f>
        <x:v>87</x:v>
      </x:c>
      <x:c r="P124" s="11" t="n">
        <x:v>0</x:v>
      </x:c>
      <x:c r="Q124" s="11" t="n">
        <x:v>0</x:v>
      </x:c>
      <x:c r="R124" s="11" t="n">
        <x:v>0</x:v>
      </x:c>
      <x:c r="S124" s="11" t="n">
        <x:v>1</x:v>
      </x:c>
      <x:c r="T124" s="11" t="n">
        <x:v>1</x:v>
      </x:c>
      <x:c r="U124" s="2" t="str">
        <x:v>documented</x:v>
      </x:c>
      <x:c r="V124" s="2" t="str">
        <x:v>14</x:v>
      </x:c>
      <x:c r="W124" s="11" t="n">
        <x:v>0</x:v>
      </x:c>
      <x:c r="X124" s="13"/>
    </x:row>
    <x:row r="125" ht="24" customHeight="1">
      <x:c r="A125" s="2" t="str">
        <x:v>143_67</x:v>
      </x:c>
      <x:c r="B125" s="10" t="str">
        <x:v>143</x:v>
      </x:c>
      <x:c r="C125" s="11" t="n">
        <x:v>68</x:v>
      </x:c>
      <x:c r="D125" s="11" t="n">
        <x:v>67</x:v>
      </x:c>
      <x:c r="E125" s="2" t="str">
        <x:v>Walk in</x:v>
      </x:c>
      <x:c r="F125" s="11" t="n">
        <x:v>2</x:v>
      </x:c>
      <x:c r="G125" s="12"/>
      <x:c r="H125" s="12"/>
      <x:c r="I125" s="12" t="n">
        <x:v>0.41944444444444445</x:v>
      </x:c>
      <x:c r="J125" s="12" t="n">
        <x:v>0.4756944444444444</x:v>
      </x:c>
      <x:c r="K125" s="10" t="str">
        <x:v>6</x:v>
      </x:c>
      <x:c r="L125" s="2" t="str">
        <x:v>direct_meal</x:v>
      </x:c>
      <x:c r="M125" s="8" t="str">
        <x:f>IF(P125=1,ROUND((H125-G125)*1440,6),"")</x:f>
      </x:c>
      <x:c r="N125" s="8" t="str">
        <x:f>IF(R125=1,M125,"")</x:f>
      </x:c>
      <x:c r="O125" s="8" t="n">
        <x:f>IF(S125=1,ROUND((J125-I125)*1440,6),"")</x:f>
        <x:v>81</x:v>
      </x:c>
      <x:c r="P125" s="11" t="n">
        <x:v>0</x:v>
      </x:c>
      <x:c r="Q125" s="11" t="n">
        <x:v>0</x:v>
      </x:c>
      <x:c r="R125" s="11" t="n">
        <x:v>0</x:v>
      </x:c>
      <x:c r="S125" s="11" t="n">
        <x:v>1</x:v>
      </x:c>
      <x:c r="T125" s="11" t="n">
        <x:v>1</x:v>
      </x:c>
      <x:c r="U125" s="2" t="str">
        <x:v>needs_mapping</x:v>
      </x:c>
      <x:c r="V125" s="2"/>
      <x:c r="W125" s="11" t="n">
        <x:v>1</x:v>
      </x:c>
      <x:c r="X125" s="13" t="str">
        <x:v>รหัสโต๊ะต้องยืนยัน</x:v>
      </x:c>
    </x:row>
    <x:row r="126" ht="24" customHeight="1">
      <x:c r="A126" s="2" t="str">
        <x:v>143_68</x:v>
      </x:c>
      <x:c r="B126" s="10" t="str">
        <x:v>143</x:v>
      </x:c>
      <x:c r="C126" s="11" t="n">
        <x:v>69</x:v>
      </x:c>
      <x:c r="D126" s="11" t="n">
        <x:v>68</x:v>
      </x:c>
      <x:c r="E126" s="2" t="str">
        <x:v>Walk in</x:v>
      </x:c>
      <x:c r="F126" s="11" t="n">
        <x:v>2</x:v>
      </x:c>
      <x:c r="G126" s="12"/>
      <x:c r="H126" s="12"/>
      <x:c r="I126" s="12" t="n">
        <x:v>0.4201388888888889</x:v>
      </x:c>
      <x:c r="J126" s="12" t="n">
        <x:v>0.47291666666666665</x:v>
      </x:c>
      <x:c r="K126" s="10" t="str">
        <x:v>7C</x:v>
      </x:c>
      <x:c r="L126" s="2" t="str">
        <x:v>direct_meal</x:v>
      </x:c>
      <x:c r="M126" s="8" t="str">
        <x:f>IF(P126=1,ROUND((H126-G126)*1440,6),"")</x:f>
      </x:c>
      <x:c r="N126" s="8" t="str">
        <x:f>IF(R126=1,M126,"")</x:f>
      </x:c>
      <x:c r="O126" s="8" t="n">
        <x:f>IF(S126=1,ROUND((J126-I126)*1440,6),"")</x:f>
        <x:v>76</x:v>
      </x:c>
      <x:c r="P126" s="11" t="n">
        <x:v>0</x:v>
      </x:c>
      <x:c r="Q126" s="11" t="n">
        <x:v>0</x:v>
      </x:c>
      <x:c r="R126" s="11" t="n">
        <x:v>0</x:v>
      </x:c>
      <x:c r="S126" s="11" t="n">
        <x:v>1</x:v>
      </x:c>
      <x:c r="T126" s="11" t="n">
        <x:v>1</x:v>
      </x:c>
      <x:c r="U126" s="2" t="str">
        <x:v>documented</x:v>
      </x:c>
      <x:c r="V126" s="2" t="str">
        <x:v>7C</x:v>
      </x:c>
      <x:c r="W126" s="11" t="n">
        <x:v>0</x:v>
      </x:c>
      <x:c r="X126" s="13"/>
    </x:row>
    <x:row r="127" ht="24" customHeight="1">
      <x:c r="A127" s="2" t="str">
        <x:v>143_69</x:v>
      </x:c>
      <x:c r="B127" s="10" t="str">
        <x:v>143</x:v>
      </x:c>
      <x:c r="C127" s="11" t="n">
        <x:v>70</x:v>
      </x:c>
      <x:c r="D127" s="11" t="n">
        <x:v>69</x:v>
      </x:c>
      <x:c r="E127" s="2" t="str">
        <x:v>Walk in</x:v>
      </x:c>
      <x:c r="F127" s="11" t="n">
        <x:v>1</x:v>
      </x:c>
      <x:c r="G127" s="12"/>
      <x:c r="H127" s="12"/>
      <x:c r="I127" s="12" t="n">
        <x:v>0.42430555555555555</x:v>
      </x:c>
      <x:c r="J127" s="12" t="n">
        <x:v>0.43194444444444446</x:v>
      </x:c>
      <x:c r="K127" s="10" t="str">
        <x:v>8A</x:v>
      </x:c>
      <x:c r="L127" s="2" t="str">
        <x:v>direct_meal</x:v>
      </x:c>
      <x:c r="M127" s="8" t="str">
        <x:f>IF(P127=1,ROUND((H127-G127)*1440,6),"")</x:f>
      </x:c>
      <x:c r="N127" s="8" t="str">
        <x:f>IF(R127=1,M127,"")</x:f>
      </x:c>
      <x:c r="O127" s="8" t="n">
        <x:f>IF(S127=1,ROUND((J127-I127)*1440,6),"")</x:f>
        <x:v>11</x:v>
      </x:c>
      <x:c r="P127" s="11" t="n">
        <x:v>0</x:v>
      </x:c>
      <x:c r="Q127" s="11" t="n">
        <x:v>0</x:v>
      </x:c>
      <x:c r="R127" s="11" t="n">
        <x:v>0</x:v>
      </x:c>
      <x:c r="S127" s="11" t="n">
        <x:v>1</x:v>
      </x:c>
      <x:c r="T127" s="11" t="n">
        <x:v>1</x:v>
      </x:c>
      <x:c r="U127" s="2" t="str">
        <x:v>documented</x:v>
      </x:c>
      <x:c r="V127" s="2" t="str">
        <x:v>8A</x:v>
      </x:c>
      <x:c r="W127" s="11" t="n">
        <x:v>0</x:v>
      </x:c>
      <x:c r="X127" s="13"/>
    </x:row>
    <x:row r="128" ht="24" customHeight="1">
      <x:c r="A128" s="2" t="str">
        <x:v>143_70</x:v>
      </x:c>
      <x:c r="B128" s="10" t="str">
        <x:v>143</x:v>
      </x:c>
      <x:c r="C128" s="11" t="n">
        <x:v>71</x:v>
      </x:c>
      <x:c r="D128" s="11" t="n">
        <x:v>70</x:v>
      </x:c>
      <x:c r="E128" s="2" t="str">
        <x:v>In house</x:v>
      </x:c>
      <x:c r="F128" s="11" t="n">
        <x:v>2</x:v>
      </x:c>
      <x:c r="G128" s="12"/>
      <x:c r="H128" s="12"/>
      <x:c r="I128" s="12" t="n">
        <x:v>0.425</x:v>
      </x:c>
      <x:c r="J128" s="12" t="n">
        <x:v>0.4583333333333333</x:v>
      </x:c>
      <x:c r="K128" s="10" t="str">
        <x:v>13</x:v>
      </x:c>
      <x:c r="L128" s="2" t="str">
        <x:v>direct_meal</x:v>
      </x:c>
      <x:c r="M128" s="8" t="str">
        <x:f>IF(P128=1,ROUND((H128-G128)*1440,6),"")</x:f>
      </x:c>
      <x:c r="N128" s="8" t="str">
        <x:f>IF(R128=1,M128,"")</x:f>
      </x:c>
      <x:c r="O128" s="8" t="n">
        <x:f>IF(S128=1,ROUND((J128-I128)*1440,6),"")</x:f>
        <x:v>48</x:v>
      </x:c>
      <x:c r="P128" s="11" t="n">
        <x:v>0</x:v>
      </x:c>
      <x:c r="Q128" s="11" t="n">
        <x:v>0</x:v>
      </x:c>
      <x:c r="R128" s="11" t="n">
        <x:v>0</x:v>
      </x:c>
      <x:c r="S128" s="11" t="n">
        <x:v>1</x:v>
      </x:c>
      <x:c r="T128" s="11" t="n">
        <x:v>1</x:v>
      </x:c>
      <x:c r="U128" s="2" t="str">
        <x:v>documented</x:v>
      </x:c>
      <x:c r="V128" s="2" t="str">
        <x:v>13</x:v>
      </x:c>
      <x:c r="W128" s="11" t="n">
        <x:v>0</x:v>
      </x:c>
      <x:c r="X128" s="13"/>
    </x:row>
    <x:row r="129" ht="24" customHeight="1">
      <x:c r="A129" s="2" t="str">
        <x:v>143_71</x:v>
      </x:c>
      <x:c r="B129" s="10" t="str">
        <x:v>143</x:v>
      </x:c>
      <x:c r="C129" s="11" t="n">
        <x:v>72</x:v>
      </x:c>
      <x:c r="D129" s="11" t="n">
        <x:v>71</x:v>
      </x:c>
      <x:c r="E129" s="2" t="str">
        <x:v>In house</x:v>
      </x:c>
      <x:c r="F129" s="11" t="n">
        <x:v>2</x:v>
      </x:c>
      <x:c r="G129" s="12"/>
      <x:c r="H129" s="12"/>
      <x:c r="I129" s="12" t="n">
        <x:v>0.42777777777777776</x:v>
      </x:c>
      <x:c r="J129" s="12" t="n">
        <x:v>0.44305555555555554</x:v>
      </x:c>
      <x:c r="K129" s="10" t="str">
        <x:v>11</x:v>
      </x:c>
      <x:c r="L129" s="2" t="str">
        <x:v>direct_meal</x:v>
      </x:c>
      <x:c r="M129" s="8" t="str">
        <x:f>IF(P129=1,ROUND((H129-G129)*1440,6),"")</x:f>
      </x:c>
      <x:c r="N129" s="8" t="str">
        <x:f>IF(R129=1,M129,"")</x:f>
      </x:c>
      <x:c r="O129" s="8" t="n">
        <x:f>IF(S129=1,ROUND((J129-I129)*1440,6),"")</x:f>
        <x:v>22</x:v>
      </x:c>
      <x:c r="P129" s="11" t="n">
        <x:v>0</x:v>
      </x:c>
      <x:c r="Q129" s="11" t="n">
        <x:v>0</x:v>
      </x:c>
      <x:c r="R129" s="11" t="n">
        <x:v>0</x:v>
      </x:c>
      <x:c r="S129" s="11" t="n">
        <x:v>1</x:v>
      </x:c>
      <x:c r="T129" s="11" t="n">
        <x:v>1</x:v>
      </x:c>
      <x:c r="U129" s="2" t="str">
        <x:v>needs_mapping</x:v>
      </x:c>
      <x:c r="V129" s="2"/>
      <x:c r="W129" s="11" t="n">
        <x:v>1</x:v>
      </x:c>
      <x:c r="X129" s="13" t="str">
        <x:v>รหัสโต๊ะต้องยืนยัน</x:v>
      </x:c>
    </x:row>
    <x:row r="130" ht="24" customHeight="1">
      <x:c r="A130" s="2" t="str">
        <x:v>143_72</x:v>
      </x:c>
      <x:c r="B130" s="10" t="str">
        <x:v>143</x:v>
      </x:c>
      <x:c r="C130" s="11" t="n">
        <x:v>73</x:v>
      </x:c>
      <x:c r="D130" s="11" t="n">
        <x:v>72</x:v>
      </x:c>
      <x:c r="E130" s="2" t="str">
        <x:v>Walk in</x:v>
      </x:c>
      <x:c r="F130" s="11" t="n">
        <x:v>1</x:v>
      </x:c>
      <x:c r="G130" s="12"/>
      <x:c r="H130" s="12"/>
      <x:c r="I130" s="12" t="n">
        <x:v>0.4263888888888889</x:v>
      </x:c>
      <x:c r="J130" s="12" t="n">
        <x:v>0.4840277777777778</x:v>
      </x:c>
      <x:c r="K130" s="10" t="str">
        <x:v>5B</x:v>
      </x:c>
      <x:c r="L130" s="2" t="str">
        <x:v>direct_meal</x:v>
      </x:c>
      <x:c r="M130" s="8" t="str">
        <x:f>IF(P130=1,ROUND((H130-G130)*1440,6),"")</x:f>
      </x:c>
      <x:c r="N130" s="8" t="str">
        <x:f>IF(R130=1,M130,"")</x:f>
      </x:c>
      <x:c r="O130" s="8" t="n">
        <x:f>IF(S130=1,ROUND((J130-I130)*1440,6),"")</x:f>
        <x:v>83</x:v>
      </x:c>
      <x:c r="P130" s="11" t="n">
        <x:v>0</x:v>
      </x:c>
      <x:c r="Q130" s="11" t="n">
        <x:v>0</x:v>
      </x:c>
      <x:c r="R130" s="11" t="n">
        <x:v>0</x:v>
      </x:c>
      <x:c r="S130" s="11" t="n">
        <x:v>1</x:v>
      </x:c>
      <x:c r="T130" s="11" t="n">
        <x:v>1</x:v>
      </x:c>
      <x:c r="U130" s="2" t="str">
        <x:v>documented</x:v>
      </x:c>
      <x:c r="V130" s="2" t="str">
        <x:v>5B</x:v>
      </x:c>
      <x:c r="W130" s="11" t="n">
        <x:v>0</x:v>
      </x:c>
      <x:c r="X130" s="13"/>
    </x:row>
    <x:row r="131" ht="24" customHeight="1">
      <x:c r="A131" s="2" t="str">
        <x:v>143_73</x:v>
      </x:c>
      <x:c r="B131" s="10" t="str">
        <x:v>143</x:v>
      </x:c>
      <x:c r="C131" s="11" t="n">
        <x:v>74</x:v>
      </x:c>
      <x:c r="D131" s="11" t="n">
        <x:v>73</x:v>
      </x:c>
      <x:c r="E131" s="2" t="str">
        <x:v>Walk in</x:v>
      </x:c>
      <x:c r="F131" s="11" t="n">
        <x:v>1</x:v>
      </x:c>
      <x:c r="G131" s="12"/>
      <x:c r="H131" s="12"/>
      <x:c r="I131" s="12" t="n">
        <x:v>0.42986111111111114</x:v>
      </x:c>
      <x:c r="J131" s="12" t="n">
        <x:v>0.44583333333333336</x:v>
      </x:c>
      <x:c r="K131" s="10" t="str">
        <x:v>16</x:v>
      </x:c>
      <x:c r="L131" s="2" t="str">
        <x:v>direct_meal</x:v>
      </x:c>
      <x:c r="M131" s="8" t="str">
        <x:f>IF(P131=1,ROUND((H131-G131)*1440,6),"")</x:f>
      </x:c>
      <x:c r="N131" s="8" t="str">
        <x:f>IF(R131=1,M131,"")</x:f>
      </x:c>
      <x:c r="O131" s="8" t="n">
        <x:f>IF(S131=1,ROUND((J131-I131)*1440,6),"")</x:f>
        <x:v>23</x:v>
      </x:c>
      <x:c r="P131" s="11" t="n">
        <x:v>0</x:v>
      </x:c>
      <x:c r="Q131" s="11" t="n">
        <x:v>0</x:v>
      </x:c>
      <x:c r="R131" s="11" t="n">
        <x:v>0</x:v>
      </x:c>
      <x:c r="S131" s="11" t="n">
        <x:v>1</x:v>
      </x:c>
      <x:c r="T131" s="11" t="n">
        <x:v>1</x:v>
      </x:c>
      <x:c r="U131" s="2" t="str">
        <x:v>needs_mapping</x:v>
      </x:c>
      <x:c r="V131" s="2"/>
      <x:c r="W131" s="11" t="n">
        <x:v>1</x:v>
      </x:c>
      <x:c r="X131" s="13" t="str">
        <x:v>รหัสโต๊ะต้องยืนยัน</x:v>
      </x:c>
    </x:row>
    <x:row r="132" ht="24" customHeight="1">
      <x:c r="A132" s="2" t="str">
        <x:v>143_74</x:v>
      </x:c>
      <x:c r="B132" s="10" t="str">
        <x:v>143</x:v>
      </x:c>
      <x:c r="C132" s="11" t="n">
        <x:v>75</x:v>
      </x:c>
      <x:c r="D132" s="11" t="n">
        <x:v>74</x:v>
      </x:c>
      <x:c r="E132" s="2" t="str">
        <x:v>Walk in</x:v>
      </x:c>
      <x:c r="F132" s="11" t="n">
        <x:v>1</x:v>
      </x:c>
      <x:c r="G132" s="12"/>
      <x:c r="H132" s="12"/>
      <x:c r="I132" s="12" t="n">
        <x:v>0.4326388888888889</x:v>
      </x:c>
      <x:c r="J132" s="12" t="n">
        <x:v>0.47430555555555554</x:v>
      </x:c>
      <x:c r="K132" s="10" t="str">
        <x:v>8B</x:v>
      </x:c>
      <x:c r="L132" s="2" t="str">
        <x:v>direct_meal</x:v>
      </x:c>
      <x:c r="M132" s="8" t="str">
        <x:f>IF(P132=1,ROUND((H132-G132)*1440,6),"")</x:f>
      </x:c>
      <x:c r="N132" s="8" t="str">
        <x:f>IF(R132=1,M132,"")</x:f>
      </x:c>
      <x:c r="O132" s="8" t="n">
        <x:f>IF(S132=1,ROUND((J132-I132)*1440,6),"")</x:f>
        <x:v>60</x:v>
      </x:c>
      <x:c r="P132" s="11" t="n">
        <x:v>0</x:v>
      </x:c>
      <x:c r="Q132" s="11" t="n">
        <x:v>0</x:v>
      </x:c>
      <x:c r="R132" s="11" t="n">
        <x:v>0</x:v>
      </x:c>
      <x:c r="S132" s="11" t="n">
        <x:v>1</x:v>
      </x:c>
      <x:c r="T132" s="11" t="n">
        <x:v>1</x:v>
      </x:c>
      <x:c r="U132" s="2" t="str">
        <x:v>documented</x:v>
      </x:c>
      <x:c r="V132" s="2" t="str">
        <x:v>8B</x:v>
      </x:c>
      <x:c r="W132" s="11" t="n">
        <x:v>0</x:v>
      </x:c>
      <x:c r="X132" s="13"/>
    </x:row>
    <x:row r="133" ht="24" customHeight="1">
      <x:c r="A133" s="2" t="str">
        <x:v>143_75</x:v>
      </x:c>
      <x:c r="B133" s="10" t="str">
        <x:v>143</x:v>
      </x:c>
      <x:c r="C133" s="11" t="n">
        <x:v>76</x:v>
      </x:c>
      <x:c r="D133" s="11" t="n">
        <x:v>75</x:v>
      </x:c>
      <x:c r="E133" s="2" t="str">
        <x:v>In house</x:v>
      </x:c>
      <x:c r="F133" s="11" t="n">
        <x:v>2</x:v>
      </x:c>
      <x:c r="G133" s="12"/>
      <x:c r="H133" s="12"/>
      <x:c r="I133" s="12" t="n">
        <x:v>0.4340277777777778</x:v>
      </x:c>
      <x:c r="J133" s="12" t="n">
        <x:v>0.4618055555555556</x:v>
      </x:c>
      <x:c r="K133" s="10" t="str">
        <x:v>8A</x:v>
      </x:c>
      <x:c r="L133" s="2" t="str">
        <x:v>direct_meal</x:v>
      </x:c>
      <x:c r="M133" s="8" t="str">
        <x:f>IF(P133=1,ROUND((H133-G133)*1440,6),"")</x:f>
      </x:c>
      <x:c r="N133" s="8" t="str">
        <x:f>IF(R133=1,M133,"")</x:f>
      </x:c>
      <x:c r="O133" s="8" t="n">
        <x:f>IF(S133=1,ROUND((J133-I133)*1440,6),"")</x:f>
        <x:v>40</x:v>
      </x:c>
      <x:c r="P133" s="11" t="n">
        <x:v>0</x:v>
      </x:c>
      <x:c r="Q133" s="11" t="n">
        <x:v>0</x:v>
      </x:c>
      <x:c r="R133" s="11" t="n">
        <x:v>0</x:v>
      </x:c>
      <x:c r="S133" s="11" t="n">
        <x:v>1</x:v>
      </x:c>
      <x:c r="T133" s="11" t="n">
        <x:v>1</x:v>
      </x:c>
      <x:c r="U133" s="2" t="str">
        <x:v>documented</x:v>
      </x:c>
      <x:c r="V133" s="2" t="str">
        <x:v>8A</x:v>
      </x:c>
      <x:c r="W133" s="11" t="n">
        <x:v>0</x:v>
      </x:c>
      <x:c r="X133" s="13"/>
    </x:row>
    <x:row r="134" ht="24" customHeight="1">
      <x:c r="A134" s="2" t="str">
        <x:v>143_76</x:v>
      </x:c>
      <x:c r="B134" s="10" t="str">
        <x:v>143</x:v>
      </x:c>
      <x:c r="C134" s="11" t="n">
        <x:v>77</x:v>
      </x:c>
      <x:c r="D134" s="11" t="n">
        <x:v>76</x:v>
      </x:c>
      <x:c r="E134" s="2" t="str">
        <x:v>Walk in</x:v>
      </x:c>
      <x:c r="F134" s="11" t="n">
        <x:v>2</x:v>
      </x:c>
      <x:c r="G134" s="12"/>
      <x:c r="H134" s="12"/>
      <x:c r="I134" s="12" t="n">
        <x:v>0.43472222222222223</x:v>
      </x:c>
      <x:c r="J134" s="12" t="n">
        <x:v>0.47152777777777777</x:v>
      </x:c>
      <x:c r="K134" s="10" t="str">
        <x:v>8C</x:v>
      </x:c>
      <x:c r="L134" s="2" t="str">
        <x:v>direct_meal</x:v>
      </x:c>
      <x:c r="M134" s="8" t="str">
        <x:f>IF(P134=1,ROUND((H134-G134)*1440,6),"")</x:f>
      </x:c>
      <x:c r="N134" s="8" t="str">
        <x:f>IF(R134=1,M134,"")</x:f>
      </x:c>
      <x:c r="O134" s="8" t="n">
        <x:f>IF(S134=1,ROUND((J134-I134)*1440,6),"")</x:f>
        <x:v>53</x:v>
      </x:c>
      <x:c r="P134" s="11" t="n">
        <x:v>0</x:v>
      </x:c>
      <x:c r="Q134" s="11" t="n">
        <x:v>0</x:v>
      </x:c>
      <x:c r="R134" s="11" t="n">
        <x:v>0</x:v>
      </x:c>
      <x:c r="S134" s="11" t="n">
        <x:v>1</x:v>
      </x:c>
      <x:c r="T134" s="11" t="n">
        <x:v>1</x:v>
      </x:c>
      <x:c r="U134" s="2" t="str">
        <x:v>documented</x:v>
      </x:c>
      <x:c r="V134" s="2" t="str">
        <x:v>8C</x:v>
      </x:c>
      <x:c r="W134" s="11" t="n">
        <x:v>0</x:v>
      </x:c>
      <x:c r="X134" s="13"/>
    </x:row>
    <x:row r="135" ht="24" customHeight="1">
      <x:c r="A135" s="2" t="str">
        <x:v>143_77</x:v>
      </x:c>
      <x:c r="B135" s="10" t="str">
        <x:v>143</x:v>
      </x:c>
      <x:c r="C135" s="11" t="n">
        <x:v>78</x:v>
      </x:c>
      <x:c r="D135" s="11" t="n">
        <x:v>77</x:v>
      </x:c>
      <x:c r="E135" s="2" t="str">
        <x:v>Walk in</x:v>
      </x:c>
      <x:c r="F135" s="11" t="n">
        <x:v>2</x:v>
      </x:c>
      <x:c r="G135" s="12"/>
      <x:c r="H135" s="12"/>
      <x:c r="I135" s="12" t="n">
        <x:v>0.4375</x:v>
      </x:c>
      <x:c r="J135" s="12" t="n">
        <x:v>0.5</x:v>
      </x:c>
      <x:c r="K135" s="10" t="str">
        <x:v>7B</x:v>
      </x:c>
      <x:c r="L135" s="2" t="str">
        <x:v>direct_meal</x:v>
      </x:c>
      <x:c r="M135" s="8" t="str">
        <x:f>IF(P135=1,ROUND((H135-G135)*1440,6),"")</x:f>
      </x:c>
      <x:c r="N135" s="8" t="str">
        <x:f>IF(R135=1,M135,"")</x:f>
      </x:c>
      <x:c r="O135" s="8" t="n">
        <x:f>IF(S135=1,ROUND((J135-I135)*1440,6),"")</x:f>
        <x:v>90</x:v>
      </x:c>
      <x:c r="P135" s="11" t="n">
        <x:v>0</x:v>
      </x:c>
      <x:c r="Q135" s="11" t="n">
        <x:v>0</x:v>
      </x:c>
      <x:c r="R135" s="11" t="n">
        <x:v>0</x:v>
      </x:c>
      <x:c r="S135" s="11" t="n">
        <x:v>1</x:v>
      </x:c>
      <x:c r="T135" s="11" t="n">
        <x:v>1</x:v>
      </x:c>
      <x:c r="U135" s="2" t="str">
        <x:v>documented</x:v>
      </x:c>
      <x:c r="V135" s="2" t="str">
        <x:v>7B</x:v>
      </x:c>
      <x:c r="W135" s="11" t="n">
        <x:v>0</x:v>
      </x:c>
      <x:c r="X135" s="13"/>
    </x:row>
    <x:row r="136" ht="24" customHeight="1">
      <x:c r="A136" s="2" t="str">
        <x:v>143_78</x:v>
      </x:c>
      <x:c r="B136" s="10" t="str">
        <x:v>143</x:v>
      </x:c>
      <x:c r="C136" s="11" t="n">
        <x:v>79</x:v>
      </x:c>
      <x:c r="D136" s="11" t="n">
        <x:v>78</x:v>
      </x:c>
      <x:c r="E136" s="2" t="str">
        <x:v>Walk in</x:v>
      </x:c>
      <x:c r="F136" s="11" t="n">
        <x:v>3</x:v>
      </x:c>
      <x:c r="G136" s="12"/>
      <x:c r="H136" s="12"/>
      <x:c r="I136" s="12" t="n">
        <x:v>0.44513888888888886</x:v>
      </x:c>
      <x:c r="J136" s="12" t="n">
        <x:v>0.49583333333333335</x:v>
      </x:c>
      <x:c r="K136" s="10" t="str">
        <x:v>1B-2A</x:v>
      </x:c>
      <x:c r="L136" s="2" t="str">
        <x:v>direct_meal</x:v>
      </x:c>
      <x:c r="M136" s="8" t="str">
        <x:f>IF(P136=1,ROUND((H136-G136)*1440,6),"")</x:f>
      </x:c>
      <x:c r="N136" s="8" t="str">
        <x:f>IF(R136=1,M136,"")</x:f>
      </x:c>
      <x:c r="O136" s="8" t="n">
        <x:f>IF(S136=1,ROUND((J136-I136)*1440,6),"")</x:f>
        <x:v>73</x:v>
      </x:c>
      <x:c r="P136" s="11" t="n">
        <x:v>0</x:v>
      </x:c>
      <x:c r="Q136" s="11" t="n">
        <x:v>0</x:v>
      </x:c>
      <x:c r="R136" s="11" t="n">
        <x:v>0</x:v>
      </x:c>
      <x:c r="S136" s="11" t="n">
        <x:v>1</x:v>
      </x:c>
      <x:c r="T136" s="11" t="n">
        <x:v>1</x:v>
      </x:c>
      <x:c r="U136" s="2" t="str">
        <x:v>documented</x:v>
      </x:c>
      <x:c r="V136" s="2" t="str">
        <x:v>1B | 2A</x:v>
      </x:c>
      <x:c r="W136" s="11" t="n">
        <x:v>0</x:v>
      </x:c>
      <x:c r="X136" s="13"/>
    </x:row>
    <x:row r="137" ht="24" customHeight="1">
      <x:c r="A137" s="2" t="str">
        <x:v>143_79</x:v>
      </x:c>
      <x:c r="B137" s="10" t="str">
        <x:v>143</x:v>
      </x:c>
      <x:c r="C137" s="11" t="n">
        <x:v>80</x:v>
      </x:c>
      <x:c r="D137" s="11" t="n">
        <x:v>79</x:v>
      </x:c>
      <x:c r="E137" s="2" t="str">
        <x:v>Walk in</x:v>
      </x:c>
      <x:c r="F137" s="11" t="n">
        <x:v>1</x:v>
      </x:c>
      <x:c r="G137" s="12"/>
      <x:c r="H137" s="12"/>
      <x:c r="I137" s="12" t="n">
        <x:v>0.4583333333333333</x:v>
      </x:c>
      <x:c r="J137" s="12" t="n">
        <x:v>0.47847222222222224</x:v>
      </x:c>
      <x:c r="K137" s="10" t="str">
        <x:v>16</x:v>
      </x:c>
      <x:c r="L137" s="2" t="str">
        <x:v>direct_meal</x:v>
      </x:c>
      <x:c r="M137" s="8" t="str">
        <x:f>IF(P137=1,ROUND((H137-G137)*1440,6),"")</x:f>
      </x:c>
      <x:c r="N137" s="8" t="str">
        <x:f>IF(R137=1,M137,"")</x:f>
      </x:c>
      <x:c r="O137" s="8" t="n">
        <x:f>IF(S137=1,ROUND((J137-I137)*1440,6),"")</x:f>
        <x:v>29</x:v>
      </x:c>
      <x:c r="P137" s="11" t="n">
        <x:v>0</x:v>
      </x:c>
      <x:c r="Q137" s="11" t="n">
        <x:v>0</x:v>
      </x:c>
      <x:c r="R137" s="11" t="n">
        <x:v>0</x:v>
      </x:c>
      <x:c r="S137" s="11" t="n">
        <x:v>1</x:v>
      </x:c>
      <x:c r="T137" s="11" t="n">
        <x:v>1</x:v>
      </x:c>
      <x:c r="U137" s="2" t="str">
        <x:v>needs_mapping</x:v>
      </x:c>
      <x:c r="V137" s="2"/>
      <x:c r="W137" s="11" t="n">
        <x:v>1</x:v>
      </x:c>
      <x:c r="X137" s="13" t="str">
        <x:v>รหัสโต๊ะต้องยืนยัน</x:v>
      </x:c>
    </x:row>
    <x:row r="138" ht="24" customHeight="1">
      <x:c r="A138" s="2" t="str">
        <x:v>143_80</x:v>
      </x:c>
      <x:c r="B138" s="10" t="str">
        <x:v>143</x:v>
      </x:c>
      <x:c r="C138" s="11" t="n">
        <x:v>81</x:v>
      </x:c>
      <x:c r="D138" s="11" t="n">
        <x:v>80</x:v>
      </x:c>
      <x:c r="E138" s="2" t="str">
        <x:v>In house</x:v>
      </x:c>
      <x:c r="F138" s="11" t="n">
        <x:v>2</x:v>
      </x:c>
      <x:c r="G138" s="12"/>
      <x:c r="H138" s="12"/>
      <x:c r="I138" s="12" t="n">
        <x:v>0.475</x:v>
      </x:c>
      <x:c r="J138" s="12" t="n">
        <x:v>0.5173611111111112</x:v>
      </x:c>
      <x:c r="K138" s="10" t="str">
        <x:v>1A</x:v>
      </x:c>
      <x:c r="L138" s="2" t="str">
        <x:v>direct_meal</x:v>
      </x:c>
      <x:c r="M138" s="8" t="str">
        <x:f>IF(P138=1,ROUND((H138-G138)*1440,6),"")</x:f>
      </x:c>
      <x:c r="N138" s="8" t="str">
        <x:f>IF(R138=1,M138,"")</x:f>
      </x:c>
      <x:c r="O138" s="8" t="n">
        <x:f>IF(S138=1,ROUND((J138-I138)*1440,6),"")</x:f>
        <x:v>61</x:v>
      </x:c>
      <x:c r="P138" s="11" t="n">
        <x:v>0</x:v>
      </x:c>
      <x:c r="Q138" s="11" t="n">
        <x:v>0</x:v>
      </x:c>
      <x:c r="R138" s="11" t="n">
        <x:v>0</x:v>
      </x:c>
      <x:c r="S138" s="11" t="n">
        <x:v>1</x:v>
      </x:c>
      <x:c r="T138" s="11" t="n">
        <x:v>1</x:v>
      </x:c>
      <x:c r="U138" s="2" t="str">
        <x:v>documented</x:v>
      </x:c>
      <x:c r="V138" s="2" t="str">
        <x:v>1A</x:v>
      </x:c>
      <x:c r="W138" s="11" t="n">
        <x:v>0</x:v>
      </x:c>
      <x:c r="X138" s="13"/>
    </x:row>
    <x:row r="139" ht="24" customHeight="1">
      <x:c r="A139" s="2" t="str">
        <x:v>143_81</x:v>
      </x:c>
      <x:c r="B139" s="10" t="str">
        <x:v>143</x:v>
      </x:c>
      <x:c r="C139" s="11" t="n">
        <x:v>82</x:v>
      </x:c>
      <x:c r="D139" s="11" t="n">
        <x:v>81</x:v>
      </x:c>
      <x:c r="E139" s="2" t="str">
        <x:v>Walk in</x:v>
      </x:c>
      <x:c r="F139" s="11" t="n">
        <x:v>2</x:v>
      </x:c>
      <x:c r="G139" s="12"/>
      <x:c r="H139" s="12"/>
      <x:c r="I139" s="12" t="n">
        <x:v>0.4895833333333333</x:v>
      </x:c>
      <x:c r="J139" s="12" t="n">
        <x:v>0.5215277777777778</x:v>
      </x:c>
      <x:c r="K139" s="10" t="str">
        <x:v>6</x:v>
      </x:c>
      <x:c r="L139" s="2" t="str">
        <x:v>direct_meal</x:v>
      </x:c>
      <x:c r="M139" s="8" t="str">
        <x:f>IF(P139=1,ROUND((H139-G139)*1440,6),"")</x:f>
      </x:c>
      <x:c r="N139" s="8" t="str">
        <x:f>IF(R139=1,M139,"")</x:f>
      </x:c>
      <x:c r="O139" s="8" t="n">
        <x:f>IF(S139=1,ROUND((J139-I139)*1440,6),"")</x:f>
        <x:v>46</x:v>
      </x:c>
      <x:c r="P139" s="11" t="n">
        <x:v>0</x:v>
      </x:c>
      <x:c r="Q139" s="11" t="n">
        <x:v>0</x:v>
      </x:c>
      <x:c r="R139" s="11" t="n">
        <x:v>0</x:v>
      </x:c>
      <x:c r="S139" s="11" t="n">
        <x:v>1</x:v>
      </x:c>
      <x:c r="T139" s="11" t="n">
        <x:v>1</x:v>
      </x:c>
      <x:c r="U139" s="2" t="str">
        <x:v>needs_mapping</x:v>
      </x:c>
      <x:c r="V139" s="2"/>
      <x:c r="W139" s="11" t="n">
        <x:v>1</x:v>
      </x:c>
      <x:c r="X139" s="13" t="str">
        <x:v>รหัสโต๊ะต้องยืนยัน</x:v>
      </x:c>
    </x:row>
    <x:row r="140" ht="24" customHeight="1">
      <x:c r="A140" s="2" t="str">
        <x:v>153_1</x:v>
      </x:c>
      <x:c r="B140" s="10" t="str">
        <x:v>153</x:v>
      </x:c>
      <x:c r="C140" s="11" t="n">
        <x:v>2</x:v>
      </x:c>
      <x:c r="D140" s="11" t="n">
        <x:v>1</x:v>
      </x:c>
      <x:c r="E140" s="2" t="str">
        <x:v>Walk in</x:v>
      </x:c>
      <x:c r="F140" s="11" t="n">
        <x:v>2</x:v>
      </x:c>
      <x:c r="G140" s="12"/>
      <x:c r="H140" s="12"/>
      <x:c r="I140" s="12" t="n">
        <x:v>0.2847222222222222</x:v>
      </x:c>
      <x:c r="J140" s="12" t="n">
        <x:v>0.3388888888888889</x:v>
      </x:c>
      <x:c r="K140" s="10" t="str">
        <x:v>10B</x:v>
      </x:c>
      <x:c r="L140" s="2" t="str">
        <x:v>direct_meal</x:v>
      </x:c>
      <x:c r="M140" s="8" t="str">
        <x:f>IF(P140=1,ROUND((H140-G140)*1440,6),"")</x:f>
      </x:c>
      <x:c r="N140" s="8" t="str">
        <x:f>IF(R140=1,M140,"")</x:f>
      </x:c>
      <x:c r="O140" s="8" t="n">
        <x:f>IF(S140=1,ROUND((J140-I140)*1440,6),"")</x:f>
        <x:v>78</x:v>
      </x:c>
      <x:c r="P140" s="11" t="n">
        <x:v>0</x:v>
      </x:c>
      <x:c r="Q140" s="11" t="n">
        <x:v>0</x:v>
      </x:c>
      <x:c r="R140" s="11" t="n">
        <x:v>0</x:v>
      </x:c>
      <x:c r="S140" s="11" t="n">
        <x:v>1</x:v>
      </x:c>
      <x:c r="T140" s="11" t="n">
        <x:v>1</x:v>
      </x:c>
      <x:c r="U140" s="2" t="str">
        <x:v>documented</x:v>
      </x:c>
      <x:c r="V140" s="2" t="str">
        <x:v>10B</x:v>
      </x:c>
      <x:c r="W140" s="11" t="n">
        <x:v>0</x:v>
      </x:c>
      <x:c r="X140" s="13"/>
    </x:row>
    <x:row r="141" ht="24" customHeight="1">
      <x:c r="A141" s="2" t="str">
        <x:v>153_2</x:v>
      </x:c>
      <x:c r="B141" s="10" t="str">
        <x:v>153</x:v>
      </x:c>
      <x:c r="C141" s="11" t="n">
        <x:v>3</x:v>
      </x:c>
      <x:c r="D141" s="11" t="n">
        <x:v>2</x:v>
      </x:c>
      <x:c r="E141" s="2" t="str">
        <x:v>Walk in</x:v>
      </x:c>
      <x:c r="F141" s="11" t="n">
        <x:v>1</x:v>
      </x:c>
      <x:c r="G141" s="12"/>
      <x:c r="H141" s="12"/>
      <x:c r="I141" s="12" t="n">
        <x:v>0.28680555555555554</x:v>
      </x:c>
      <x:c r="J141" s="12" t="n">
        <x:v>0.3263888888888889</x:v>
      </x:c>
      <x:c r="K141" s="10" t="str">
        <x:v>1</x:v>
      </x:c>
      <x:c r="L141" s="2" t="str">
        <x:v>direct_meal</x:v>
      </x:c>
      <x:c r="M141" s="8" t="str">
        <x:f>IF(P141=1,ROUND((H141-G141)*1440,6),"")</x:f>
      </x:c>
      <x:c r="N141" s="8" t="str">
        <x:f>IF(R141=1,M141,"")</x:f>
      </x:c>
      <x:c r="O141" s="8" t="n">
        <x:f>IF(S141=1,ROUND((J141-I141)*1440,6),"")</x:f>
        <x:v>57</x:v>
      </x:c>
      <x:c r="P141" s="11" t="n">
        <x:v>0</x:v>
      </x:c>
      <x:c r="Q141" s="11" t="n">
        <x:v>0</x:v>
      </x:c>
      <x:c r="R141" s="11" t="n">
        <x:v>0</x:v>
      </x:c>
      <x:c r="S141" s="11" t="n">
        <x:v>1</x:v>
      </x:c>
      <x:c r="T141" s="11" t="n">
        <x:v>1</x:v>
      </x:c>
      <x:c r="U141" s="2" t="str">
        <x:v>needs_mapping</x:v>
      </x:c>
      <x:c r="V141" s="2"/>
      <x:c r="W141" s="11" t="n">
        <x:v>1</x:v>
      </x:c>
      <x:c r="X141" s="13" t="str">
        <x:v>รหัสโต๊ะต้องยืนยัน</x:v>
      </x:c>
    </x:row>
    <x:row r="142" ht="24" customHeight="1">
      <x:c r="A142" s="2" t="str">
        <x:v>153_3</x:v>
      </x:c>
      <x:c r="B142" s="10" t="str">
        <x:v>153</x:v>
      </x:c>
      <x:c r="C142" s="11" t="n">
        <x:v>4</x:v>
      </x:c>
      <x:c r="D142" s="11" t="n">
        <x:v>3</x:v>
      </x:c>
      <x:c r="E142" s="2" t="str">
        <x:v>Walk in</x:v>
      </x:c>
      <x:c r="F142" s="11" t="n">
        <x:v>1</x:v>
      </x:c>
      <x:c r="G142" s="12"/>
      <x:c r="H142" s="12"/>
      <x:c r="I142" s="12" t="n">
        <x:v>0.28958333333333336</x:v>
      </x:c>
      <x:c r="J142" s="12" t="n">
        <x:v>0.3645833333333333</x:v>
      </x:c>
      <x:c r="K142" s="10" t="str">
        <x:v>7A</x:v>
      </x:c>
      <x:c r="L142" s="2" t="str">
        <x:v>direct_meal</x:v>
      </x:c>
      <x:c r="M142" s="8" t="str">
        <x:f>IF(P142=1,ROUND((H142-G142)*1440,6),"")</x:f>
      </x:c>
      <x:c r="N142" s="8" t="str">
        <x:f>IF(R142=1,M142,"")</x:f>
      </x:c>
      <x:c r="O142" s="8" t="n">
        <x:f>IF(S142=1,ROUND((J142-I142)*1440,6),"")</x:f>
        <x:v>108</x:v>
      </x:c>
      <x:c r="P142" s="11" t="n">
        <x:v>0</x:v>
      </x:c>
      <x:c r="Q142" s="11" t="n">
        <x:v>0</x:v>
      </x:c>
      <x:c r="R142" s="11" t="n">
        <x:v>0</x:v>
      </x:c>
      <x:c r="S142" s="11" t="n">
        <x:v>1</x:v>
      </x:c>
      <x:c r="T142" s="11" t="n">
        <x:v>1</x:v>
      </x:c>
      <x:c r="U142" s="2" t="str">
        <x:v>documented</x:v>
      </x:c>
      <x:c r="V142" s="2" t="str">
        <x:v>7A</x:v>
      </x:c>
      <x:c r="W142" s="11" t="n">
        <x:v>0</x:v>
      </x:c>
      <x:c r="X142" s="13"/>
    </x:row>
    <x:row r="143" ht="24" customHeight="1">
      <x:c r="A143" s="2" t="str">
        <x:v>153_4</x:v>
      </x:c>
      <x:c r="B143" s="10" t="str">
        <x:v>153</x:v>
      </x:c>
      <x:c r="C143" s="11" t="n">
        <x:v>5</x:v>
      </x:c>
      <x:c r="D143" s="11" t="n">
        <x:v>4</x:v>
      </x:c>
      <x:c r="E143" s="2" t="str">
        <x:v>Walk in</x:v>
      </x:c>
      <x:c r="F143" s="11" t="n">
        <x:v>3</x:v>
      </x:c>
      <x:c r="G143" s="12"/>
      <x:c r="H143" s="12"/>
      <x:c r="I143" s="12" t="n">
        <x:v>0.29305555555555557</x:v>
      </x:c>
      <x:c r="J143" s="12" t="n">
        <x:v>0.3333333333333333</x:v>
      </x:c>
      <x:c r="K143" s="10" t="str">
        <x:v>3B</x:v>
      </x:c>
      <x:c r="L143" s="2" t="str">
        <x:v>direct_meal</x:v>
      </x:c>
      <x:c r="M143" s="8" t="str">
        <x:f>IF(P143=1,ROUND((H143-G143)*1440,6),"")</x:f>
      </x:c>
      <x:c r="N143" s="8" t="str">
        <x:f>IF(R143=1,M143,"")</x:f>
      </x:c>
      <x:c r="O143" s="8" t="n">
        <x:f>IF(S143=1,ROUND((J143-I143)*1440,6),"")</x:f>
        <x:v>58</x:v>
      </x:c>
      <x:c r="P143" s="11" t="n">
        <x:v>0</x:v>
      </x:c>
      <x:c r="Q143" s="11" t="n">
        <x:v>0</x:v>
      </x:c>
      <x:c r="R143" s="11" t="n">
        <x:v>0</x:v>
      </x:c>
      <x:c r="S143" s="11" t="n">
        <x:v>1</x:v>
      </x:c>
      <x:c r="T143" s="11" t="n">
        <x:v>1</x:v>
      </x:c>
      <x:c r="U143" s="2" t="str">
        <x:v>documented</x:v>
      </x:c>
      <x:c r="V143" s="2" t="str">
        <x:v>3B</x:v>
      </x:c>
      <x:c r="W143" s="11" t="n">
        <x:v>0</x:v>
      </x:c>
      <x:c r="X143" s="13"/>
    </x:row>
    <x:row r="144" ht="24" customHeight="1">
      <x:c r="A144" s="2" t="str">
        <x:v>153_5</x:v>
      </x:c>
      <x:c r="B144" s="10" t="str">
        <x:v>153</x:v>
      </x:c>
      <x:c r="C144" s="11" t="n">
        <x:v>6</x:v>
      </x:c>
      <x:c r="D144" s="11" t="n">
        <x:v>5</x:v>
      </x:c>
      <x:c r="E144" s="2" t="str">
        <x:v>Walk in</x:v>
      </x:c>
      <x:c r="F144" s="11" t="n">
        <x:v>2</x:v>
      </x:c>
      <x:c r="G144" s="12"/>
      <x:c r="H144" s="12"/>
      <x:c r="I144" s="12" t="n">
        <x:v>0.3</x:v>
      </x:c>
      <x:c r="J144" s="12" t="n">
        <x:v>0.3416666666666667</x:v>
      </x:c>
      <x:c r="K144" s="10" t="str">
        <x:v>4A</x:v>
      </x:c>
      <x:c r="L144" s="2" t="str">
        <x:v>direct_meal</x:v>
      </x:c>
      <x:c r="M144" s="8" t="str">
        <x:f>IF(P144=1,ROUND((H144-G144)*1440,6),"")</x:f>
      </x:c>
      <x:c r="N144" s="8" t="str">
        <x:f>IF(R144=1,M144,"")</x:f>
      </x:c>
      <x:c r="O144" s="8" t="n">
        <x:f>IF(S144=1,ROUND((J144-I144)*1440,6),"")</x:f>
        <x:v>60</x:v>
      </x:c>
      <x:c r="P144" s="11" t="n">
        <x:v>0</x:v>
      </x:c>
      <x:c r="Q144" s="11" t="n">
        <x:v>0</x:v>
      </x:c>
      <x:c r="R144" s="11" t="n">
        <x:v>0</x:v>
      </x:c>
      <x:c r="S144" s="11" t="n">
        <x:v>1</x:v>
      </x:c>
      <x:c r="T144" s="11" t="n">
        <x:v>1</x:v>
      </x:c>
      <x:c r="U144" s="2" t="str">
        <x:v>documented</x:v>
      </x:c>
      <x:c r="V144" s="2" t="str">
        <x:v>4A</x:v>
      </x:c>
      <x:c r="W144" s="11" t="n">
        <x:v>0</x:v>
      </x:c>
      <x:c r="X144" s="13"/>
    </x:row>
    <x:row r="145" ht="24" customHeight="1">
      <x:c r="A145" s="2" t="str">
        <x:v>153_6</x:v>
      </x:c>
      <x:c r="B145" s="10" t="str">
        <x:v>153</x:v>
      </x:c>
      <x:c r="C145" s="11" t="n">
        <x:v>7</x:v>
      </x:c>
      <x:c r="D145" s="11" t="n">
        <x:v>6</x:v>
      </x:c>
      <x:c r="E145" s="2" t="str">
        <x:v>In house</x:v>
      </x:c>
      <x:c r="F145" s="11" t="n">
        <x:v>2</x:v>
      </x:c>
      <x:c r="G145" s="12"/>
      <x:c r="H145" s="12"/>
      <x:c r="I145" s="12" t="n">
        <x:v>0.30069444444444443</x:v>
      </x:c>
      <x:c r="J145" s="12" t="n">
        <x:v>0.3368055555555556</x:v>
      </x:c>
      <x:c r="K145" s="10" t="str">
        <x:v>5B</x:v>
      </x:c>
      <x:c r="L145" s="2" t="str">
        <x:v>direct_meal</x:v>
      </x:c>
      <x:c r="M145" s="8" t="str">
        <x:f>IF(P145=1,ROUND((H145-G145)*1440,6),"")</x:f>
      </x:c>
      <x:c r="N145" s="8" t="str">
        <x:f>IF(R145=1,M145,"")</x:f>
      </x:c>
      <x:c r="O145" s="8" t="n">
        <x:f>IF(S145=1,ROUND((J145-I145)*1440,6),"")</x:f>
        <x:v>52</x:v>
      </x:c>
      <x:c r="P145" s="11" t="n">
        <x:v>0</x:v>
      </x:c>
      <x:c r="Q145" s="11" t="n">
        <x:v>0</x:v>
      </x:c>
      <x:c r="R145" s="11" t="n">
        <x:v>0</x:v>
      </x:c>
      <x:c r="S145" s="11" t="n">
        <x:v>1</x:v>
      </x:c>
      <x:c r="T145" s="11" t="n">
        <x:v>1</x:v>
      </x:c>
      <x:c r="U145" s="2" t="str">
        <x:v>documented</x:v>
      </x:c>
      <x:c r="V145" s="2" t="str">
        <x:v>5B</x:v>
      </x:c>
      <x:c r="W145" s="11" t="n">
        <x:v>0</x:v>
      </x:c>
      <x:c r="X145" s="13"/>
    </x:row>
    <x:row r="146" ht="24" customHeight="1">
      <x:c r="A146" s="2" t="str">
        <x:v>153_7</x:v>
      </x:c>
      <x:c r="B146" s="10" t="str">
        <x:v>153</x:v>
      </x:c>
      <x:c r="C146" s="11" t="n">
        <x:v>8</x:v>
      </x:c>
      <x:c r="D146" s="11" t="n">
        <x:v>7</x:v>
      </x:c>
      <x:c r="E146" s="2" t="str">
        <x:v>Walk in</x:v>
      </x:c>
      <x:c r="F146" s="11"/>
      <x:c r="G146" s="12"/>
      <x:c r="H146" s="12"/>
      <x:c r="I146" s="12" t="n">
        <x:v>0.3020833333333333</x:v>
      </x:c>
      <x:c r="J146" s="12" t="n">
        <x:v>0.4166666666666667</x:v>
      </x:c>
      <x:c r="K146" s="10" t="str">
        <x:v>11A</x:v>
      </x:c>
      <x:c r="L146" s="2" t="str">
        <x:v>direct_meal</x:v>
      </x:c>
      <x:c r="M146" s="8" t="str">
        <x:f>IF(P146=1,ROUND((H146-G146)*1440,6),"")</x:f>
      </x:c>
      <x:c r="N146" s="8" t="str">
        <x:f>IF(R146=1,M146,"")</x:f>
      </x:c>
      <x:c r="O146" s="8" t="n">
        <x:f>IF(S146=1,ROUND((J146-I146)*1440,6),"")</x:f>
        <x:v>165</x:v>
      </x:c>
      <x:c r="P146" s="11" t="n">
        <x:v>0</x:v>
      </x:c>
      <x:c r="Q146" s="11" t="n">
        <x:v>0</x:v>
      </x:c>
      <x:c r="R146" s="11" t="n">
        <x:v>0</x:v>
      </x:c>
      <x:c r="S146" s="11" t="n">
        <x:v>1</x:v>
      </x:c>
      <x:c r="T146" s="11" t="n">
        <x:v>0</x:v>
      </x:c>
      <x:c r="U146" s="2" t="str">
        <x:v>documented</x:v>
      </x:c>
      <x:c r="V146" s="2" t="str">
        <x:v>11A</x:v>
      </x:c>
      <x:c r="W146" s="11" t="n">
        <x:v>1</x:v>
      </x:c>
      <x:c r="X146" s="13" t="str">
        <x:v>จำนวนคนไม่ถูกต้อง</x:v>
      </x:c>
    </x:row>
    <x:row r="147" ht="24" customHeight="1">
      <x:c r="A147" s="2" t="str">
        <x:v>153_8</x:v>
      </x:c>
      <x:c r="B147" s="10" t="str">
        <x:v>153</x:v>
      </x:c>
      <x:c r="C147" s="11" t="n">
        <x:v>9</x:v>
      </x:c>
      <x:c r="D147" s="11" t="n">
        <x:v>8</x:v>
      </x:c>
      <x:c r="E147" s="2" t="str">
        <x:v>Walk in</x:v>
      </x:c>
      <x:c r="F147" s="11" t="n">
        <x:v>3</x:v>
      </x:c>
      <x:c r="G147" s="12"/>
      <x:c r="H147" s="12"/>
      <x:c r="I147" s="12" t="n">
        <x:v>0.3159722222222222</x:v>
      </x:c>
      <x:c r="J147" s="12" t="n">
        <x:v>0.38472222222222224</x:v>
      </x:c>
      <x:c r="K147" s="10" t="str">
        <x:v>6</x:v>
      </x:c>
      <x:c r="L147" s="2" t="str">
        <x:v>direct_meal</x:v>
      </x:c>
      <x:c r="M147" s="8" t="str">
        <x:f>IF(P147=1,ROUND((H147-G147)*1440,6),"")</x:f>
      </x:c>
      <x:c r="N147" s="8" t="str">
        <x:f>IF(R147=1,M147,"")</x:f>
      </x:c>
      <x:c r="O147" s="8" t="n">
        <x:f>IF(S147=1,ROUND((J147-I147)*1440,6),"")</x:f>
        <x:v>99</x:v>
      </x:c>
      <x:c r="P147" s="11" t="n">
        <x:v>0</x:v>
      </x:c>
      <x:c r="Q147" s="11" t="n">
        <x:v>0</x:v>
      </x:c>
      <x:c r="R147" s="11" t="n">
        <x:v>0</x:v>
      </x:c>
      <x:c r="S147" s="11" t="n">
        <x:v>1</x:v>
      </x:c>
      <x:c r="T147" s="11" t="n">
        <x:v>1</x:v>
      </x:c>
      <x:c r="U147" s="2" t="str">
        <x:v>needs_mapping</x:v>
      </x:c>
      <x:c r="V147" s="2"/>
      <x:c r="W147" s="11" t="n">
        <x:v>1</x:v>
      </x:c>
      <x:c r="X147" s="13" t="str">
        <x:v>รหัสโต๊ะต้องยืนยัน</x:v>
      </x:c>
    </x:row>
    <x:row r="148" ht="24" customHeight="1">
      <x:c r="A148" s="2" t="str">
        <x:v>153_9</x:v>
      </x:c>
      <x:c r="B148" s="10" t="str">
        <x:v>153</x:v>
      </x:c>
      <x:c r="C148" s="11" t="n">
        <x:v>10</x:v>
      </x:c>
      <x:c r="D148" s="11" t="n">
        <x:v>9</x:v>
      </x:c>
      <x:c r="E148" s="2" t="str">
        <x:v>In house</x:v>
      </x:c>
      <x:c r="F148" s="11" t="n">
        <x:v>1</x:v>
      </x:c>
      <x:c r="G148" s="12"/>
      <x:c r="H148" s="12"/>
      <x:c r="I148" s="12" t="n">
        <x:v>0.3159722222222222</x:v>
      </x:c>
      <x:c r="J148" s="12" t="n">
        <x:v>0.3333333333333333</x:v>
      </x:c>
      <x:c r="K148" s="10" t="str">
        <x:v>7B</x:v>
      </x:c>
      <x:c r="L148" s="2" t="str">
        <x:v>direct_meal</x:v>
      </x:c>
      <x:c r="M148" s="8" t="str">
        <x:f>IF(P148=1,ROUND((H148-G148)*1440,6),"")</x:f>
      </x:c>
      <x:c r="N148" s="8" t="str">
        <x:f>IF(R148=1,M148,"")</x:f>
      </x:c>
      <x:c r="O148" s="8" t="n">
        <x:f>IF(S148=1,ROUND((J148-I148)*1440,6),"")</x:f>
        <x:v>25</x:v>
      </x:c>
      <x:c r="P148" s="11" t="n">
        <x:v>0</x:v>
      </x:c>
      <x:c r="Q148" s="11" t="n">
        <x:v>0</x:v>
      </x:c>
      <x:c r="R148" s="11" t="n">
        <x:v>0</x:v>
      </x:c>
      <x:c r="S148" s="11" t="n">
        <x:v>1</x:v>
      </x:c>
      <x:c r="T148" s="11" t="n">
        <x:v>1</x:v>
      </x:c>
      <x:c r="U148" s="2" t="str">
        <x:v>documented</x:v>
      </x:c>
      <x:c r="V148" s="2" t="str">
        <x:v>7B</x:v>
      </x:c>
      <x:c r="W148" s="11" t="n">
        <x:v>0</x:v>
      </x:c>
      <x:c r="X148" s="13"/>
    </x:row>
    <x:row r="149" ht="24" customHeight="1">
      <x:c r="A149" s="2" t="str">
        <x:v>153_10</x:v>
      </x:c>
      <x:c r="B149" s="10" t="str">
        <x:v>153</x:v>
      </x:c>
      <x:c r="C149" s="11" t="n">
        <x:v>11</x:v>
      </x:c>
      <x:c r="D149" s="11" t="n">
        <x:v>10</x:v>
      </x:c>
      <x:c r="E149" s="2" t="str">
        <x:v>Walk in</x:v>
      </x:c>
      <x:c r="F149" s="11" t="n">
        <x:v>3</x:v>
      </x:c>
      <x:c r="G149" s="12"/>
      <x:c r="H149" s="12"/>
      <x:c r="I149" s="12" t="n">
        <x:v>0.32569444444444445</x:v>
      </x:c>
      <x:c r="J149" s="12" t="n">
        <x:v>0.3819444444444444</x:v>
      </x:c>
      <x:c r="K149" s="10" t="str">
        <x:v>2</x:v>
      </x:c>
      <x:c r="L149" s="2" t="str">
        <x:v>direct_meal</x:v>
      </x:c>
      <x:c r="M149" s="8" t="str">
        <x:f>IF(P149=1,ROUND((H149-G149)*1440,6),"")</x:f>
      </x:c>
      <x:c r="N149" s="8" t="str">
        <x:f>IF(R149=1,M149,"")</x:f>
      </x:c>
      <x:c r="O149" s="8" t="n">
        <x:f>IF(S149=1,ROUND((J149-I149)*1440,6),"")</x:f>
        <x:v>81</x:v>
      </x:c>
      <x:c r="P149" s="11" t="n">
        <x:v>0</x:v>
      </x:c>
      <x:c r="Q149" s="11" t="n">
        <x:v>0</x:v>
      </x:c>
      <x:c r="R149" s="11" t="n">
        <x:v>0</x:v>
      </x:c>
      <x:c r="S149" s="11" t="n">
        <x:v>1</x:v>
      </x:c>
      <x:c r="T149" s="11" t="n">
        <x:v>1</x:v>
      </x:c>
      <x:c r="U149" s="2" t="str">
        <x:v>needs_mapping</x:v>
      </x:c>
      <x:c r="V149" s="2"/>
      <x:c r="W149" s="11" t="n">
        <x:v>1</x:v>
      </x:c>
      <x:c r="X149" s="13" t="str">
        <x:v>รหัสโต๊ะต้องยืนยัน</x:v>
      </x:c>
    </x:row>
    <x:row r="150" ht="24" customHeight="1">
      <x:c r="A150" s="2" t="str">
        <x:v>153_11</x:v>
      </x:c>
      <x:c r="B150" s="10" t="str">
        <x:v>153</x:v>
      </x:c>
      <x:c r="C150" s="11" t="n">
        <x:v>12</x:v>
      </x:c>
      <x:c r="D150" s="11" t="n">
        <x:v>11</x:v>
      </x:c>
      <x:c r="E150" s="2" t="str">
        <x:v>Walk in</x:v>
      </x:c>
      <x:c r="F150" s="11" t="n">
        <x:v>2</x:v>
      </x:c>
      <x:c r="G150" s="12"/>
      <x:c r="H150" s="12"/>
      <x:c r="I150" s="12" t="n">
        <x:v>0.32708333333333334</x:v>
      </x:c>
      <x:c r="J150" s="12" t="n">
        <x:v>0.39375</x:v>
      </x:c>
      <x:c r="K150" s="10" t="str">
        <x:v>1A</x:v>
      </x:c>
      <x:c r="L150" s="2" t="str">
        <x:v>direct_meal</x:v>
      </x:c>
      <x:c r="M150" s="8" t="str">
        <x:f>IF(P150=1,ROUND((H150-G150)*1440,6),"")</x:f>
      </x:c>
      <x:c r="N150" s="8" t="str">
        <x:f>IF(R150=1,M150,"")</x:f>
      </x:c>
      <x:c r="O150" s="8" t="n">
        <x:f>IF(S150=1,ROUND((J150-I150)*1440,6),"")</x:f>
        <x:v>96</x:v>
      </x:c>
      <x:c r="P150" s="11" t="n">
        <x:v>0</x:v>
      </x:c>
      <x:c r="Q150" s="11" t="n">
        <x:v>0</x:v>
      </x:c>
      <x:c r="R150" s="11" t="n">
        <x:v>0</x:v>
      </x:c>
      <x:c r="S150" s="11" t="n">
        <x:v>1</x:v>
      </x:c>
      <x:c r="T150" s="11" t="n">
        <x:v>1</x:v>
      </x:c>
      <x:c r="U150" s="2" t="str">
        <x:v>documented</x:v>
      </x:c>
      <x:c r="V150" s="2" t="str">
        <x:v>1A</x:v>
      </x:c>
      <x:c r="W150" s="11" t="n">
        <x:v>0</x:v>
      </x:c>
      <x:c r="X150" s="13"/>
    </x:row>
    <x:row r="151" ht="24" customHeight="1">
      <x:c r="A151" s="2" t="str">
        <x:v>153_12</x:v>
      </x:c>
      <x:c r="B151" s="10" t="str">
        <x:v>153</x:v>
      </x:c>
      <x:c r="C151" s="11" t="n">
        <x:v>13</x:v>
      </x:c>
      <x:c r="D151" s="11" t="n">
        <x:v>12</x:v>
      </x:c>
      <x:c r="E151" s="2" t="str">
        <x:v>Walk in</x:v>
      </x:c>
      <x:c r="F151" s="11" t="n">
        <x:v>1</x:v>
      </x:c>
      <x:c r="G151" s="12"/>
      <x:c r="H151" s="12"/>
      <x:c r="I151" s="12" t="n">
        <x:v>0.3326388888888889</x:v>
      </x:c>
      <x:c r="J151" s="12" t="n">
        <x:v>0.3993055555555556</x:v>
      </x:c>
      <x:c r="K151" s="10" t="str">
        <x:v>16</x:v>
      </x:c>
      <x:c r="L151" s="2" t="str">
        <x:v>direct_meal</x:v>
      </x:c>
      <x:c r="M151" s="8" t="str">
        <x:f>IF(P151=1,ROUND((H151-G151)*1440,6),"")</x:f>
      </x:c>
      <x:c r="N151" s="8" t="str">
        <x:f>IF(R151=1,M151,"")</x:f>
      </x:c>
      <x:c r="O151" s="8" t="n">
        <x:f>IF(S151=1,ROUND((J151-I151)*1440,6),"")</x:f>
        <x:v>96</x:v>
      </x:c>
      <x:c r="P151" s="11" t="n">
        <x:v>0</x:v>
      </x:c>
      <x:c r="Q151" s="11" t="n">
        <x:v>0</x:v>
      </x:c>
      <x:c r="R151" s="11" t="n">
        <x:v>0</x:v>
      </x:c>
      <x:c r="S151" s="11" t="n">
        <x:v>1</x:v>
      </x:c>
      <x:c r="T151" s="11" t="n">
        <x:v>1</x:v>
      </x:c>
      <x:c r="U151" s="2" t="str">
        <x:v>needs_mapping</x:v>
      </x:c>
      <x:c r="V151" s="2"/>
      <x:c r="W151" s="11" t="n">
        <x:v>1</x:v>
      </x:c>
      <x:c r="X151" s="13" t="str">
        <x:v>รหัสโต๊ะต้องยืนยัน</x:v>
      </x:c>
    </x:row>
    <x:row r="152" ht="24" customHeight="1">
      <x:c r="A152" s="2" t="str">
        <x:v>153_13</x:v>
      </x:c>
      <x:c r="B152" s="10" t="str">
        <x:v>153</x:v>
      </x:c>
      <x:c r="C152" s="11" t="n">
        <x:v>14</x:v>
      </x:c>
      <x:c r="D152" s="11" t="n">
        <x:v>13</x:v>
      </x:c>
      <x:c r="E152" s="2" t="str">
        <x:v>In house</x:v>
      </x:c>
      <x:c r="F152" s="11" t="n">
        <x:v>2</x:v>
      </x:c>
      <x:c r="G152" s="12"/>
      <x:c r="H152" s="12"/>
      <x:c r="I152" s="12" t="n">
        <x:v>0.3326388888888889</x:v>
      </x:c>
      <x:c r="J152" s="12" t="n">
        <x:v>0.35208333333333336</x:v>
      </x:c>
      <x:c r="K152" s="10" t="str">
        <x:v>8B</x:v>
      </x:c>
      <x:c r="L152" s="2" t="str">
        <x:v>direct_meal</x:v>
      </x:c>
      <x:c r="M152" s="8" t="str">
        <x:f>IF(P152=1,ROUND((H152-G152)*1440,6),"")</x:f>
      </x:c>
      <x:c r="N152" s="8" t="str">
        <x:f>IF(R152=1,M152,"")</x:f>
      </x:c>
      <x:c r="O152" s="8" t="n">
        <x:f>IF(S152=1,ROUND((J152-I152)*1440,6),"")</x:f>
        <x:v>28</x:v>
      </x:c>
      <x:c r="P152" s="11" t="n">
        <x:v>0</x:v>
      </x:c>
      <x:c r="Q152" s="11" t="n">
        <x:v>0</x:v>
      </x:c>
      <x:c r="R152" s="11" t="n">
        <x:v>0</x:v>
      </x:c>
      <x:c r="S152" s="11" t="n">
        <x:v>1</x:v>
      </x:c>
      <x:c r="T152" s="11" t="n">
        <x:v>1</x:v>
      </x:c>
      <x:c r="U152" s="2" t="str">
        <x:v>documented</x:v>
      </x:c>
      <x:c r="V152" s="2" t="str">
        <x:v>8B</x:v>
      </x:c>
      <x:c r="W152" s="11" t="n">
        <x:v>0</x:v>
      </x:c>
      <x:c r="X152" s="13"/>
    </x:row>
    <x:row r="153" ht="24" customHeight="1">
      <x:c r="A153" s="2" t="str">
        <x:v>153_14</x:v>
      </x:c>
      <x:c r="B153" s="10" t="str">
        <x:v>153</x:v>
      </x:c>
      <x:c r="C153" s="11" t="n">
        <x:v>15</x:v>
      </x:c>
      <x:c r="D153" s="11" t="n">
        <x:v>14</x:v>
      </x:c>
      <x:c r="E153" s="2" t="str">
        <x:v>Walk in</x:v>
      </x:c>
      <x:c r="F153" s="11" t="n">
        <x:v>4</x:v>
      </x:c>
      <x:c r="G153" s="12"/>
      <x:c r="H153" s="12"/>
      <x:c r="I153" s="12" t="n">
        <x:v>0.3333333333333333</x:v>
      </x:c>
      <x:c r="J153" s="12" t="n">
        <x:v>0.4486111111111111</x:v>
      </x:c>
      <x:c r="K153" s="10" t="str">
        <x:v>15</x:v>
      </x:c>
      <x:c r="L153" s="2" t="str">
        <x:v>direct_meal</x:v>
      </x:c>
      <x:c r="M153" s="8" t="str">
        <x:f>IF(P153=1,ROUND((H153-G153)*1440,6),"")</x:f>
      </x:c>
      <x:c r="N153" s="8" t="str">
        <x:f>IF(R153=1,M153,"")</x:f>
      </x:c>
      <x:c r="O153" s="8" t="n">
        <x:f>IF(S153=1,ROUND((J153-I153)*1440,6),"")</x:f>
        <x:v>166</x:v>
      </x:c>
      <x:c r="P153" s="11" t="n">
        <x:v>0</x:v>
      </x:c>
      <x:c r="Q153" s="11" t="n">
        <x:v>0</x:v>
      </x:c>
      <x:c r="R153" s="11" t="n">
        <x:v>0</x:v>
      </x:c>
      <x:c r="S153" s="11" t="n">
        <x:v>1</x:v>
      </x:c>
      <x:c r="T153" s="11" t="n">
        <x:v>1</x:v>
      </x:c>
      <x:c r="U153" s="2" t="str">
        <x:v>documented</x:v>
      </x:c>
      <x:c r="V153" s="2" t="str">
        <x:v>15</x:v>
      </x:c>
      <x:c r="W153" s="11" t="n">
        <x:v>0</x:v>
      </x:c>
      <x:c r="X153" s="13"/>
    </x:row>
    <x:row r="154" ht="24" customHeight="1">
      <x:c r="A154" s="2" t="str">
        <x:v>153_15</x:v>
      </x:c>
      <x:c r="B154" s="10" t="str">
        <x:v>153</x:v>
      </x:c>
      <x:c r="C154" s="11" t="n">
        <x:v>16</x:v>
      </x:c>
      <x:c r="D154" s="11" t="n">
        <x:v>15</x:v>
      </x:c>
      <x:c r="E154" s="2" t="str">
        <x:v>Walk in</x:v>
      </x:c>
      <x:c r="F154" s="11" t="n">
        <x:v>2</x:v>
      </x:c>
      <x:c r="G154" s="12"/>
      <x:c r="H154" s="12"/>
      <x:c r="I154" s="12" t="n">
        <x:v>0.3347222222222222</x:v>
      </x:c>
      <x:c r="J154" s="12" t="n">
        <x:v>0.3888888888888889</x:v>
      </x:c>
      <x:c r="K154" s="10" t="str">
        <x:v>1B</x:v>
      </x:c>
      <x:c r="L154" s="2" t="str">
        <x:v>direct_meal</x:v>
      </x:c>
      <x:c r="M154" s="8" t="str">
        <x:f>IF(P154=1,ROUND((H154-G154)*1440,6),"")</x:f>
      </x:c>
      <x:c r="N154" s="8" t="str">
        <x:f>IF(R154=1,M154,"")</x:f>
      </x:c>
      <x:c r="O154" s="8" t="n">
        <x:f>IF(S154=1,ROUND((J154-I154)*1440,6),"")</x:f>
        <x:v>78</x:v>
      </x:c>
      <x:c r="P154" s="11" t="n">
        <x:v>0</x:v>
      </x:c>
      <x:c r="Q154" s="11" t="n">
        <x:v>0</x:v>
      </x:c>
      <x:c r="R154" s="11" t="n">
        <x:v>0</x:v>
      </x:c>
      <x:c r="S154" s="11" t="n">
        <x:v>1</x:v>
      </x:c>
      <x:c r="T154" s="11" t="n">
        <x:v>1</x:v>
      </x:c>
      <x:c r="U154" s="2" t="str">
        <x:v>documented</x:v>
      </x:c>
      <x:c r="V154" s="2" t="str">
        <x:v>1B</x:v>
      </x:c>
      <x:c r="W154" s="11" t="n">
        <x:v>0</x:v>
      </x:c>
      <x:c r="X154" s="13"/>
    </x:row>
    <x:row r="155" ht="24" customHeight="1">
      <x:c r="A155" s="2" t="str">
        <x:v>153_16</x:v>
      </x:c>
      <x:c r="B155" s="10" t="str">
        <x:v>153</x:v>
      </x:c>
      <x:c r="C155" s="11" t="n">
        <x:v>17</x:v>
      </x:c>
      <x:c r="D155" s="11" t="n">
        <x:v>16</x:v>
      </x:c>
      <x:c r="E155" s="2" t="str">
        <x:v>Walk in</x:v>
      </x:c>
      <x:c r="F155" s="11" t="n">
        <x:v>1</x:v>
      </x:c>
      <x:c r="G155" s="12"/>
      <x:c r="H155" s="12"/>
      <x:c r="I155" s="12" t="n">
        <x:v>0.33541666666666664</x:v>
      </x:c>
      <x:c r="J155" s="12" t="n">
        <x:v>0.3902777777777778</x:v>
      </x:c>
      <x:c r="K155" s="10" t="str">
        <x:v>8C</x:v>
      </x:c>
      <x:c r="L155" s="2" t="str">
        <x:v>direct_meal</x:v>
      </x:c>
      <x:c r="M155" s="8" t="str">
        <x:f>IF(P155=1,ROUND((H155-G155)*1440,6),"")</x:f>
      </x:c>
      <x:c r="N155" s="8" t="str">
        <x:f>IF(R155=1,M155,"")</x:f>
      </x:c>
      <x:c r="O155" s="8" t="n">
        <x:f>IF(S155=1,ROUND((J155-I155)*1440,6),"")</x:f>
        <x:v>79</x:v>
      </x:c>
      <x:c r="P155" s="11" t="n">
        <x:v>0</x:v>
      </x:c>
      <x:c r="Q155" s="11" t="n">
        <x:v>0</x:v>
      </x:c>
      <x:c r="R155" s="11" t="n">
        <x:v>0</x:v>
      </x:c>
      <x:c r="S155" s="11" t="n">
        <x:v>1</x:v>
      </x:c>
      <x:c r="T155" s="11" t="n">
        <x:v>1</x:v>
      </x:c>
      <x:c r="U155" s="2" t="str">
        <x:v>documented</x:v>
      </x:c>
      <x:c r="V155" s="2" t="str">
        <x:v>8C</x:v>
      </x:c>
      <x:c r="W155" s="11" t="n">
        <x:v>0</x:v>
      </x:c>
      <x:c r="X155" s="13"/>
    </x:row>
    <x:row r="156" ht="24" customHeight="1">
      <x:c r="A156" s="2" t="str">
        <x:v>153_17</x:v>
      </x:c>
      <x:c r="B156" s="10" t="str">
        <x:v>153</x:v>
      </x:c>
      <x:c r="C156" s="11" t="n">
        <x:v>18</x:v>
      </x:c>
      <x:c r="D156" s="11" t="n">
        <x:v>17</x:v>
      </x:c>
      <x:c r="E156" s="2" t="str">
        <x:v>Walk in</x:v>
      </x:c>
      <x:c r="F156" s="11" t="n">
        <x:v>3</x:v>
      </x:c>
      <x:c r="G156" s="12"/>
      <x:c r="H156" s="12"/>
      <x:c r="I156" s="12" t="n">
        <x:v>0.33611111111111114</x:v>
      </x:c>
      <x:c r="J156" s="12" t="n">
        <x:v>0.39166666666666666</x:v>
      </x:c>
      <x:c r="K156" s="10" t="str">
        <x:v>3B</x:v>
      </x:c>
      <x:c r="L156" s="2" t="str">
        <x:v>direct_meal</x:v>
      </x:c>
      <x:c r="M156" s="8" t="str">
        <x:f>IF(P156=1,ROUND((H156-G156)*1440,6),"")</x:f>
      </x:c>
      <x:c r="N156" s="8" t="str">
        <x:f>IF(R156=1,M156,"")</x:f>
      </x:c>
      <x:c r="O156" s="8" t="n">
        <x:f>IF(S156=1,ROUND((J156-I156)*1440,6),"")</x:f>
        <x:v>80</x:v>
      </x:c>
      <x:c r="P156" s="11" t="n">
        <x:v>0</x:v>
      </x:c>
      <x:c r="Q156" s="11" t="n">
        <x:v>0</x:v>
      </x:c>
      <x:c r="R156" s="11" t="n">
        <x:v>0</x:v>
      </x:c>
      <x:c r="S156" s="11" t="n">
        <x:v>1</x:v>
      </x:c>
      <x:c r="T156" s="11" t="n">
        <x:v>1</x:v>
      </x:c>
      <x:c r="U156" s="2" t="str">
        <x:v>documented</x:v>
      </x:c>
      <x:c r="V156" s="2" t="str">
        <x:v>3B</x:v>
      </x:c>
      <x:c r="W156" s="11" t="n">
        <x:v>0</x:v>
      </x:c>
      <x:c r="X156" s="13"/>
    </x:row>
    <x:row r="157" ht="24" customHeight="1">
      <x:c r="A157" s="2" t="str">
        <x:v>153_18</x:v>
      </x:c>
      <x:c r="B157" s="10" t="str">
        <x:v>153</x:v>
      </x:c>
      <x:c r="C157" s="11" t="n">
        <x:v>19</x:v>
      </x:c>
      <x:c r="D157" s="11" t="n">
        <x:v>18</x:v>
      </x:c>
      <x:c r="E157" s="2" t="str">
        <x:v>In house</x:v>
      </x:c>
      <x:c r="F157" s="11" t="n">
        <x:v>4</x:v>
      </x:c>
      <x:c r="G157" s="12"/>
      <x:c r="H157" s="12"/>
      <x:c r="I157" s="12" t="n">
        <x:v>0.3368055555555556</x:v>
      </x:c>
      <x:c r="J157" s="12" t="n">
        <x:v>0.4097222222222222</x:v>
      </x:c>
      <x:c r="K157" s="10" t="str">
        <x:v>13-14</x:v>
      </x:c>
      <x:c r="L157" s="2" t="str">
        <x:v>direct_meal</x:v>
      </x:c>
      <x:c r="M157" s="8" t="str">
        <x:f>IF(P157=1,ROUND((H157-G157)*1440,6),"")</x:f>
      </x:c>
      <x:c r="N157" s="8" t="str">
        <x:f>IF(R157=1,M157,"")</x:f>
      </x:c>
      <x:c r="O157" s="8" t="n">
        <x:f>IF(S157=1,ROUND((J157-I157)*1440,6),"")</x:f>
        <x:v>105</x:v>
      </x:c>
      <x:c r="P157" s="11" t="n">
        <x:v>0</x:v>
      </x:c>
      <x:c r="Q157" s="11" t="n">
        <x:v>0</x:v>
      </x:c>
      <x:c r="R157" s="11" t="n">
        <x:v>0</x:v>
      </x:c>
      <x:c r="S157" s="11" t="n">
        <x:v>1</x:v>
      </x:c>
      <x:c r="T157" s="11" t="n">
        <x:v>1</x:v>
      </x:c>
      <x:c r="U157" s="2" t="str">
        <x:v>documented</x:v>
      </x:c>
      <x:c r="V157" s="2" t="str">
        <x:v>13 | 14</x:v>
      </x:c>
      <x:c r="W157" s="11" t="n">
        <x:v>0</x:v>
      </x:c>
      <x:c r="X157" s="13"/>
    </x:row>
    <x:row r="158" ht="24" customHeight="1">
      <x:c r="A158" s="2" t="str">
        <x:v>153_19</x:v>
      </x:c>
      <x:c r="B158" s="10" t="str">
        <x:v>153</x:v>
      </x:c>
      <x:c r="C158" s="11" t="n">
        <x:v>20</x:v>
      </x:c>
      <x:c r="D158" s="11" t="n">
        <x:v>19</x:v>
      </x:c>
      <x:c r="E158" s="2" t="str">
        <x:v>Walk in</x:v>
      </x:c>
      <x:c r="F158" s="11" t="n">
        <x:v>2</x:v>
      </x:c>
      <x:c r="G158" s="12"/>
      <x:c r="H158" s="12"/>
      <x:c r="I158" s="12" t="n">
        <x:v>0.3402777777777778</x:v>
      </x:c>
      <x:c r="J158" s="12" t="n">
        <x:v>0.4375</x:v>
      </x:c>
      <x:c r="K158" s="10" t="str">
        <x:v>4B</x:v>
      </x:c>
      <x:c r="L158" s="2" t="str">
        <x:v>direct_meal</x:v>
      </x:c>
      <x:c r="M158" s="8" t="str">
        <x:f>IF(P158=1,ROUND((H158-G158)*1440,6),"")</x:f>
      </x:c>
      <x:c r="N158" s="8" t="str">
        <x:f>IF(R158=1,M158,"")</x:f>
      </x:c>
      <x:c r="O158" s="8" t="n">
        <x:f>IF(S158=1,ROUND((J158-I158)*1440,6),"")</x:f>
        <x:v>140</x:v>
      </x:c>
      <x:c r="P158" s="11" t="n">
        <x:v>0</x:v>
      </x:c>
      <x:c r="Q158" s="11" t="n">
        <x:v>0</x:v>
      </x:c>
      <x:c r="R158" s="11" t="n">
        <x:v>0</x:v>
      </x:c>
      <x:c r="S158" s="11" t="n">
        <x:v>1</x:v>
      </x:c>
      <x:c r="T158" s="11" t="n">
        <x:v>1</x:v>
      </x:c>
      <x:c r="U158" s="2" t="str">
        <x:v>documented</x:v>
      </x:c>
      <x:c r="V158" s="2" t="str">
        <x:v>4B</x:v>
      </x:c>
      <x:c r="W158" s="11" t="n">
        <x:v>0</x:v>
      </x:c>
      <x:c r="X158" s="13"/>
    </x:row>
    <x:row r="159" ht="24" customHeight="1">
      <x:c r="A159" s="2" t="str">
        <x:v>153_20</x:v>
      </x:c>
      <x:c r="B159" s="10" t="str">
        <x:v>153</x:v>
      </x:c>
      <x:c r="C159" s="11" t="n">
        <x:v>21</x:v>
      </x:c>
      <x:c r="D159" s="11" t="n">
        <x:v>20</x:v>
      </x:c>
      <x:c r="E159" s="2" t="str">
        <x:v>Walk in</x:v>
      </x:c>
      <x:c r="F159" s="11" t="n">
        <x:v>2</x:v>
      </x:c>
      <x:c r="G159" s="12"/>
      <x:c r="H159" s="12"/>
      <x:c r="I159" s="12" t="n">
        <x:v>0.3402777777777778</x:v>
      </x:c>
      <x:c r="J159" s="12" t="n">
        <x:v>0.4125</x:v>
      </x:c>
      <x:c r="K159" s="10" t="str">
        <x:v>10A</x:v>
      </x:c>
      <x:c r="L159" s="2" t="str">
        <x:v>direct_meal</x:v>
      </x:c>
      <x:c r="M159" s="8" t="str">
        <x:f>IF(P159=1,ROUND((H159-G159)*1440,6),"")</x:f>
      </x:c>
      <x:c r="N159" s="8" t="str">
        <x:f>IF(R159=1,M159,"")</x:f>
      </x:c>
      <x:c r="O159" s="8" t="n">
        <x:f>IF(S159=1,ROUND((J159-I159)*1440,6),"")</x:f>
        <x:v>104</x:v>
      </x:c>
      <x:c r="P159" s="11" t="n">
        <x:v>0</x:v>
      </x:c>
      <x:c r="Q159" s="11" t="n">
        <x:v>0</x:v>
      </x:c>
      <x:c r="R159" s="11" t="n">
        <x:v>0</x:v>
      </x:c>
      <x:c r="S159" s="11" t="n">
        <x:v>1</x:v>
      </x:c>
      <x:c r="T159" s="11" t="n">
        <x:v>1</x:v>
      </x:c>
      <x:c r="U159" s="2" t="str">
        <x:v>documented</x:v>
      </x:c>
      <x:c r="V159" s="2" t="str">
        <x:v>10A</x:v>
      </x:c>
      <x:c r="W159" s="11" t="n">
        <x:v>0</x:v>
      </x:c>
      <x:c r="X159" s="13"/>
    </x:row>
    <x:row r="160" ht="24" customHeight="1">
      <x:c r="A160" s="2" t="str">
        <x:v>153_21</x:v>
      </x:c>
      <x:c r="B160" s="10" t="str">
        <x:v>153</x:v>
      </x:c>
      <x:c r="C160" s="11" t="n">
        <x:v>22</x:v>
      </x:c>
      <x:c r="D160" s="11" t="n">
        <x:v>21</x:v>
      </x:c>
      <x:c r="E160" s="2" t="str">
        <x:v>In house</x:v>
      </x:c>
      <x:c r="F160" s="11"/>
      <x:c r="G160" s="12"/>
      <x:c r="H160" s="12"/>
      <x:c r="I160" s="12" t="n">
        <x:v>0.3416666666666667</x:v>
      </x:c>
      <x:c r="J160" s="12" t="n">
        <x:v>0.4618055555555556</x:v>
      </x:c>
      <x:c r="K160" s="10" t="str">
        <x:v>4A</x:v>
      </x:c>
      <x:c r="L160" s="2" t="str">
        <x:v>direct_meal</x:v>
      </x:c>
      <x:c r="M160" s="8" t="str">
        <x:f>IF(P160=1,ROUND((H160-G160)*1440,6),"")</x:f>
      </x:c>
      <x:c r="N160" s="8" t="str">
        <x:f>IF(R160=1,M160,"")</x:f>
      </x:c>
      <x:c r="O160" s="8" t="n">
        <x:f>IF(S160=1,ROUND((J160-I160)*1440,6),"")</x:f>
        <x:v>173</x:v>
      </x:c>
      <x:c r="P160" s="11" t="n">
        <x:v>0</x:v>
      </x:c>
      <x:c r="Q160" s="11" t="n">
        <x:v>0</x:v>
      </x:c>
      <x:c r="R160" s="11" t="n">
        <x:v>0</x:v>
      </x:c>
      <x:c r="S160" s="11" t="n">
        <x:v>1</x:v>
      </x:c>
      <x:c r="T160" s="11" t="n">
        <x:v>0</x:v>
      </x:c>
      <x:c r="U160" s="2" t="str">
        <x:v>documented</x:v>
      </x:c>
      <x:c r="V160" s="2" t="str">
        <x:v>4A</x:v>
      </x:c>
      <x:c r="W160" s="11" t="n">
        <x:v>1</x:v>
      </x:c>
      <x:c r="X160" s="13" t="str">
        <x:v>จำนวนคนไม่ถูกต้อง</x:v>
      </x:c>
    </x:row>
    <x:row r="161" ht="24" customHeight="1">
      <x:c r="A161" s="2" t="str">
        <x:v>153_22</x:v>
      </x:c>
      <x:c r="B161" s="10" t="str">
        <x:v>153</x:v>
      </x:c>
      <x:c r="C161" s="11" t="n">
        <x:v>23</x:v>
      </x:c>
      <x:c r="D161" s="11" t="n">
        <x:v>22</x:v>
      </x:c>
      <x:c r="E161" s="2" t="str">
        <x:v>In house</x:v>
      </x:c>
      <x:c r="F161" s="11" t="n">
        <x:v>2</x:v>
      </x:c>
      <x:c r="G161" s="12"/>
      <x:c r="H161" s="12"/>
      <x:c r="I161" s="12" t="n">
        <x:v>0.3416666666666667</x:v>
      </x:c>
      <x:c r="J161" s="12" t="n">
        <x:v>0.4097222222222222</x:v>
      </x:c>
      <x:c r="K161" s="10" t="str">
        <x:v>9</x:v>
      </x:c>
      <x:c r="L161" s="2" t="str">
        <x:v>direct_meal</x:v>
      </x:c>
      <x:c r="M161" s="8" t="str">
        <x:f>IF(P161=1,ROUND((H161-G161)*1440,6),"")</x:f>
      </x:c>
      <x:c r="N161" s="8" t="str">
        <x:f>IF(R161=1,M161,"")</x:f>
      </x:c>
      <x:c r="O161" s="8" t="n">
        <x:f>IF(S161=1,ROUND((J161-I161)*1440,6),"")</x:f>
        <x:v>98</x:v>
      </x:c>
      <x:c r="P161" s="11" t="n">
        <x:v>0</x:v>
      </x:c>
      <x:c r="Q161" s="11" t="n">
        <x:v>0</x:v>
      </x:c>
      <x:c r="R161" s="11" t="n">
        <x:v>0</x:v>
      </x:c>
      <x:c r="S161" s="11" t="n">
        <x:v>1</x:v>
      </x:c>
      <x:c r="T161" s="11" t="n">
        <x:v>1</x:v>
      </x:c>
      <x:c r="U161" s="2" t="str">
        <x:v>needs_mapping</x:v>
      </x:c>
      <x:c r="V161" s="2"/>
      <x:c r="W161" s="11" t="n">
        <x:v>1</x:v>
      </x:c>
      <x:c r="X161" s="13" t="str">
        <x:v>รหัสโต๊ะต้องยืนยัน</x:v>
      </x:c>
    </x:row>
    <x:row r="162" ht="24" customHeight="1">
      <x:c r="A162" s="2" t="str">
        <x:v>153_23</x:v>
      </x:c>
      <x:c r="B162" s="10" t="str">
        <x:v>153</x:v>
      </x:c>
      <x:c r="C162" s="11" t="n">
        <x:v>24</x:v>
      </x:c>
      <x:c r="D162" s="11" t="n">
        <x:v>23</x:v>
      </x:c>
      <x:c r="E162" s="2" t="str">
        <x:v>Walk in</x:v>
      </x:c>
      <x:c r="F162" s="11" t="n">
        <x:v>2</x:v>
      </x:c>
      <x:c r="G162" s="12"/>
      <x:c r="H162" s="12"/>
      <x:c r="I162" s="12" t="n">
        <x:v>0.3840277777777778</x:v>
      </x:c>
      <x:c r="J162" s="12" t="n">
        <x:v>0.4041666666666667</x:v>
      </x:c>
      <x:c r="K162" s="10" t="str">
        <x:v>4A</x:v>
      </x:c>
      <x:c r="L162" s="2" t="str">
        <x:v>direct_meal</x:v>
      </x:c>
      <x:c r="M162" s="8" t="str">
        <x:f>IF(P162=1,ROUND((H162-G162)*1440,6),"")</x:f>
      </x:c>
      <x:c r="N162" s="8" t="str">
        <x:f>IF(R162=1,M162,"")</x:f>
      </x:c>
      <x:c r="O162" s="8" t="n">
        <x:f>IF(S162=1,ROUND((J162-I162)*1440,6),"")</x:f>
        <x:v>29</x:v>
      </x:c>
      <x:c r="P162" s="11" t="n">
        <x:v>0</x:v>
      </x:c>
      <x:c r="Q162" s="11" t="n">
        <x:v>0</x:v>
      </x:c>
      <x:c r="R162" s="11" t="n">
        <x:v>0</x:v>
      </x:c>
      <x:c r="S162" s="11" t="n">
        <x:v>1</x:v>
      </x:c>
      <x:c r="T162" s="11" t="n">
        <x:v>1</x:v>
      </x:c>
      <x:c r="U162" s="2" t="str">
        <x:v>documented</x:v>
      </x:c>
      <x:c r="V162" s="2" t="str">
        <x:v>4A</x:v>
      </x:c>
      <x:c r="W162" s="11" t="n">
        <x:v>0</x:v>
      </x:c>
      <x:c r="X162" s="13"/>
    </x:row>
    <x:row r="163" ht="24" customHeight="1">
      <x:c r="A163" s="2" t="str">
        <x:v>153_24</x:v>
      </x:c>
      <x:c r="B163" s="10" t="str">
        <x:v>153</x:v>
      </x:c>
      <x:c r="C163" s="11" t="n">
        <x:v>25</x:v>
      </x:c>
      <x:c r="D163" s="11" t="n">
        <x:v>24</x:v>
      </x:c>
      <x:c r="E163" s="2" t="str">
        <x:v>Walk in</x:v>
      </x:c>
      <x:c r="F163" s="11" t="n">
        <x:v>2</x:v>
      </x:c>
      <x:c r="G163" s="12"/>
      <x:c r="H163" s="12"/>
      <x:c r="I163" s="12" t="n">
        <x:v>0.34305555555555556</x:v>
      </x:c>
      <x:c r="J163" s="12" t="n">
        <x:v>0.4270833333333333</x:v>
      </x:c>
      <x:c r="K163" s="10" t="str">
        <x:v>10B</x:v>
      </x:c>
      <x:c r="L163" s="2" t="str">
        <x:v>direct_meal</x:v>
      </x:c>
      <x:c r="M163" s="8" t="str">
        <x:f>IF(P163=1,ROUND((H163-G163)*1440,6),"")</x:f>
      </x:c>
      <x:c r="N163" s="8" t="str">
        <x:f>IF(R163=1,M163,"")</x:f>
      </x:c>
      <x:c r="O163" s="8" t="n">
        <x:f>IF(S163=1,ROUND((J163-I163)*1440,6),"")</x:f>
        <x:v>121</x:v>
      </x:c>
      <x:c r="P163" s="11" t="n">
        <x:v>0</x:v>
      </x:c>
      <x:c r="Q163" s="11" t="n">
        <x:v>0</x:v>
      </x:c>
      <x:c r="R163" s="11" t="n">
        <x:v>0</x:v>
      </x:c>
      <x:c r="S163" s="11" t="n">
        <x:v>1</x:v>
      </x:c>
      <x:c r="T163" s="11" t="n">
        <x:v>1</x:v>
      </x:c>
      <x:c r="U163" s="2" t="str">
        <x:v>documented</x:v>
      </x:c>
      <x:c r="V163" s="2" t="str">
        <x:v>10B</x:v>
      </x:c>
      <x:c r="W163" s="11" t="n">
        <x:v>0</x:v>
      </x:c>
      <x:c r="X163" s="13"/>
    </x:row>
    <x:row r="164" ht="24" customHeight="1">
      <x:c r="A164" s="2" t="str">
        <x:v>153_25</x:v>
      </x:c>
      <x:c r="B164" s="10" t="str">
        <x:v>153</x:v>
      </x:c>
      <x:c r="C164" s="11" t="n">
        <x:v>26</x:v>
      </x:c>
      <x:c r="D164" s="11" t="n">
        <x:v>25</x:v>
      </x:c>
      <x:c r="E164" s="2" t="str">
        <x:v>Walk in</x:v>
      </x:c>
      <x:c r="F164" s="11" t="n">
        <x:v>2</x:v>
      </x:c>
      <x:c r="G164" s="12"/>
      <x:c r="H164" s="12"/>
      <x:c r="I164" s="12" t="n">
        <x:v>0.34375</x:v>
      </x:c>
      <x:c r="J164" s="12" t="n">
        <x:v>0.4215277777777778</x:v>
      </x:c>
      <x:c r="K164" s="10" t="str">
        <x:v>12</x:v>
      </x:c>
      <x:c r="L164" s="2" t="str">
        <x:v>direct_meal</x:v>
      </x:c>
      <x:c r="M164" s="8" t="str">
        <x:f>IF(P164=1,ROUND((H164-G164)*1440,6),"")</x:f>
      </x:c>
      <x:c r="N164" s="8" t="str">
        <x:f>IF(R164=1,M164,"")</x:f>
      </x:c>
      <x:c r="O164" s="8" t="n">
        <x:f>IF(S164=1,ROUND((J164-I164)*1440,6),"")</x:f>
        <x:v>112</x:v>
      </x:c>
      <x:c r="P164" s="11" t="n">
        <x:v>0</x:v>
      </x:c>
      <x:c r="Q164" s="11" t="n">
        <x:v>0</x:v>
      </x:c>
      <x:c r="R164" s="11" t="n">
        <x:v>0</x:v>
      </x:c>
      <x:c r="S164" s="11" t="n">
        <x:v>1</x:v>
      </x:c>
      <x:c r="T164" s="11" t="n">
        <x:v>1</x:v>
      </x:c>
      <x:c r="U164" s="2" t="str">
        <x:v>documented</x:v>
      </x:c>
      <x:c r="V164" s="2" t="str">
        <x:v>12</x:v>
      </x:c>
      <x:c r="W164" s="11" t="n">
        <x:v>0</x:v>
      </x:c>
      <x:c r="X164" s="13"/>
    </x:row>
    <x:row r="165" ht="24" customHeight="1">
      <x:c r="A165" s="2" t="str">
        <x:v>153_26</x:v>
      </x:c>
      <x:c r="B165" s="10" t="str">
        <x:v>153</x:v>
      </x:c>
      <x:c r="C165" s="11" t="n">
        <x:v>27</x:v>
      </x:c>
      <x:c r="D165" s="11" t="n">
        <x:v>26</x:v>
      </x:c>
      <x:c r="E165" s="2" t="str">
        <x:v>Walk in</x:v>
      </x:c>
      <x:c r="F165" s="11" t="n">
        <x:v>2</x:v>
      </x:c>
      <x:c r="G165" s="12"/>
      <x:c r="H165" s="12"/>
      <x:c r="I165" s="12" t="n">
        <x:v>0.34444444444444444</x:v>
      </x:c>
      <x:c r="J165" s="12" t="n">
        <x:v>0.39791666666666664</x:v>
      </x:c>
      <x:c r="K165" s="10" t="str">
        <x:v>7C</x:v>
      </x:c>
      <x:c r="L165" s="2" t="str">
        <x:v>direct_meal</x:v>
      </x:c>
      <x:c r="M165" s="8" t="str">
        <x:f>IF(P165=1,ROUND((H165-G165)*1440,6),"")</x:f>
      </x:c>
      <x:c r="N165" s="8" t="str">
        <x:f>IF(R165=1,M165,"")</x:f>
      </x:c>
      <x:c r="O165" s="8" t="n">
        <x:f>IF(S165=1,ROUND((J165-I165)*1440,6),"")</x:f>
        <x:v>77</x:v>
      </x:c>
      <x:c r="P165" s="11" t="n">
        <x:v>0</x:v>
      </x:c>
      <x:c r="Q165" s="11" t="n">
        <x:v>0</x:v>
      </x:c>
      <x:c r="R165" s="11" t="n">
        <x:v>0</x:v>
      </x:c>
      <x:c r="S165" s="11" t="n">
        <x:v>1</x:v>
      </x:c>
      <x:c r="T165" s="11" t="n">
        <x:v>1</x:v>
      </x:c>
      <x:c r="U165" s="2" t="str">
        <x:v>documented</x:v>
      </x:c>
      <x:c r="V165" s="2" t="str">
        <x:v>7C</x:v>
      </x:c>
      <x:c r="W165" s="11" t="n">
        <x:v>0</x:v>
      </x:c>
      <x:c r="X165" s="13"/>
    </x:row>
    <x:row r="166" ht="24" customHeight="1">
      <x:c r="A166" s="2" t="str">
        <x:v>153_27</x:v>
      </x:c>
      <x:c r="B166" s="10" t="str">
        <x:v>153</x:v>
      </x:c>
      <x:c r="C166" s="11" t="n">
        <x:v>28</x:v>
      </x:c>
      <x:c r="D166" s="11" t="n">
        <x:v>27</x:v>
      </x:c>
      <x:c r="E166" s="2" t="str">
        <x:v>Walk in</x:v>
      </x:c>
      <x:c r="F166" s="11" t="n">
        <x:v>2</x:v>
      </x:c>
      <x:c r="G166" s="12"/>
      <x:c r="H166" s="12"/>
      <x:c r="I166" s="12" t="n">
        <x:v>0.34444444444444444</x:v>
      </x:c>
      <x:c r="J166" s="12" t="n">
        <x:v>0.38333333333333336</x:v>
      </x:c>
      <x:c r="K166" s="10" t="str">
        <x:v>7B</x:v>
      </x:c>
      <x:c r="L166" s="2" t="str">
        <x:v>direct_meal</x:v>
      </x:c>
      <x:c r="M166" s="8" t="str">
        <x:f>IF(P166=1,ROUND((H166-G166)*1440,6),"")</x:f>
      </x:c>
      <x:c r="N166" s="8" t="str">
        <x:f>IF(R166=1,M166,"")</x:f>
      </x:c>
      <x:c r="O166" s="8" t="n">
        <x:f>IF(S166=1,ROUND((J166-I166)*1440,6),"")</x:f>
        <x:v>56</x:v>
      </x:c>
      <x:c r="P166" s="11" t="n">
        <x:v>0</x:v>
      </x:c>
      <x:c r="Q166" s="11" t="n">
        <x:v>0</x:v>
      </x:c>
      <x:c r="R166" s="11" t="n">
        <x:v>0</x:v>
      </x:c>
      <x:c r="S166" s="11" t="n">
        <x:v>1</x:v>
      </x:c>
      <x:c r="T166" s="11" t="n">
        <x:v>1</x:v>
      </x:c>
      <x:c r="U166" s="2" t="str">
        <x:v>documented</x:v>
      </x:c>
      <x:c r="V166" s="2" t="str">
        <x:v>7B</x:v>
      </x:c>
      <x:c r="W166" s="11" t="n">
        <x:v>0</x:v>
      </x:c>
      <x:c r="X166" s="13"/>
    </x:row>
    <x:row r="167" ht="24" customHeight="1">
      <x:c r="A167" s="2" t="str">
        <x:v>153_28</x:v>
      </x:c>
      <x:c r="B167" s="10" t="str">
        <x:v>153</x:v>
      </x:c>
      <x:c r="C167" s="11" t="n">
        <x:v>29</x:v>
      </x:c>
      <x:c r="D167" s="11" t="n">
        <x:v>28</x:v>
      </x:c>
      <x:c r="E167" s="2" t="str">
        <x:v>In house</x:v>
      </x:c>
      <x:c r="F167" s="11"/>
      <x:c r="G167" s="12" t="n">
        <x:v>0.34444444444444444</x:v>
      </x:c>
      <x:c r="H167" s="12" t="n">
        <x:v>0.37777777777777777</x:v>
      </x:c>
      <x:c r="I167" s="12"/>
      <x:c r="J167" s="12"/>
      <x:c r="K167" s="10"/>
      <x:c r="L167" s="2" t="str">
        <x:v>walk_away</x:v>
      </x:c>
      <x:c r="M167" s="8" t="n">
        <x:f>IF(P167=1,ROUND((H167-G167)*1440,6),"")</x:f>
        <x:v>48</x:v>
      </x:c>
      <x:c r="N167" s="8" t="n">
        <x:f>IF(R167=1,M167,"")</x:f>
        <x:v>48</x:v>
      </x:c>
      <x:c r="O167" s="8" t="str">
        <x:f>IF(S167=1,ROUND((J167-I167)*1440,6),"")</x:f>
      </x:c>
      <x:c r="P167" s="11" t="n">
        <x:v>1</x:v>
      </x:c>
      <x:c r="Q167" s="11" t="n">
        <x:v>1</x:v>
      </x:c>
      <x:c r="R167" s="11" t="n">
        <x:v>1</x:v>
      </x:c>
      <x:c r="S167" s="11" t="n">
        <x:v>0</x:v>
      </x:c>
      <x:c r="T167" s="11" t="n">
        <x:v>0</x:v>
      </x:c>
      <x:c r="U167" s="2" t="str">
        <x:v>no_table</x:v>
      </x:c>
      <x:c r="V167" s="2"/>
      <x:c r="W167" s="11" t="n">
        <x:v>1</x:v>
      </x:c>
      <x:c r="X167" s="13" t="str">
        <x:v>จำนวนคนไม่ถูกต้อง</x:v>
      </x:c>
    </x:row>
    <x:row r="168" ht="24" customHeight="1">
      <x:c r="A168" s="2" t="str">
        <x:v>153_29</x:v>
      </x:c>
      <x:c r="B168" s="10" t="str">
        <x:v>153</x:v>
      </x:c>
      <x:c r="C168" s="11" t="n">
        <x:v>30</x:v>
      </x:c>
      <x:c r="D168" s="11" t="n">
        <x:v>29</x:v>
      </x:c>
      <x:c r="E168" s="2" t="str">
        <x:v>Walk in</x:v>
      </x:c>
      <x:c r="F168" s="11" t="n">
        <x:v>2</x:v>
      </x:c>
      <x:c r="G168" s="12" t="n">
        <x:v>0.34444444444444444</x:v>
      </x:c>
      <x:c r="H168" s="12" t="n">
        <x:v>0.3784722222222222</x:v>
      </x:c>
      <x:c r="I168" s="12" t="n">
        <x:v>0.3784722222222222</x:v>
      </x:c>
      <x:c r="J168" s="12" t="n">
        <x:v>0.4826388888888889</x:v>
      </x:c>
      <x:c r="K168" s="10" t="str">
        <x:v>11B</x:v>
      </x:c>
      <x:c r="L168" s="2" t="str">
        <x:v>queued_meal</x:v>
      </x:c>
      <x:c r="M168" s="8" t="n">
        <x:f>IF(P168=1,ROUND((H168-G168)*1440,6),"")</x:f>
        <x:v>49</x:v>
      </x:c>
      <x:c r="N168" s="8" t="n">
        <x:f>IF(R168=1,M168,"")</x:f>
        <x:v>49</x:v>
      </x:c>
      <x:c r="O168" s="8" t="n">
        <x:f>IF(S168=1,ROUND((J168-I168)*1440,6),"")</x:f>
        <x:v>150</x:v>
      </x:c>
      <x:c r="P168" s="11" t="n">
        <x:v>1</x:v>
      </x:c>
      <x:c r="Q168" s="11" t="n">
        <x:v>0</x:v>
      </x:c>
      <x:c r="R168" s="11" t="n">
        <x:v>1</x:v>
      </x:c>
      <x:c r="S168" s="11" t="n">
        <x:v>1</x:v>
      </x:c>
      <x:c r="T168" s="11" t="n">
        <x:v>1</x:v>
      </x:c>
      <x:c r="U168" s="2" t="str">
        <x:v>documented</x:v>
      </x:c>
      <x:c r="V168" s="2" t="str">
        <x:v>11B</x:v>
      </x:c>
      <x:c r="W168" s="11" t="n">
        <x:v>0</x:v>
      </x:c>
      <x:c r="X168" s="13"/>
    </x:row>
    <x:row r="169" ht="24" customHeight="1">
      <x:c r="A169" s="2" t="str">
        <x:v>153_30</x:v>
      </x:c>
      <x:c r="B169" s="10" t="str">
        <x:v>153</x:v>
      </x:c>
      <x:c r="C169" s="11" t="n">
        <x:v>31</x:v>
      </x:c>
      <x:c r="D169" s="11" t="n">
        <x:v>30</x:v>
      </x:c>
      <x:c r="E169" s="2" t="str">
        <x:v>In house</x:v>
      </x:c>
      <x:c r="F169" s="11" t="n">
        <x:v>2</x:v>
      </x:c>
      <x:c r="G169" s="12" t="n">
        <x:v>0.34444444444444444</x:v>
      </x:c>
      <x:c r="H169" s="12" t="n">
        <x:v>0.35347222222222224</x:v>
      </x:c>
      <x:c r="I169" s="12" t="n">
        <x:v>0.35347222222222224</x:v>
      </x:c>
      <x:c r="J169" s="12" t="n">
        <x:v>0.375</x:v>
      </x:c>
      <x:c r="K169" s="10" t="str">
        <x:v>8B</x:v>
      </x:c>
      <x:c r="L169" s="2" t="str">
        <x:v>queued_meal</x:v>
      </x:c>
      <x:c r="M169" s="8" t="n">
        <x:f>IF(P169=1,ROUND((H169-G169)*1440,6),"")</x:f>
        <x:v>13</x:v>
      </x:c>
      <x:c r="N169" s="8" t="n">
        <x:f>IF(R169=1,M169,"")</x:f>
        <x:v>13</x:v>
      </x:c>
      <x:c r="O169" s="8" t="n">
        <x:f>IF(S169=1,ROUND((J169-I169)*1440,6),"")</x:f>
        <x:v>31</x:v>
      </x:c>
      <x:c r="P169" s="11" t="n">
        <x:v>1</x:v>
      </x:c>
      <x:c r="Q169" s="11" t="n">
        <x:v>0</x:v>
      </x:c>
      <x:c r="R169" s="11" t="n">
        <x:v>1</x:v>
      </x:c>
      <x:c r="S169" s="11" t="n">
        <x:v>1</x:v>
      </x:c>
      <x:c r="T169" s="11" t="n">
        <x:v>1</x:v>
      </x:c>
      <x:c r="U169" s="2" t="str">
        <x:v>documented</x:v>
      </x:c>
      <x:c r="V169" s="2" t="str">
        <x:v>8B</x:v>
      </x:c>
      <x:c r="W169" s="11" t="n">
        <x:v>0</x:v>
      </x:c>
      <x:c r="X169" s="13"/>
    </x:row>
    <x:row r="170" ht="24" customHeight="1">
      <x:c r="A170" s="2" t="str">
        <x:v>153_31</x:v>
      </x:c>
      <x:c r="B170" s="10" t="str">
        <x:v>153</x:v>
      </x:c>
      <x:c r="C170" s="11" t="n">
        <x:v>32</x:v>
      </x:c>
      <x:c r="D170" s="11" t="n">
        <x:v>31</x:v>
      </x:c>
      <x:c r="E170" s="2" t="str">
        <x:v>In house</x:v>
      </x:c>
      <x:c r="F170" s="11" t="n">
        <x:v>1</x:v>
      </x:c>
      <x:c r="G170" s="12" t="n">
        <x:v>0.3451388888888889</x:v>
      </x:c>
      <x:c r="H170" s="12" t="n">
        <x:v>0.3645833333333333</x:v>
      </x:c>
      <x:c r="I170" s="12" t="n">
        <x:v>0.3645833333333333</x:v>
      </x:c>
      <x:c r="J170" s="12" t="n">
        <x:v>0.3958333333333333</x:v>
      </x:c>
      <x:c r="K170" s="10" t="str">
        <x:v>7A</x:v>
      </x:c>
      <x:c r="L170" s="2" t="str">
        <x:v>queued_meal</x:v>
      </x:c>
      <x:c r="M170" s="8" t="n">
        <x:f>IF(P170=1,ROUND((H170-G170)*1440,6),"")</x:f>
        <x:v>28</x:v>
      </x:c>
      <x:c r="N170" s="8" t="n">
        <x:f>IF(R170=1,M170,"")</x:f>
        <x:v>28</x:v>
      </x:c>
      <x:c r="O170" s="8" t="n">
        <x:f>IF(S170=1,ROUND((J170-I170)*1440,6),"")</x:f>
        <x:v>45</x:v>
      </x:c>
      <x:c r="P170" s="11" t="n">
        <x:v>1</x:v>
      </x:c>
      <x:c r="Q170" s="11" t="n">
        <x:v>0</x:v>
      </x:c>
      <x:c r="R170" s="11" t="n">
        <x:v>1</x:v>
      </x:c>
      <x:c r="S170" s="11" t="n">
        <x:v>1</x:v>
      </x:c>
      <x:c r="T170" s="11" t="n">
        <x:v>1</x:v>
      </x:c>
      <x:c r="U170" s="2" t="str">
        <x:v>documented</x:v>
      </x:c>
      <x:c r="V170" s="2" t="str">
        <x:v>7A</x:v>
      </x:c>
      <x:c r="W170" s="11" t="n">
        <x:v>0</x:v>
      </x:c>
      <x:c r="X170" s="13"/>
    </x:row>
    <x:row r="171" ht="24" customHeight="1">
      <x:c r="A171" s="2" t="str">
        <x:v>153_32</x:v>
      </x:c>
      <x:c r="B171" s="10" t="str">
        <x:v>153</x:v>
      </x:c>
      <x:c r="C171" s="11" t="n">
        <x:v>33</x:v>
      </x:c>
      <x:c r="D171" s="11" t="n">
        <x:v>32</x:v>
      </x:c>
      <x:c r="E171" s="2" t="str">
        <x:v>Walk in</x:v>
      </x:c>
      <x:c r="F171" s="11" t="n">
        <x:v>3</x:v>
      </x:c>
      <x:c r="G171" s="12" t="n">
        <x:v>0.3458333333333333</x:v>
      </x:c>
      <x:c r="H171" s="12" t="n">
        <x:v>0.3819444444444444</x:v>
      </x:c>
      <x:c r="I171" s="12" t="n">
        <x:v>0.3819444444444444</x:v>
      </x:c>
      <x:c r="J171" s="12" t="n">
        <x:v>0.4395833333333333</x:v>
      </x:c>
      <x:c r="K171" s="10" t="str">
        <x:v>2</x:v>
      </x:c>
      <x:c r="L171" s="2" t="str">
        <x:v>queued_meal</x:v>
      </x:c>
      <x:c r="M171" s="8" t="n">
        <x:f>IF(P171=1,ROUND((H171-G171)*1440,6),"")</x:f>
        <x:v>52</x:v>
      </x:c>
      <x:c r="N171" s="8" t="n">
        <x:f>IF(R171=1,M171,"")</x:f>
        <x:v>52</x:v>
      </x:c>
      <x:c r="O171" s="8" t="n">
        <x:f>IF(S171=1,ROUND((J171-I171)*1440,6),"")</x:f>
        <x:v>83</x:v>
      </x:c>
      <x:c r="P171" s="11" t="n">
        <x:v>1</x:v>
      </x:c>
      <x:c r="Q171" s="11" t="n">
        <x:v>0</x:v>
      </x:c>
      <x:c r="R171" s="11" t="n">
        <x:v>1</x:v>
      </x:c>
      <x:c r="S171" s="11" t="n">
        <x:v>1</x:v>
      </x:c>
      <x:c r="T171" s="11" t="n">
        <x:v>1</x:v>
      </x:c>
      <x:c r="U171" s="2" t="str">
        <x:v>needs_mapping</x:v>
      </x:c>
      <x:c r="V171" s="2"/>
      <x:c r="W171" s="11" t="n">
        <x:v>1</x:v>
      </x:c>
      <x:c r="X171" s="13" t="str">
        <x:v>รหัสโต๊ะต้องยืนยัน</x:v>
      </x:c>
    </x:row>
    <x:row r="172" ht="24" customHeight="1">
      <x:c r="A172" s="2" t="str">
        <x:v>153_33</x:v>
      </x:c>
      <x:c r="B172" s="10" t="str">
        <x:v>153</x:v>
      </x:c>
      <x:c r="C172" s="11" t="n">
        <x:v>34</x:v>
      </x:c>
      <x:c r="D172" s="11" t="n">
        <x:v>33</x:v>
      </x:c>
      <x:c r="E172" s="2" t="str">
        <x:v>Walk in</x:v>
      </x:c>
      <x:c r="F172" s="11" t="n">
        <x:v>3</x:v>
      </x:c>
      <x:c r="G172" s="12" t="n">
        <x:v>0.3472222222222222</x:v>
      </x:c>
      <x:c r="H172" s="12" t="n">
        <x:v>0.3840277777777778</x:v>
      </x:c>
      <x:c r="I172" s="12" t="n">
        <x:v>0.3840277777777778</x:v>
      </x:c>
      <x:c r="J172" s="12" t="n">
        <x:v>0.4305555555555556</x:v>
      </x:c>
      <x:c r="K172" s="10" t="str">
        <x:v>3</x:v>
      </x:c>
      <x:c r="L172" s="2" t="str">
        <x:v>queued_meal</x:v>
      </x:c>
      <x:c r="M172" s="8" t="n">
        <x:f>IF(P172=1,ROUND((H172-G172)*1440,6),"")</x:f>
        <x:v>53</x:v>
      </x:c>
      <x:c r="N172" s="8" t="n">
        <x:f>IF(R172=1,M172,"")</x:f>
        <x:v>53</x:v>
      </x:c>
      <x:c r="O172" s="8" t="n">
        <x:f>IF(S172=1,ROUND((J172-I172)*1440,6),"")</x:f>
        <x:v>67</x:v>
      </x:c>
      <x:c r="P172" s="11" t="n">
        <x:v>1</x:v>
      </x:c>
      <x:c r="Q172" s="11" t="n">
        <x:v>0</x:v>
      </x:c>
      <x:c r="R172" s="11" t="n">
        <x:v>1</x:v>
      </x:c>
      <x:c r="S172" s="11" t="n">
        <x:v>1</x:v>
      </x:c>
      <x:c r="T172" s="11" t="n">
        <x:v>1</x:v>
      </x:c>
      <x:c r="U172" s="2" t="str">
        <x:v>needs_mapping</x:v>
      </x:c>
      <x:c r="V172" s="2"/>
      <x:c r="W172" s="11" t="n">
        <x:v>1</x:v>
      </x:c>
      <x:c r="X172" s="13" t="str">
        <x:v>รหัสโต๊ะต้องยืนยัน</x:v>
      </x:c>
    </x:row>
    <x:row r="173" ht="24" customHeight="1">
      <x:c r="A173" s="2" t="str">
        <x:v>153_34</x:v>
      </x:c>
      <x:c r="B173" s="10" t="str">
        <x:v>153</x:v>
      </x:c>
      <x:c r="C173" s="11" t="n">
        <x:v>35</x:v>
      </x:c>
      <x:c r="D173" s="11" t="n">
        <x:v>34</x:v>
      </x:c>
      <x:c r="E173" s="2" t="str">
        <x:v>Walk in</x:v>
      </x:c>
      <x:c r="F173" s="11" t="n">
        <x:v>2</x:v>
      </x:c>
      <x:c r="G173" s="12" t="n">
        <x:v>0.3541666666666667</x:v>
      </x:c>
      <x:c r="H173" s="12" t="n">
        <x:v>0.3854166666666667</x:v>
      </x:c>
      <x:c r="I173" s="12" t="n">
        <x:v>0.3854166666666667</x:v>
      </x:c>
      <x:c r="J173" s="12" t="n">
        <x:v>0.40347222222222223</x:v>
      </x:c>
      <x:c r="K173" s="10" t="str">
        <x:v>7B</x:v>
      </x:c>
      <x:c r="L173" s="2" t="str">
        <x:v>queued_meal</x:v>
      </x:c>
      <x:c r="M173" s="8" t="n">
        <x:f>IF(P173=1,ROUND((H173-G173)*1440,6),"")</x:f>
        <x:v>45</x:v>
      </x:c>
      <x:c r="N173" s="8" t="n">
        <x:f>IF(R173=1,M173,"")</x:f>
        <x:v>45</x:v>
      </x:c>
      <x:c r="O173" s="8" t="n">
        <x:f>IF(S173=1,ROUND((J173-I173)*1440,6),"")</x:f>
        <x:v>26</x:v>
      </x:c>
      <x:c r="P173" s="11" t="n">
        <x:v>1</x:v>
      </x:c>
      <x:c r="Q173" s="11" t="n">
        <x:v>0</x:v>
      </x:c>
      <x:c r="R173" s="11" t="n">
        <x:v>1</x:v>
      </x:c>
      <x:c r="S173" s="11" t="n">
        <x:v>1</x:v>
      </x:c>
      <x:c r="T173" s="11" t="n">
        <x:v>1</x:v>
      </x:c>
      <x:c r="U173" s="2" t="str">
        <x:v>documented</x:v>
      </x:c>
      <x:c r="V173" s="2" t="str">
        <x:v>7B</x:v>
      </x:c>
      <x:c r="W173" s="11" t="n">
        <x:v>0</x:v>
      </x:c>
      <x:c r="X173" s="13"/>
    </x:row>
    <x:row r="174" ht="24" customHeight="1">
      <x:c r="A174" s="2" t="str">
        <x:v>153_35</x:v>
      </x:c>
      <x:c r="B174" s="10" t="str">
        <x:v>153</x:v>
      </x:c>
      <x:c r="C174" s="11" t="n">
        <x:v>36</x:v>
      </x:c>
      <x:c r="D174" s="11" t="n">
        <x:v>35</x:v>
      </x:c>
      <x:c r="E174" s="2" t="str">
        <x:v>Walk in</x:v>
      </x:c>
      <x:c r="F174" s="11" t="n">
        <x:v>4</x:v>
      </x:c>
      <x:c r="G174" s="12" t="n">
        <x:v>0.3576388888888889</x:v>
      </x:c>
      <x:c r="H174" s="12" t="n">
        <x:v>0.3861111111111111</x:v>
      </x:c>
      <x:c r="I174" s="12" t="n">
        <x:v>0.3861111111111111</x:v>
      </x:c>
      <x:c r="J174" s="12" t="n">
        <x:v>0.41875</x:v>
      </x:c>
      <x:c r="K174" s="10" t="str">
        <x:v>6</x:v>
      </x:c>
      <x:c r="L174" s="2" t="str">
        <x:v>queued_meal</x:v>
      </x:c>
      <x:c r="M174" s="8" t="n">
        <x:f>IF(P174=1,ROUND((H174-G174)*1440,6),"")</x:f>
        <x:v>41</x:v>
      </x:c>
      <x:c r="N174" s="8" t="n">
        <x:f>IF(R174=1,M174,"")</x:f>
        <x:v>41</x:v>
      </x:c>
      <x:c r="O174" s="8" t="n">
        <x:f>IF(S174=1,ROUND((J174-I174)*1440,6),"")</x:f>
        <x:v>47</x:v>
      </x:c>
      <x:c r="P174" s="11" t="n">
        <x:v>1</x:v>
      </x:c>
      <x:c r="Q174" s="11" t="n">
        <x:v>0</x:v>
      </x:c>
      <x:c r="R174" s="11" t="n">
        <x:v>1</x:v>
      </x:c>
      <x:c r="S174" s="11" t="n">
        <x:v>1</x:v>
      </x:c>
      <x:c r="T174" s="11" t="n">
        <x:v>1</x:v>
      </x:c>
      <x:c r="U174" s="2" t="str">
        <x:v>needs_mapping</x:v>
      </x:c>
      <x:c r="V174" s="2"/>
      <x:c r="W174" s="11" t="n">
        <x:v>1</x:v>
      </x:c>
      <x:c r="X174" s="13" t="str">
        <x:v>รหัสโต๊ะต้องยืนยัน</x:v>
      </x:c>
    </x:row>
    <x:row r="175" ht="24" customHeight="1">
      <x:c r="A175" s="2" t="str">
        <x:v>153_36</x:v>
      </x:c>
      <x:c r="B175" s="10" t="str">
        <x:v>153</x:v>
      </x:c>
      <x:c r="C175" s="11" t="n">
        <x:v>37</x:v>
      </x:c>
      <x:c r="D175" s="11" t="n">
        <x:v>36</x:v>
      </x:c>
      <x:c r="E175" s="2" t="str">
        <x:v>Walk in</x:v>
      </x:c>
      <x:c r="F175" s="11" t="n">
        <x:v>4</x:v>
      </x:c>
      <x:c r="G175" s="12" t="n">
        <x:v>0.3611111111111111</x:v>
      </x:c>
      <x:c r="H175" s="12" t="n">
        <x:v>0.39375</x:v>
      </x:c>
      <x:c r="I175" s="12" t="n">
        <x:v>0.39375</x:v>
      </x:c>
      <x:c r="J175" s="12" t="n">
        <x:v>0.44722222222222224</x:v>
      </x:c>
      <x:c r="K175" s="10" t="str">
        <x:v>4B/5A</x:v>
      </x:c>
      <x:c r="L175" s="2" t="str">
        <x:v>queued_meal</x:v>
      </x:c>
      <x:c r="M175" s="8" t="n">
        <x:f>IF(P175=1,ROUND((H175-G175)*1440,6),"")</x:f>
        <x:v>47</x:v>
      </x:c>
      <x:c r="N175" s="8" t="n">
        <x:f>IF(R175=1,M175,"")</x:f>
        <x:v>47</x:v>
      </x:c>
      <x:c r="O175" s="8" t="n">
        <x:f>IF(S175=1,ROUND((J175-I175)*1440,6),"")</x:f>
        <x:v>77</x:v>
      </x:c>
      <x:c r="P175" s="11" t="n">
        <x:v>1</x:v>
      </x:c>
      <x:c r="Q175" s="11" t="n">
        <x:v>0</x:v>
      </x:c>
      <x:c r="R175" s="11" t="n">
        <x:v>1</x:v>
      </x:c>
      <x:c r="S175" s="11" t="n">
        <x:v>1</x:v>
      </x:c>
      <x:c r="T175" s="11" t="n">
        <x:v>1</x:v>
      </x:c>
      <x:c r="U175" s="2" t="str">
        <x:v>slash_needs_confirmation</x:v>
      </x:c>
      <x:c r="V175" s="2"/>
      <x:c r="W175" s="11" t="n">
        <x:v>1</x:v>
      </x:c>
      <x:c r="X175" s="13" t="str">
        <x:v>รหัสโต๊ะต้องยืนยัน</x:v>
      </x:c>
    </x:row>
    <x:row r="176" ht="24" customHeight="1">
      <x:c r="A176" s="2" t="str">
        <x:v>153_37</x:v>
      </x:c>
      <x:c r="B176" s="10" t="str">
        <x:v>153</x:v>
      </x:c>
      <x:c r="C176" s="11" t="n">
        <x:v>38</x:v>
      </x:c>
      <x:c r="D176" s="11" t="n">
        <x:v>37</x:v>
      </x:c>
      <x:c r="E176" s="2" t="str">
        <x:v>In house</x:v>
      </x:c>
      <x:c r="F176" s="11" t="n">
        <x:v>2</x:v>
      </x:c>
      <x:c r="G176" s="12" t="n">
        <x:v>0.3638888888888889</x:v>
      </x:c>
      <x:c r="H176" s="12" t="n">
        <x:v>0.3888888888888889</x:v>
      </x:c>
      <x:c r="I176" s="12"/>
      <x:c r="J176" s="12"/>
      <x:c r="K176" s="10"/>
      <x:c r="L176" s="2" t="str">
        <x:v>walk_away</x:v>
      </x:c>
      <x:c r="M176" s="8" t="n">
        <x:f>IF(P176=1,ROUND((H176-G176)*1440,6),"")</x:f>
        <x:v>36</x:v>
      </x:c>
      <x:c r="N176" s="8" t="n">
        <x:f>IF(R176=1,M176,"")</x:f>
        <x:v>36</x:v>
      </x:c>
      <x:c r="O176" s="8" t="str">
        <x:f>IF(S176=1,ROUND((J176-I176)*1440,6),"")</x:f>
      </x:c>
      <x:c r="P176" s="11" t="n">
        <x:v>1</x:v>
      </x:c>
      <x:c r="Q176" s="11" t="n">
        <x:v>1</x:v>
      </x:c>
      <x:c r="R176" s="11" t="n">
        <x:v>1</x:v>
      </x:c>
      <x:c r="S176" s="11" t="n">
        <x:v>0</x:v>
      </x:c>
      <x:c r="T176" s="11" t="n">
        <x:v>1</x:v>
      </x:c>
      <x:c r="U176" s="2" t="str">
        <x:v>no_table</x:v>
      </x:c>
      <x:c r="V176" s="2"/>
      <x:c r="W176" s="11" t="n">
        <x:v>0</x:v>
      </x:c>
      <x:c r="X176" s="13"/>
    </x:row>
    <x:row r="177" ht="24" customHeight="1">
      <x:c r="A177" s="2" t="str">
        <x:v>153_38</x:v>
      </x:c>
      <x:c r="B177" s="10" t="str">
        <x:v>153</x:v>
      </x:c>
      <x:c r="C177" s="11" t="n">
        <x:v>39</x:v>
      </x:c>
      <x:c r="D177" s="11" t="n">
        <x:v>38</x:v>
      </x:c>
      <x:c r="E177" s="2" t="str">
        <x:v>Walk in</x:v>
      </x:c>
      <x:c r="F177" s="11" t="n">
        <x:v>3</x:v>
      </x:c>
      <x:c r="G177" s="12" t="n">
        <x:v>0.36527777777777776</x:v>
      </x:c>
      <x:c r="H177" s="12" t="n">
        <x:v>0.4097222222222222</x:v>
      </x:c>
      <x:c r="I177" s="12" t="n">
        <x:v>0.4097222222222222</x:v>
      </x:c>
      <x:c r="J177" s="12" t="n">
        <x:v>0.5</x:v>
      </x:c>
      <x:c r="K177" s="10" t="str">
        <x:v>9</x:v>
      </x:c>
      <x:c r="L177" s="2" t="str">
        <x:v>queued_meal</x:v>
      </x:c>
      <x:c r="M177" s="8" t="n">
        <x:f>IF(P177=1,ROUND((H177-G177)*1440,6),"")</x:f>
        <x:v>64</x:v>
      </x:c>
      <x:c r="N177" s="8" t="n">
        <x:f>IF(R177=1,M177,"")</x:f>
        <x:v>64</x:v>
      </x:c>
      <x:c r="O177" s="8" t="n">
        <x:f>IF(S177=1,ROUND((J177-I177)*1440,6),"")</x:f>
        <x:v>130</x:v>
      </x:c>
      <x:c r="P177" s="11" t="n">
        <x:v>1</x:v>
      </x:c>
      <x:c r="Q177" s="11" t="n">
        <x:v>0</x:v>
      </x:c>
      <x:c r="R177" s="11" t="n">
        <x:v>1</x:v>
      </x:c>
      <x:c r="S177" s="11" t="n">
        <x:v>1</x:v>
      </x:c>
      <x:c r="T177" s="11" t="n">
        <x:v>1</x:v>
      </x:c>
      <x:c r="U177" s="2" t="str">
        <x:v>needs_mapping</x:v>
      </x:c>
      <x:c r="V177" s="2"/>
      <x:c r="W177" s="11" t="n">
        <x:v>1</x:v>
      </x:c>
      <x:c r="X177" s="13" t="str">
        <x:v>รหัสโต๊ะต้องยืนยัน</x:v>
      </x:c>
    </x:row>
    <x:row r="178" ht="24" customHeight="1">
      <x:c r="A178" s="2" t="str">
        <x:v>153_39</x:v>
      </x:c>
      <x:c r="B178" s="10" t="str">
        <x:v>153</x:v>
      </x:c>
      <x:c r="C178" s="11" t="n">
        <x:v>40</x:v>
      </x:c>
      <x:c r="D178" s="11" t="n">
        <x:v>39</x:v>
      </x:c>
      <x:c r="E178" s="2" t="str">
        <x:v>Walk in</x:v>
      </x:c>
      <x:c r="F178" s="11" t="n">
        <x:v>1</x:v>
      </x:c>
      <x:c r="G178" s="12" t="n">
        <x:v>0.36666666666666664</x:v>
      </x:c>
      <x:c r="H178" s="12" t="n">
        <x:v>0.375</x:v>
      </x:c>
      <x:c r="I178" s="12" t="n">
        <x:v>0.375</x:v>
      </x:c>
      <x:c r="J178" s="12" t="n">
        <x:v>0.4527777777777778</x:v>
      </x:c>
      <x:c r="K178" s="10" t="str">
        <x:v>8B</x:v>
      </x:c>
      <x:c r="L178" s="2" t="str">
        <x:v>queued_meal</x:v>
      </x:c>
      <x:c r="M178" s="8" t="n">
        <x:f>IF(P178=1,ROUND((H178-G178)*1440,6),"")</x:f>
        <x:v>12</x:v>
      </x:c>
      <x:c r="N178" s="8" t="n">
        <x:f>IF(R178=1,M178,"")</x:f>
        <x:v>12</x:v>
      </x:c>
      <x:c r="O178" s="8" t="n">
        <x:f>IF(S178=1,ROUND((J178-I178)*1440,6),"")</x:f>
        <x:v>112</x:v>
      </x:c>
      <x:c r="P178" s="11" t="n">
        <x:v>1</x:v>
      </x:c>
      <x:c r="Q178" s="11" t="n">
        <x:v>0</x:v>
      </x:c>
      <x:c r="R178" s="11" t="n">
        <x:v>1</x:v>
      </x:c>
      <x:c r="S178" s="11" t="n">
        <x:v>1</x:v>
      </x:c>
      <x:c r="T178" s="11" t="n">
        <x:v>1</x:v>
      </x:c>
      <x:c r="U178" s="2" t="str">
        <x:v>documented</x:v>
      </x:c>
      <x:c r="V178" s="2" t="str">
        <x:v>8B</x:v>
      </x:c>
      <x:c r="W178" s="11" t="n">
        <x:v>0</x:v>
      </x:c>
      <x:c r="X178" s="13"/>
    </x:row>
    <x:row r="179" ht="24" customHeight="1">
      <x:c r="A179" s="2" t="str">
        <x:v>153_40</x:v>
      </x:c>
      <x:c r="B179" s="10" t="str">
        <x:v>153</x:v>
      </x:c>
      <x:c r="C179" s="11" t="n">
        <x:v>41</x:v>
      </x:c>
      <x:c r="D179" s="11" t="n">
        <x:v>40</x:v>
      </x:c>
      <x:c r="E179" s="2" t="str">
        <x:v>In house</x:v>
      </x:c>
      <x:c r="F179" s="11"/>
      <x:c r="G179" s="12" t="n">
        <x:v>0.3680555555555556</x:v>
      </x:c>
      <x:c r="H179" s="12" t="n">
        <x:v>0.3888888888888889</x:v>
      </x:c>
      <x:c r="I179" s="12"/>
      <x:c r="J179" s="12"/>
      <x:c r="K179" s="10"/>
      <x:c r="L179" s="2" t="str">
        <x:v>walk_away</x:v>
      </x:c>
      <x:c r="M179" s="8" t="n">
        <x:f>IF(P179=1,ROUND((H179-G179)*1440,6),"")</x:f>
        <x:v>30</x:v>
      </x:c>
      <x:c r="N179" s="8" t="n">
        <x:f>IF(R179=1,M179,"")</x:f>
        <x:v>30</x:v>
      </x:c>
      <x:c r="O179" s="8" t="str">
        <x:f>IF(S179=1,ROUND((J179-I179)*1440,6),"")</x:f>
      </x:c>
      <x:c r="P179" s="11" t="n">
        <x:v>1</x:v>
      </x:c>
      <x:c r="Q179" s="11" t="n">
        <x:v>1</x:v>
      </x:c>
      <x:c r="R179" s="11" t="n">
        <x:v>1</x:v>
      </x:c>
      <x:c r="S179" s="11" t="n">
        <x:v>0</x:v>
      </x:c>
      <x:c r="T179" s="11" t="n">
        <x:v>0</x:v>
      </x:c>
      <x:c r="U179" s="2" t="str">
        <x:v>no_table</x:v>
      </x:c>
      <x:c r="V179" s="2"/>
      <x:c r="W179" s="11" t="n">
        <x:v>1</x:v>
      </x:c>
      <x:c r="X179" s="13" t="str">
        <x:v>จำนวนคนไม่ถูกต้อง</x:v>
      </x:c>
    </x:row>
    <x:row r="180" ht="24" customHeight="1">
      <x:c r="A180" s="2" t="str">
        <x:v>153_41</x:v>
      </x:c>
      <x:c r="B180" s="10" t="str">
        <x:v>153</x:v>
      </x:c>
      <x:c r="C180" s="11" t="n">
        <x:v>42</x:v>
      </x:c>
      <x:c r="D180" s="11" t="n">
        <x:v>41</x:v>
      </x:c>
      <x:c r="E180" s="2" t="str">
        <x:v>Walk in</x:v>
      </x:c>
      <x:c r="F180" s="11" t="n">
        <x:v>1</x:v>
      </x:c>
      <x:c r="G180" s="12" t="n">
        <x:v>0.3701388888888889</x:v>
      </x:c>
      <x:c r="H180" s="12" t="n">
        <x:v>0.3923611111111111</x:v>
      </x:c>
      <x:c r="I180" s="12" t="n">
        <x:v>0.3923611111111111</x:v>
      </x:c>
      <x:c r="J180" s="12" t="n">
        <x:v>0.4173611111111111</x:v>
      </x:c>
      <x:c r="K180" s="10" t="str">
        <x:v>1B</x:v>
      </x:c>
      <x:c r="L180" s="2" t="str">
        <x:v>queued_meal</x:v>
      </x:c>
      <x:c r="M180" s="8" t="n">
        <x:f>IF(P180=1,ROUND((H180-G180)*1440,6),"")</x:f>
        <x:v>32</x:v>
      </x:c>
      <x:c r="N180" s="8" t="n">
        <x:f>IF(R180=1,M180,"")</x:f>
        <x:v>32</x:v>
      </x:c>
      <x:c r="O180" s="8" t="n">
        <x:f>IF(S180=1,ROUND((J180-I180)*1440,6),"")</x:f>
        <x:v>36</x:v>
      </x:c>
      <x:c r="P180" s="11" t="n">
        <x:v>1</x:v>
      </x:c>
      <x:c r="Q180" s="11" t="n">
        <x:v>0</x:v>
      </x:c>
      <x:c r="R180" s="11" t="n">
        <x:v>1</x:v>
      </x:c>
      <x:c r="S180" s="11" t="n">
        <x:v>1</x:v>
      </x:c>
      <x:c r="T180" s="11" t="n">
        <x:v>1</x:v>
      </x:c>
      <x:c r="U180" s="2" t="str">
        <x:v>documented</x:v>
      </x:c>
      <x:c r="V180" s="2" t="str">
        <x:v>1B</x:v>
      </x:c>
      <x:c r="W180" s="11" t="n">
        <x:v>0</x:v>
      </x:c>
      <x:c r="X180" s="13"/>
    </x:row>
    <x:row r="181" ht="24" customHeight="1">
      <x:c r="A181" s="2" t="str">
        <x:v>153_42</x:v>
      </x:c>
      <x:c r="B181" s="10" t="str">
        <x:v>153</x:v>
      </x:c>
      <x:c r="C181" s="11" t="n">
        <x:v>43</x:v>
      </x:c>
      <x:c r="D181" s="11" t="n">
        <x:v>42</x:v>
      </x:c>
      <x:c r="E181" s="2" t="str">
        <x:v>In house</x:v>
      </x:c>
      <x:c r="F181" s="11" t="n">
        <x:v>1</x:v>
      </x:c>
      <x:c r="G181" s="12" t="n">
        <x:v>0.37083333333333335</x:v>
      </x:c>
      <x:c r="H181" s="12" t="n">
        <x:v>0.3923611111111111</x:v>
      </x:c>
      <x:c r="I181" s="12" t="n">
        <x:v>0.3923611111111111</x:v>
      </x:c>
      <x:c r="J181" s="12" t="n">
        <x:v>0.4201388888888889</x:v>
      </x:c>
      <x:c r="K181" s="10" t="str">
        <x:v>1A</x:v>
      </x:c>
      <x:c r="L181" s="2" t="str">
        <x:v>queued_meal</x:v>
      </x:c>
      <x:c r="M181" s="8" t="n">
        <x:f>IF(P181=1,ROUND((H181-G181)*1440,6),"")</x:f>
        <x:v>31</x:v>
      </x:c>
      <x:c r="N181" s="8" t="n">
        <x:f>IF(R181=1,M181,"")</x:f>
        <x:v>31</x:v>
      </x:c>
      <x:c r="O181" s="8" t="n">
        <x:f>IF(S181=1,ROUND((J181-I181)*1440,6),"")</x:f>
        <x:v>40</x:v>
      </x:c>
      <x:c r="P181" s="11" t="n">
        <x:v>1</x:v>
      </x:c>
      <x:c r="Q181" s="11" t="n">
        <x:v>0</x:v>
      </x:c>
      <x:c r="R181" s="11" t="n">
        <x:v>1</x:v>
      </x:c>
      <x:c r="S181" s="11" t="n">
        <x:v>1</x:v>
      </x:c>
      <x:c r="T181" s="11" t="n">
        <x:v>1</x:v>
      </x:c>
      <x:c r="U181" s="2" t="str">
        <x:v>documented</x:v>
      </x:c>
      <x:c r="V181" s="2" t="str">
        <x:v>1A</x:v>
      </x:c>
      <x:c r="W181" s="11" t="n">
        <x:v>0</x:v>
      </x:c>
      <x:c r="X181" s="13"/>
    </x:row>
    <x:row r="182" ht="24" customHeight="1">
      <x:c r="A182" s="2" t="str">
        <x:v>153_43</x:v>
      </x:c>
      <x:c r="B182" s="10" t="str">
        <x:v>153</x:v>
      </x:c>
      <x:c r="C182" s="11" t="n">
        <x:v>44</x:v>
      </x:c>
      <x:c r="D182" s="11" t="n">
        <x:v>43</x:v>
      </x:c>
      <x:c r="E182" s="2" t="str">
        <x:v>Walk in</x:v>
      </x:c>
      <x:c r="F182" s="11" t="n">
        <x:v>2</x:v>
      </x:c>
      <x:c r="G182" s="12" t="n">
        <x:v>0.3729166666666667</x:v>
      </x:c>
      <x:c r="H182" s="12" t="n">
        <x:v>0.3923611111111111</x:v>
      </x:c>
      <x:c r="I182" s="12" t="n">
        <x:v>0.3923611111111111</x:v>
      </x:c>
      <x:c r="J182" s="12" t="n">
        <x:v>0.48680555555555555</x:v>
      </x:c>
      <x:c r="K182" s="10" t="str">
        <x:v>8C</x:v>
      </x:c>
      <x:c r="L182" s="2" t="str">
        <x:v>queued_meal</x:v>
      </x:c>
      <x:c r="M182" s="8" t="n">
        <x:f>IF(P182=1,ROUND((H182-G182)*1440,6),"")</x:f>
        <x:v>28</x:v>
      </x:c>
      <x:c r="N182" s="8" t="n">
        <x:f>IF(R182=1,M182,"")</x:f>
        <x:v>28</x:v>
      </x:c>
      <x:c r="O182" s="8" t="n">
        <x:f>IF(S182=1,ROUND((J182-I182)*1440,6),"")</x:f>
        <x:v>136</x:v>
      </x:c>
      <x:c r="P182" s="11" t="n">
        <x:v>1</x:v>
      </x:c>
      <x:c r="Q182" s="11" t="n">
        <x:v>0</x:v>
      </x:c>
      <x:c r="R182" s="11" t="n">
        <x:v>1</x:v>
      </x:c>
      <x:c r="S182" s="11" t="n">
        <x:v>1</x:v>
      </x:c>
      <x:c r="T182" s="11" t="n">
        <x:v>1</x:v>
      </x:c>
      <x:c r="U182" s="2" t="str">
        <x:v>documented</x:v>
      </x:c>
      <x:c r="V182" s="2" t="str">
        <x:v>8C</x:v>
      </x:c>
      <x:c r="W182" s="11" t="n">
        <x:v>0</x:v>
      </x:c>
      <x:c r="X182" s="13"/>
    </x:row>
    <x:row r="183" ht="24" customHeight="1">
      <x:c r="A183" s="2" t="str">
        <x:v>153_44</x:v>
      </x:c>
      <x:c r="B183" s="10" t="str">
        <x:v>153</x:v>
      </x:c>
      <x:c r="C183" s="11" t="n">
        <x:v>45</x:v>
      </x:c>
      <x:c r="D183" s="11" t="n">
        <x:v>44</x:v>
      </x:c>
      <x:c r="E183" s="2" t="str">
        <x:v>Walk in</x:v>
      </x:c>
      <x:c r="F183" s="11" t="n">
        <x:v>3</x:v>
      </x:c>
      <x:c r="G183" s="12" t="n">
        <x:v>0.3736111111111111</x:v>
      </x:c>
      <x:c r="H183" s="12" t="n">
        <x:v>0.39791666666666664</x:v>
      </x:c>
      <x:c r="I183" s="12" t="n">
        <x:v>0.39791666666666664</x:v>
      </x:c>
      <x:c r="J183" s="12" t="n">
        <x:v>0.44722222222222224</x:v>
      </x:c>
      <x:c r="K183" s="10" t="str">
        <x:v>7A</x:v>
      </x:c>
      <x:c r="L183" s="2" t="str">
        <x:v>queued_meal</x:v>
      </x:c>
      <x:c r="M183" s="8" t="n">
        <x:f>IF(P183=1,ROUND((H183-G183)*1440,6),"")</x:f>
        <x:v>35</x:v>
      </x:c>
      <x:c r="N183" s="8" t="n">
        <x:f>IF(R183=1,M183,"")</x:f>
        <x:v>35</x:v>
      </x:c>
      <x:c r="O183" s="8" t="n">
        <x:f>IF(S183=1,ROUND((J183-I183)*1440,6),"")</x:f>
        <x:v>71</x:v>
      </x:c>
      <x:c r="P183" s="11" t="n">
        <x:v>1</x:v>
      </x:c>
      <x:c r="Q183" s="11" t="n">
        <x:v>0</x:v>
      </x:c>
      <x:c r="R183" s="11" t="n">
        <x:v>1</x:v>
      </x:c>
      <x:c r="S183" s="11" t="n">
        <x:v>1</x:v>
      </x:c>
      <x:c r="T183" s="11" t="n">
        <x:v>1</x:v>
      </x:c>
      <x:c r="U183" s="2" t="str">
        <x:v>documented</x:v>
      </x:c>
      <x:c r="V183" s="2" t="str">
        <x:v>7A</x:v>
      </x:c>
      <x:c r="W183" s="11" t="n">
        <x:v>0</x:v>
      </x:c>
      <x:c r="X183" s="13"/>
    </x:row>
    <x:row r="184" ht="24" customHeight="1">
      <x:c r="A184" s="2" t="str">
        <x:v>153_45</x:v>
      </x:c>
      <x:c r="B184" s="10" t="str">
        <x:v>153</x:v>
      </x:c>
      <x:c r="C184" s="11" t="n">
        <x:v>46</x:v>
      </x:c>
      <x:c r="D184" s="11" t="n">
        <x:v>45</x:v>
      </x:c>
      <x:c r="E184" s="2" t="str">
        <x:v>Walk in</x:v>
      </x:c>
      <x:c r="F184" s="11" t="n">
        <x:v>2</x:v>
      </x:c>
      <x:c r="G184" s="12" t="n">
        <x:v>0.34444444444444444</x:v>
      </x:c>
      <x:c r="H184" s="12" t="n">
        <x:v>0.3798611111111111</x:v>
      </x:c>
      <x:c r="I184" s="12" t="n">
        <x:v>0.3798611111111111</x:v>
      </x:c>
      <x:c r="J184" s="12" t="n">
        <x:v>0.4076388888888889</x:v>
      </x:c>
      <x:c r="K184" s="10" t="str">
        <x:v>8A</x:v>
      </x:c>
      <x:c r="L184" s="2" t="str">
        <x:v>queued_meal</x:v>
      </x:c>
      <x:c r="M184" s="8" t="n">
        <x:f>IF(P184=1,ROUND((H184-G184)*1440,6),"")</x:f>
        <x:v>51</x:v>
      </x:c>
      <x:c r="N184" s="8" t="n">
        <x:f>IF(R184=1,M184,"")</x:f>
        <x:v>51</x:v>
      </x:c>
      <x:c r="O184" s="8" t="n">
        <x:f>IF(S184=1,ROUND((J184-I184)*1440,6),"")</x:f>
        <x:v>40</x:v>
      </x:c>
      <x:c r="P184" s="11" t="n">
        <x:v>1</x:v>
      </x:c>
      <x:c r="Q184" s="11" t="n">
        <x:v>0</x:v>
      </x:c>
      <x:c r="R184" s="11" t="n">
        <x:v>1</x:v>
      </x:c>
      <x:c r="S184" s="11" t="n">
        <x:v>1</x:v>
      </x:c>
      <x:c r="T184" s="11" t="n">
        <x:v>1</x:v>
      </x:c>
      <x:c r="U184" s="2" t="str">
        <x:v>documented</x:v>
      </x:c>
      <x:c r="V184" s="2" t="str">
        <x:v>8A</x:v>
      </x:c>
      <x:c r="W184" s="11" t="n">
        <x:v>0</x:v>
      </x:c>
      <x:c r="X184" s="13"/>
    </x:row>
    <x:row r="185" ht="24" customHeight="1">
      <x:c r="A185" s="2" t="str">
        <x:v>153_46</x:v>
      </x:c>
      <x:c r="B185" s="10" t="str">
        <x:v>153</x:v>
      </x:c>
      <x:c r="C185" s="11" t="n">
        <x:v>47</x:v>
      </x:c>
      <x:c r="D185" s="11" t="n">
        <x:v>46</x:v>
      </x:c>
      <x:c r="E185" s="2" t="str">
        <x:v>In house</x:v>
      </x:c>
      <x:c r="F185" s="11" t="n">
        <x:v>2</x:v>
      </x:c>
      <x:c r="G185" s="12" t="n">
        <x:v>0.38055555555555554</x:v>
      </x:c>
      <x:c r="H185" s="12" t="n">
        <x:v>0.4027777777777778</x:v>
      </x:c>
      <x:c r="I185" s="12" t="n">
        <x:v>0.4027777777777778</x:v>
      </x:c>
      <x:c r="J185" s="12" t="n">
        <x:v>0.42569444444444443</x:v>
      </x:c>
      <x:c r="K185" s="10" t="str">
        <x:v>16</x:v>
      </x:c>
      <x:c r="L185" s="2" t="str">
        <x:v>queued_meal</x:v>
      </x:c>
      <x:c r="M185" s="8" t="n">
        <x:f>IF(P185=1,ROUND((H185-G185)*1440,6),"")</x:f>
        <x:v>32</x:v>
      </x:c>
      <x:c r="N185" s="8" t="n">
        <x:f>IF(R185=1,M185,"")</x:f>
        <x:v>32</x:v>
      </x:c>
      <x:c r="O185" s="8" t="n">
        <x:f>IF(S185=1,ROUND((J185-I185)*1440,6),"")</x:f>
        <x:v>33</x:v>
      </x:c>
      <x:c r="P185" s="11" t="n">
        <x:v>1</x:v>
      </x:c>
      <x:c r="Q185" s="11" t="n">
        <x:v>0</x:v>
      </x:c>
      <x:c r="R185" s="11" t="n">
        <x:v>1</x:v>
      </x:c>
      <x:c r="S185" s="11" t="n">
        <x:v>1</x:v>
      </x:c>
      <x:c r="T185" s="11" t="n">
        <x:v>1</x:v>
      </x:c>
      <x:c r="U185" s="2" t="str">
        <x:v>needs_mapping</x:v>
      </x:c>
      <x:c r="V185" s="2"/>
      <x:c r="W185" s="11" t="n">
        <x:v>1</x:v>
      </x:c>
      <x:c r="X185" s="13" t="str">
        <x:v>รหัสโต๊ะต้องยืนยัน</x:v>
      </x:c>
    </x:row>
    <x:row r="186" ht="24" customHeight="1">
      <x:c r="A186" s="2" t="str">
        <x:v>153_47</x:v>
      </x:c>
      <x:c r="B186" s="10" t="str">
        <x:v>153</x:v>
      </x:c>
      <x:c r="C186" s="11" t="n">
        <x:v>48</x:v>
      </x:c>
      <x:c r="D186" s="11" t="n">
        <x:v>47</x:v>
      </x:c>
      <x:c r="E186" s="2" t="str">
        <x:v>Walk in</x:v>
      </x:c>
      <x:c r="F186" s="11" t="n">
        <x:v>3</x:v>
      </x:c>
      <x:c r="G186" s="12" t="n">
        <x:v>0.38055555555555554</x:v>
      </x:c>
      <x:c r="H186" s="12" t="n">
        <x:v>0.4201388888888889</x:v>
      </x:c>
      <x:c r="I186" s="12" t="n">
        <x:v>0.4201388888888889</x:v>
      </x:c>
      <x:c r="J186" s="12" t="n">
        <x:v>0.5</x:v>
      </x:c>
      <x:c r="K186" s="10" t="str">
        <x:v>6</x:v>
      </x:c>
      <x:c r="L186" s="2" t="str">
        <x:v>queued_meal</x:v>
      </x:c>
      <x:c r="M186" s="8" t="n">
        <x:f>IF(P186=1,ROUND((H186-G186)*1440,6),"")</x:f>
        <x:v>57</x:v>
      </x:c>
      <x:c r="N186" s="8" t="n">
        <x:f>IF(R186=1,M186,"")</x:f>
        <x:v>57</x:v>
      </x:c>
      <x:c r="O186" s="8" t="n">
        <x:f>IF(S186=1,ROUND((J186-I186)*1440,6),"")</x:f>
        <x:v>115</x:v>
      </x:c>
      <x:c r="P186" s="11" t="n">
        <x:v>1</x:v>
      </x:c>
      <x:c r="Q186" s="11" t="n">
        <x:v>0</x:v>
      </x:c>
      <x:c r="R186" s="11" t="n">
        <x:v>1</x:v>
      </x:c>
      <x:c r="S186" s="11" t="n">
        <x:v>1</x:v>
      </x:c>
      <x:c r="T186" s="11" t="n">
        <x:v>1</x:v>
      </x:c>
      <x:c r="U186" s="2" t="str">
        <x:v>needs_mapping</x:v>
      </x:c>
      <x:c r="V186" s="2"/>
      <x:c r="W186" s="11" t="n">
        <x:v>1</x:v>
      </x:c>
      <x:c r="X186" s="13" t="str">
        <x:v>รหัสโต๊ะต้องยืนยัน</x:v>
      </x:c>
    </x:row>
    <x:row r="187" ht="24" customHeight="1">
      <x:c r="A187" s="2" t="str">
        <x:v>153_48</x:v>
      </x:c>
      <x:c r="B187" s="10" t="str">
        <x:v>153</x:v>
      </x:c>
      <x:c r="C187" s="11" t="n">
        <x:v>49</x:v>
      </x:c>
      <x:c r="D187" s="11" t="n">
        <x:v>48</x:v>
      </x:c>
      <x:c r="E187" s="2" t="str">
        <x:v>In house</x:v>
      </x:c>
      <x:c r="F187" s="11" t="n">
        <x:v>2</x:v>
      </x:c>
      <x:c r="G187" s="12" t="n">
        <x:v>0.3819444444444444</x:v>
      </x:c>
      <x:c r="H187" s="12" t="n">
        <x:v>0.38680555555555557</x:v>
      </x:c>
      <x:c r="I187" s="12"/>
      <x:c r="J187" s="12"/>
      <x:c r="K187" s="10"/>
      <x:c r="L187" s="2" t="str">
        <x:v>walk_away</x:v>
      </x:c>
      <x:c r="M187" s="8" t="n">
        <x:f>IF(P187=1,ROUND((H187-G187)*1440,6),"")</x:f>
        <x:v>7</x:v>
      </x:c>
      <x:c r="N187" s="8" t="n">
        <x:f>IF(R187=1,M187,"")</x:f>
        <x:v>7</x:v>
      </x:c>
      <x:c r="O187" s="8" t="str">
        <x:f>IF(S187=1,ROUND((J187-I187)*1440,6),"")</x:f>
      </x:c>
      <x:c r="P187" s="11" t="n">
        <x:v>1</x:v>
      </x:c>
      <x:c r="Q187" s="11" t="n">
        <x:v>1</x:v>
      </x:c>
      <x:c r="R187" s="11" t="n">
        <x:v>1</x:v>
      </x:c>
      <x:c r="S187" s="11" t="n">
        <x:v>0</x:v>
      </x:c>
      <x:c r="T187" s="11" t="n">
        <x:v>1</x:v>
      </x:c>
      <x:c r="U187" s="2" t="str">
        <x:v>no_table</x:v>
      </x:c>
      <x:c r="V187" s="2"/>
      <x:c r="W187" s="11" t="n">
        <x:v>0</x:v>
      </x:c>
      <x:c r="X187" s="13"/>
    </x:row>
    <x:row r="188" ht="24" customHeight="1">
      <x:c r="A188" s="2" t="str">
        <x:v>153_49</x:v>
      </x:c>
      <x:c r="B188" s="10" t="str">
        <x:v>153</x:v>
      </x:c>
      <x:c r="C188" s="11" t="n">
        <x:v>50</x:v>
      </x:c>
      <x:c r="D188" s="11" t="n">
        <x:v>49</x:v>
      </x:c>
      <x:c r="E188" s="2" t="str">
        <x:v>Walk in</x:v>
      </x:c>
      <x:c r="F188" s="11"/>
      <x:c r="G188" s="12" t="n">
        <x:v>0.3819444444444444</x:v>
      </x:c>
      <x:c r="H188" s="12" t="n">
        <x:v>0.4131944444444444</x:v>
      </x:c>
      <x:c r="I188" s="12"/>
      <x:c r="J188" s="12"/>
      <x:c r="K188" s="10"/>
      <x:c r="L188" s="2" t="str">
        <x:v>walk_away</x:v>
      </x:c>
      <x:c r="M188" s="8" t="n">
        <x:f>IF(P188=1,ROUND((H188-G188)*1440,6),"")</x:f>
        <x:v>45</x:v>
      </x:c>
      <x:c r="N188" s="8" t="n">
        <x:f>IF(R188=1,M188,"")</x:f>
        <x:v>45</x:v>
      </x:c>
      <x:c r="O188" s="8" t="str">
        <x:f>IF(S188=1,ROUND((J188-I188)*1440,6),"")</x:f>
      </x:c>
      <x:c r="P188" s="11" t="n">
        <x:v>1</x:v>
      </x:c>
      <x:c r="Q188" s="11" t="n">
        <x:v>1</x:v>
      </x:c>
      <x:c r="R188" s="11" t="n">
        <x:v>1</x:v>
      </x:c>
      <x:c r="S188" s="11" t="n">
        <x:v>0</x:v>
      </x:c>
      <x:c r="T188" s="11" t="n">
        <x:v>0</x:v>
      </x:c>
      <x:c r="U188" s="2" t="str">
        <x:v>no_table</x:v>
      </x:c>
      <x:c r="V188" s="2"/>
      <x:c r="W188" s="11" t="n">
        <x:v>1</x:v>
      </x:c>
      <x:c r="X188" s="13" t="str">
        <x:v>จำนวนคนไม่ถูกต้อง</x:v>
      </x:c>
    </x:row>
    <x:row r="189" ht="24" customHeight="1">
      <x:c r="A189" s="2" t="str">
        <x:v>153_50</x:v>
      </x:c>
      <x:c r="B189" s="10" t="str">
        <x:v>153</x:v>
      </x:c>
      <x:c r="C189" s="11" t="n">
        <x:v>51</x:v>
      </x:c>
      <x:c r="D189" s="11" t="n">
        <x:v>50</x:v>
      </x:c>
      <x:c r="E189" s="2" t="str">
        <x:v>Walk in</x:v>
      </x:c>
      <x:c r="F189" s="11" t="n">
        <x:v>5</x:v>
      </x:c>
      <x:c r="G189" s="12" t="n">
        <x:v>0.3819444444444444</x:v>
      </x:c>
      <x:c r="H189" s="12" t="n">
        <x:v>0.4131944444444444</x:v>
      </x:c>
      <x:c r="I189" s="12" t="n">
        <x:v>0.4131944444444444</x:v>
      </x:c>
      <x:c r="J189" s="12" t="n">
        <x:v>0.4756944444444444</x:v>
      </x:c>
      <x:c r="K189" s="10" t="str">
        <x:v>4A/11B</x:v>
      </x:c>
      <x:c r="L189" s="2" t="str">
        <x:v>queued_meal</x:v>
      </x:c>
      <x:c r="M189" s="8" t="n">
        <x:f>IF(P189=1,ROUND((H189-G189)*1440,6),"")</x:f>
        <x:v>45</x:v>
      </x:c>
      <x:c r="N189" s="8" t="n">
        <x:f>IF(R189=1,M189,"")</x:f>
        <x:v>45</x:v>
      </x:c>
      <x:c r="O189" s="8" t="n">
        <x:f>IF(S189=1,ROUND((J189-I189)*1440,6),"")</x:f>
        <x:v>90</x:v>
      </x:c>
      <x:c r="P189" s="11" t="n">
        <x:v>1</x:v>
      </x:c>
      <x:c r="Q189" s="11" t="n">
        <x:v>0</x:v>
      </x:c>
      <x:c r="R189" s="11" t="n">
        <x:v>1</x:v>
      </x:c>
      <x:c r="S189" s="11" t="n">
        <x:v>1</x:v>
      </x:c>
      <x:c r="T189" s="11" t="n">
        <x:v>1</x:v>
      </x:c>
      <x:c r="U189" s="2" t="str">
        <x:v>slash_needs_confirmation</x:v>
      </x:c>
      <x:c r="V189" s="2"/>
      <x:c r="W189" s="11" t="n">
        <x:v>1</x:v>
      </x:c>
      <x:c r="X189" s="13" t="str">
        <x:v>รหัสโต๊ะต้องยืนยัน</x:v>
      </x:c>
    </x:row>
    <x:row r="190" ht="24" customHeight="1">
      <x:c r="A190" s="2" t="str">
        <x:v>153_51</x:v>
      </x:c>
      <x:c r="B190" s="10" t="str">
        <x:v>153</x:v>
      </x:c>
      <x:c r="C190" s="11" t="n">
        <x:v>52</x:v>
      </x:c>
      <x:c r="D190" s="11" t="n">
        <x:v>51</x:v>
      </x:c>
      <x:c r="E190" s="2" t="str">
        <x:v>In house</x:v>
      </x:c>
      <x:c r="F190" s="11" t="n">
        <x:v>1</x:v>
      </x:c>
      <x:c r="G190" s="12" t="n">
        <x:v>0.38680555555555557</x:v>
      </x:c>
      <x:c r="H190" s="12" t="n">
        <x:v>0.4201388888888889</x:v>
      </x:c>
      <x:c r="I190" s="12" t="n">
        <x:v>0.4201388888888889</x:v>
      </x:c>
      <x:c r="J190" s="12" t="n">
        <x:v>0.46805555555555556</x:v>
      </x:c>
      <x:c r="K190" s="10" t="str">
        <x:v>1A</x:v>
      </x:c>
      <x:c r="L190" s="2" t="str">
        <x:v>queued_meal</x:v>
      </x:c>
      <x:c r="M190" s="8" t="n">
        <x:f>IF(P190=1,ROUND((H190-G190)*1440,6),"")</x:f>
        <x:v>48</x:v>
      </x:c>
      <x:c r="N190" s="8" t="n">
        <x:f>IF(R190=1,M190,"")</x:f>
        <x:v>48</x:v>
      </x:c>
      <x:c r="O190" s="8" t="n">
        <x:f>IF(S190=1,ROUND((J190-I190)*1440,6),"")</x:f>
        <x:v>69</x:v>
      </x:c>
      <x:c r="P190" s="11" t="n">
        <x:v>1</x:v>
      </x:c>
      <x:c r="Q190" s="11" t="n">
        <x:v>0</x:v>
      </x:c>
      <x:c r="R190" s="11" t="n">
        <x:v>1</x:v>
      </x:c>
      <x:c r="S190" s="11" t="n">
        <x:v>1</x:v>
      </x:c>
      <x:c r="T190" s="11" t="n">
        <x:v>1</x:v>
      </x:c>
      <x:c r="U190" s="2" t="str">
        <x:v>documented</x:v>
      </x:c>
      <x:c r="V190" s="2" t="str">
        <x:v>1A</x:v>
      </x:c>
      <x:c r="W190" s="11" t="n">
        <x:v>0</x:v>
      </x:c>
      <x:c r="X190" s="13"/>
    </x:row>
    <x:row r="191" ht="24" customHeight="1">
      <x:c r="A191" s="2" t="str">
        <x:v>153_52</x:v>
      </x:c>
      <x:c r="B191" s="10" t="str">
        <x:v>153</x:v>
      </x:c>
      <x:c r="C191" s="11" t="n">
        <x:v>53</x:v>
      </x:c>
      <x:c r="D191" s="11" t="n">
        <x:v>52</x:v>
      </x:c>
      <x:c r="E191" s="2" t="str">
        <x:v>Walk in</x:v>
      </x:c>
      <x:c r="F191" s="11" t="n">
        <x:v>3</x:v>
      </x:c>
      <x:c r="G191" s="12" t="n">
        <x:v>0.3923611111111111</x:v>
      </x:c>
      <x:c r="H191" s="12" t="n">
        <x:v>0.42291666666666666</x:v>
      </x:c>
      <x:c r="I191" s="12" t="n">
        <x:v>0.42291666666666666</x:v>
      </x:c>
      <x:c r="J191" s="12" t="n">
        <x:v>0.4722222222222222</x:v>
      </x:c>
      <x:c r="K191" s="10" t="str">
        <x:v>12</x:v>
      </x:c>
      <x:c r="L191" s="2" t="str">
        <x:v>queued_meal</x:v>
      </x:c>
      <x:c r="M191" s="8" t="n">
        <x:f>IF(P191=1,ROUND((H191-G191)*1440,6),"")</x:f>
        <x:v>44</x:v>
      </x:c>
      <x:c r="N191" s="8" t="n">
        <x:f>IF(R191=1,M191,"")</x:f>
        <x:v>44</x:v>
      </x:c>
      <x:c r="O191" s="8" t="n">
        <x:f>IF(S191=1,ROUND((J191-I191)*1440,6),"")</x:f>
        <x:v>71</x:v>
      </x:c>
      <x:c r="P191" s="11" t="n">
        <x:v>1</x:v>
      </x:c>
      <x:c r="Q191" s="11" t="n">
        <x:v>0</x:v>
      </x:c>
      <x:c r="R191" s="11" t="n">
        <x:v>1</x:v>
      </x:c>
      <x:c r="S191" s="11" t="n">
        <x:v>1</x:v>
      </x:c>
      <x:c r="T191" s="11" t="n">
        <x:v>1</x:v>
      </x:c>
      <x:c r="U191" s="2" t="str">
        <x:v>documented</x:v>
      </x:c>
      <x:c r="V191" s="2" t="str">
        <x:v>12</x:v>
      </x:c>
      <x:c r="W191" s="11" t="n">
        <x:v>0</x:v>
      </x:c>
      <x:c r="X191" s="13"/>
    </x:row>
    <x:row r="192" ht="24" customHeight="1">
      <x:c r="A192" s="2" t="str">
        <x:v>153_53</x:v>
      </x:c>
      <x:c r="B192" s="10" t="str">
        <x:v>153</x:v>
      </x:c>
      <x:c r="C192" s="11" t="n">
        <x:v>54</x:v>
      </x:c>
      <x:c r="D192" s="11" t="n">
        <x:v>53</x:v>
      </x:c>
      <x:c r="E192" s="2" t="str">
        <x:v>Walk in</x:v>
      </x:c>
      <x:c r="F192" s="11" t="n">
        <x:v>3</x:v>
      </x:c>
      <x:c r="G192" s="12" t="n">
        <x:v>0.3923611111111111</x:v>
      </x:c>
      <x:c r="H192" s="12" t="n">
        <x:v>0.42430555555555555</x:v>
      </x:c>
      <x:c r="I192" s="12" t="n">
        <x:v>0.42430555555555555</x:v>
      </x:c>
      <x:c r="J192" s="12" t="n">
        <x:v>0.4826388888888889</x:v>
      </x:c>
      <x:c r="K192" s="10" t="str">
        <x:v>11A</x:v>
      </x:c>
      <x:c r="L192" s="2" t="str">
        <x:v>queued_meal</x:v>
      </x:c>
      <x:c r="M192" s="8" t="n">
        <x:f>IF(P192=1,ROUND((H192-G192)*1440,6),"")</x:f>
        <x:v>46</x:v>
      </x:c>
      <x:c r="N192" s="8" t="n">
        <x:f>IF(R192=1,M192,"")</x:f>
        <x:v>46</x:v>
      </x:c>
      <x:c r="O192" s="8" t="n">
        <x:f>IF(S192=1,ROUND((J192-I192)*1440,6),"")</x:f>
        <x:v>84</x:v>
      </x:c>
      <x:c r="P192" s="11" t="n">
        <x:v>1</x:v>
      </x:c>
      <x:c r="Q192" s="11" t="n">
        <x:v>0</x:v>
      </x:c>
      <x:c r="R192" s="11" t="n">
        <x:v>1</x:v>
      </x:c>
      <x:c r="S192" s="11" t="n">
        <x:v>1</x:v>
      </x:c>
      <x:c r="T192" s="11" t="n">
        <x:v>1</x:v>
      </x:c>
      <x:c r="U192" s="2" t="str">
        <x:v>documented</x:v>
      </x:c>
      <x:c r="V192" s="2" t="str">
        <x:v>11A</x:v>
      </x:c>
      <x:c r="W192" s="11" t="n">
        <x:v>0</x:v>
      </x:c>
      <x:c r="X192" s="13"/>
    </x:row>
    <x:row r="193" ht="24" customHeight="1">
      <x:c r="A193" s="2" t="str">
        <x:v>153_54</x:v>
      </x:c>
      <x:c r="B193" s="10" t="str">
        <x:v>153</x:v>
      </x:c>
      <x:c r="C193" s="11" t="n">
        <x:v>55</x:v>
      </x:c>
      <x:c r="D193" s="11" t="n">
        <x:v>54</x:v>
      </x:c>
      <x:c r="E193" s="2" t="str">
        <x:v>In house</x:v>
      </x:c>
      <x:c r="F193" s="11" t="n">
        <x:v>5</x:v>
      </x:c>
      <x:c r="G193" s="12" t="n">
        <x:v>0.39791666666666664</x:v>
      </x:c>
      <x:c r="H193" s="12" t="n">
        <x:v>0.4284722222222222</x:v>
      </x:c>
      <x:c r="I193" s="12" t="n">
        <x:v>0.4284722222222222</x:v>
      </x:c>
      <x:c r="J193" s="12" t="n">
        <x:v>0.4583333333333333</x:v>
      </x:c>
      <x:c r="K193" s="10" t="str">
        <x:v>16</x:v>
      </x:c>
      <x:c r="L193" s="2" t="str">
        <x:v>queued_meal</x:v>
      </x:c>
      <x:c r="M193" s="8" t="n">
        <x:f>IF(P193=1,ROUND((H193-G193)*1440,6),"")</x:f>
        <x:v>44</x:v>
      </x:c>
      <x:c r="N193" s="8" t="n">
        <x:f>IF(R193=1,M193,"")</x:f>
        <x:v>44</x:v>
      </x:c>
      <x:c r="O193" s="8" t="n">
        <x:f>IF(S193=1,ROUND((J193-I193)*1440,6),"")</x:f>
        <x:v>43</x:v>
      </x:c>
      <x:c r="P193" s="11" t="n">
        <x:v>1</x:v>
      </x:c>
      <x:c r="Q193" s="11" t="n">
        <x:v>0</x:v>
      </x:c>
      <x:c r="R193" s="11" t="n">
        <x:v>1</x:v>
      </x:c>
      <x:c r="S193" s="11" t="n">
        <x:v>1</x:v>
      </x:c>
      <x:c r="T193" s="11" t="n">
        <x:v>1</x:v>
      </x:c>
      <x:c r="U193" s="2" t="str">
        <x:v>needs_mapping</x:v>
      </x:c>
      <x:c r="V193" s="2"/>
      <x:c r="W193" s="11" t="n">
        <x:v>1</x:v>
      </x:c>
      <x:c r="X193" s="13" t="str">
        <x:v>รหัสโต๊ะต้องยืนยัน</x:v>
      </x:c>
    </x:row>
    <x:row r="194" ht="24" customHeight="1">
      <x:c r="A194" s="2" t="str">
        <x:v>153_55</x:v>
      </x:c>
      <x:c r="B194" s="10" t="str">
        <x:v>153</x:v>
      </x:c>
      <x:c r="C194" s="11" t="n">
        <x:v>56</x:v>
      </x:c>
      <x:c r="D194" s="11" t="n">
        <x:v>55</x:v>
      </x:c>
      <x:c r="E194" s="2" t="str">
        <x:v>In house</x:v>
      </x:c>
      <x:c r="F194" s="11" t="n">
        <x:v>4</x:v>
      </x:c>
      <x:c r="G194" s="12" t="n">
        <x:v>0.3993055555555556</x:v>
      </x:c>
      <x:c r="H194" s="12" t="n">
        <x:v>0.4375</x:v>
      </x:c>
      <x:c r="I194" s="12"/>
      <x:c r="J194" s="12"/>
      <x:c r="K194" s="10"/>
      <x:c r="L194" s="2" t="str">
        <x:v>walk_away</x:v>
      </x:c>
      <x:c r="M194" s="8" t="n">
        <x:f>IF(P194=1,ROUND((H194-G194)*1440,6),"")</x:f>
        <x:v>55</x:v>
      </x:c>
      <x:c r="N194" s="8" t="n">
        <x:f>IF(R194=1,M194,"")</x:f>
        <x:v>55</x:v>
      </x:c>
      <x:c r="O194" s="8" t="str">
        <x:f>IF(S194=1,ROUND((J194-I194)*1440,6),"")</x:f>
      </x:c>
      <x:c r="P194" s="11" t="n">
        <x:v>1</x:v>
      </x:c>
      <x:c r="Q194" s="11" t="n">
        <x:v>1</x:v>
      </x:c>
      <x:c r="R194" s="11" t="n">
        <x:v>1</x:v>
      </x:c>
      <x:c r="S194" s="11" t="n">
        <x:v>0</x:v>
      </x:c>
      <x:c r="T194" s="11" t="n">
        <x:v>1</x:v>
      </x:c>
      <x:c r="U194" s="2" t="str">
        <x:v>no_table</x:v>
      </x:c>
      <x:c r="V194" s="2"/>
      <x:c r="W194" s="11" t="n">
        <x:v>0</x:v>
      </x:c>
      <x:c r="X194" s="13"/>
    </x:row>
    <x:row r="195" ht="24" customHeight="1">
      <x:c r="A195" s="2" t="str">
        <x:v>153_56</x:v>
      </x:c>
      <x:c r="B195" s="10" t="str">
        <x:v>153</x:v>
      </x:c>
      <x:c r="C195" s="11" t="n">
        <x:v>57</x:v>
      </x:c>
      <x:c r="D195" s="11" t="n">
        <x:v>56</x:v>
      </x:c>
      <x:c r="E195" s="2" t="str">
        <x:v>Walk in</x:v>
      </x:c>
      <x:c r="F195" s="11" t="n">
        <x:v>2</x:v>
      </x:c>
      <x:c r="G195" s="12" t="n">
        <x:v>0.4</x:v>
      </x:c>
      <x:c r="H195" s="12" t="n">
        <x:v>0.4409722222222222</x:v>
      </x:c>
      <x:c r="I195" s="12" t="n">
        <x:v>0.4409722222222222</x:v>
      </x:c>
      <x:c r="J195" s="12" t="n">
        <x:v>0.4652777777777778</x:v>
      </x:c>
      <x:c r="K195" s="10" t="str">
        <x:v>2</x:v>
      </x:c>
      <x:c r="L195" s="2" t="str">
        <x:v>queued_meal</x:v>
      </x:c>
      <x:c r="M195" s="8" t="n">
        <x:f>IF(P195=1,ROUND((H195-G195)*1440,6),"")</x:f>
        <x:v>59</x:v>
      </x:c>
      <x:c r="N195" s="8" t="n">
        <x:f>IF(R195=1,M195,"")</x:f>
        <x:v>59</x:v>
      </x:c>
      <x:c r="O195" s="8" t="n">
        <x:f>IF(S195=1,ROUND((J195-I195)*1440,6),"")</x:f>
        <x:v>35</x:v>
      </x:c>
      <x:c r="P195" s="11" t="n">
        <x:v>1</x:v>
      </x:c>
      <x:c r="Q195" s="11" t="n">
        <x:v>0</x:v>
      </x:c>
      <x:c r="R195" s="11" t="n">
        <x:v>1</x:v>
      </x:c>
      <x:c r="S195" s="11" t="n">
        <x:v>1</x:v>
      </x:c>
      <x:c r="T195" s="11" t="n">
        <x:v>1</x:v>
      </x:c>
      <x:c r="U195" s="2" t="str">
        <x:v>needs_mapping</x:v>
      </x:c>
      <x:c r="V195" s="2"/>
      <x:c r="W195" s="11" t="n">
        <x:v>1</x:v>
      </x:c>
      <x:c r="X195" s="13" t="str">
        <x:v>รหัสโต๊ะต้องยืนยัน</x:v>
      </x:c>
    </x:row>
    <x:row r="196" ht="24" customHeight="1">
      <x:c r="A196" s="2" t="str">
        <x:v>153_57</x:v>
      </x:c>
      <x:c r="B196" s="10" t="str">
        <x:v>153</x:v>
      </x:c>
      <x:c r="C196" s="11" t="n">
        <x:v>58</x:v>
      </x:c>
      <x:c r="D196" s="11" t="n">
        <x:v>57</x:v>
      </x:c>
      <x:c r="E196" s="2" t="str">
        <x:v>Walk in</x:v>
      </x:c>
      <x:c r="F196" s="11" t="n">
        <x:v>1</x:v>
      </x:c>
      <x:c r="G196" s="12" t="n">
        <x:v>0.40069444444444446</x:v>
      </x:c>
      <x:c r="H196" s="12" t="n">
        <x:v>0.4479166666666667</x:v>
      </x:c>
      <x:c r="I196" s="12" t="n">
        <x:v>0.4479166666666667</x:v>
      </x:c>
      <x:c r="J196" s="12" t="n">
        <x:v>0.46875</x:v>
      </x:c>
      <x:c r="K196" s="10" t="str">
        <x:v>7A</x:v>
      </x:c>
      <x:c r="L196" s="2" t="str">
        <x:v>queued_meal</x:v>
      </x:c>
      <x:c r="M196" s="8" t="n">
        <x:f>IF(P196=1,ROUND((H196-G196)*1440,6),"")</x:f>
        <x:v>68</x:v>
      </x:c>
      <x:c r="N196" s="8" t="n">
        <x:f>IF(R196=1,M196,"")</x:f>
        <x:v>68</x:v>
      </x:c>
      <x:c r="O196" s="8" t="n">
        <x:f>IF(S196=1,ROUND((J196-I196)*1440,6),"")</x:f>
        <x:v>30</x:v>
      </x:c>
      <x:c r="P196" s="11" t="n">
        <x:v>1</x:v>
      </x:c>
      <x:c r="Q196" s="11" t="n">
        <x:v>0</x:v>
      </x:c>
      <x:c r="R196" s="11" t="n">
        <x:v>1</x:v>
      </x:c>
      <x:c r="S196" s="11" t="n">
        <x:v>1</x:v>
      </x:c>
      <x:c r="T196" s="11" t="n">
        <x:v>1</x:v>
      </x:c>
      <x:c r="U196" s="2" t="str">
        <x:v>documented</x:v>
      </x:c>
      <x:c r="V196" s="2" t="str">
        <x:v>7A</x:v>
      </x:c>
      <x:c r="W196" s="11" t="n">
        <x:v>0</x:v>
      </x:c>
      <x:c r="X196" s="13"/>
    </x:row>
    <x:row r="197" ht="24" customHeight="1">
      <x:c r="A197" s="2" t="str">
        <x:v>153_58</x:v>
      </x:c>
      <x:c r="B197" s="10" t="str">
        <x:v>153</x:v>
      </x:c>
      <x:c r="C197" s="11" t="n">
        <x:v>59</x:v>
      </x:c>
      <x:c r="D197" s="11" t="n">
        <x:v>58</x:v>
      </x:c>
      <x:c r="E197" s="2" t="str">
        <x:v>Walk in</x:v>
      </x:c>
      <x:c r="F197" s="11" t="n">
        <x:v>2</x:v>
      </x:c>
      <x:c r="G197" s="12" t="n">
        <x:v>0.40069444444444446</x:v>
      </x:c>
      <x:c r="H197" s="12" t="n">
        <x:v>0.4083333333333333</x:v>
      </x:c>
      <x:c r="I197" s="12"/>
      <x:c r="J197" s="12"/>
      <x:c r="K197" s="10"/>
      <x:c r="L197" s="2" t="str">
        <x:v>walk_away</x:v>
      </x:c>
      <x:c r="M197" s="8" t="n">
        <x:f>IF(P197=1,ROUND((H197-G197)*1440,6),"")</x:f>
        <x:v>11</x:v>
      </x:c>
      <x:c r="N197" s="8" t="n">
        <x:f>IF(R197=1,M197,"")</x:f>
        <x:v>11</x:v>
      </x:c>
      <x:c r="O197" s="8" t="str">
        <x:f>IF(S197=1,ROUND((J197-I197)*1440,6),"")</x:f>
      </x:c>
      <x:c r="P197" s="11" t="n">
        <x:v>1</x:v>
      </x:c>
      <x:c r="Q197" s="11" t="n">
        <x:v>1</x:v>
      </x:c>
      <x:c r="R197" s="11" t="n">
        <x:v>1</x:v>
      </x:c>
      <x:c r="S197" s="11" t="n">
        <x:v>0</x:v>
      </x:c>
      <x:c r="T197" s="11" t="n">
        <x:v>1</x:v>
      </x:c>
      <x:c r="U197" s="2" t="str">
        <x:v>no_table</x:v>
      </x:c>
      <x:c r="V197" s="2"/>
      <x:c r="W197" s="11" t="n">
        <x:v>0</x:v>
      </x:c>
      <x:c r="X197" s="13"/>
    </x:row>
    <x:row r="198" ht="24" customHeight="1">
      <x:c r="A198" s="2" t="str">
        <x:v>153_59</x:v>
      </x:c>
      <x:c r="B198" s="10" t="str">
        <x:v>153</x:v>
      </x:c>
      <x:c r="C198" s="11" t="n">
        <x:v>60</x:v>
      </x:c>
      <x:c r="D198" s="11" t="n">
        <x:v>59</x:v>
      </x:c>
      <x:c r="E198" s="2" t="str">
        <x:v>In house</x:v>
      </x:c>
      <x:c r="F198" s="11" t="n">
        <x:v>2</x:v>
      </x:c>
      <x:c r="G198" s="12" t="n">
        <x:v>0.4013888888888889</x:v>
      </x:c>
      <x:c r="H198" s="12" t="n">
        <x:v>0.4479166666666667</x:v>
      </x:c>
      <x:c r="I198" s="12" t="n">
        <x:v>0.4479166666666667</x:v>
      </x:c>
      <x:c r="J198" s="12" t="n">
        <x:v>0.4791666666666667</x:v>
      </x:c>
      <x:c r="K198" s="10" t="str">
        <x:v>4B/5A</x:v>
      </x:c>
      <x:c r="L198" s="2" t="str">
        <x:v>queued_meal</x:v>
      </x:c>
      <x:c r="M198" s="8" t="n">
        <x:f>IF(P198=1,ROUND((H198-G198)*1440,6),"")</x:f>
        <x:v>67</x:v>
      </x:c>
      <x:c r="N198" s="8" t="n">
        <x:f>IF(R198=1,M198,"")</x:f>
        <x:v>67</x:v>
      </x:c>
      <x:c r="O198" s="8" t="n">
        <x:f>IF(S198=1,ROUND((J198-I198)*1440,6),"")</x:f>
        <x:v>45</x:v>
      </x:c>
      <x:c r="P198" s="11" t="n">
        <x:v>1</x:v>
      </x:c>
      <x:c r="Q198" s="11" t="n">
        <x:v>0</x:v>
      </x:c>
      <x:c r="R198" s="11" t="n">
        <x:v>1</x:v>
      </x:c>
      <x:c r="S198" s="11" t="n">
        <x:v>1</x:v>
      </x:c>
      <x:c r="T198" s="11" t="n">
        <x:v>1</x:v>
      </x:c>
      <x:c r="U198" s="2" t="str">
        <x:v>slash_needs_confirmation</x:v>
      </x:c>
      <x:c r="V198" s="2"/>
      <x:c r="W198" s="11" t="n">
        <x:v>1</x:v>
      </x:c>
      <x:c r="X198" s="13" t="str">
        <x:v>รหัสโต๊ะต้องยืนยัน</x:v>
      </x:c>
    </x:row>
    <x:row r="199" ht="24" customHeight="1">
      <x:c r="A199" s="2" t="str">
        <x:v>153_60</x:v>
      </x:c>
      <x:c r="B199" s="10" t="str">
        <x:v>153</x:v>
      </x:c>
      <x:c r="C199" s="11" t="n">
        <x:v>61</x:v>
      </x:c>
      <x:c r="D199" s="11" t="n">
        <x:v>60</x:v>
      </x:c>
      <x:c r="E199" s="2" t="str">
        <x:v>Walk in</x:v>
      </x:c>
      <x:c r="F199" s="11"/>
      <x:c r="G199" s="12" t="n">
        <x:v>0.4027777777777778</x:v>
      </x:c>
      <x:c r="H199" s="12" t="n">
        <x:v>0.45</x:v>
      </x:c>
      <x:c r="I199" s="12"/>
      <x:c r="J199" s="12"/>
      <x:c r="K199" s="10"/>
      <x:c r="L199" s="2" t="str">
        <x:v>walk_away</x:v>
      </x:c>
      <x:c r="M199" s="8" t="n">
        <x:f>IF(P199=1,ROUND((H199-G199)*1440,6),"")</x:f>
        <x:v>68</x:v>
      </x:c>
      <x:c r="N199" s="8" t="n">
        <x:f>IF(R199=1,M199,"")</x:f>
        <x:v>68</x:v>
      </x:c>
      <x:c r="O199" s="8" t="str">
        <x:f>IF(S199=1,ROUND((J199-I199)*1440,6),"")</x:f>
      </x:c>
      <x:c r="P199" s="11" t="n">
        <x:v>1</x:v>
      </x:c>
      <x:c r="Q199" s="11" t="n">
        <x:v>1</x:v>
      </x:c>
      <x:c r="R199" s="11" t="n">
        <x:v>1</x:v>
      </x:c>
      <x:c r="S199" s="11" t="n">
        <x:v>0</x:v>
      </x:c>
      <x:c r="T199" s="11" t="n">
        <x:v>0</x:v>
      </x:c>
      <x:c r="U199" s="2" t="str">
        <x:v>no_table</x:v>
      </x:c>
      <x:c r="V199" s="2"/>
      <x:c r="W199" s="11" t="n">
        <x:v>1</x:v>
      </x:c>
      <x:c r="X199" s="13" t="str">
        <x:v>จำนวนคนไม่ถูกต้อง</x:v>
      </x:c>
    </x:row>
    <x:row r="200" ht="24" customHeight="1">
      <x:c r="A200" s="2" t="str">
        <x:v>153_61</x:v>
      </x:c>
      <x:c r="B200" s="10" t="str">
        <x:v>153</x:v>
      </x:c>
      <x:c r="C200" s="11" t="n">
        <x:v>62</x:v>
      </x:c>
      <x:c r="D200" s="11" t="n">
        <x:v>61</x:v>
      </x:c>
      <x:c r="E200" s="2" t="str">
        <x:v>Walk in</x:v>
      </x:c>
      <x:c r="F200" s="11" t="n">
        <x:v>2</x:v>
      </x:c>
      <x:c r="G200" s="12" t="n">
        <x:v>0.4041666666666667</x:v>
      </x:c>
      <x:c r="H200" s="12" t="n">
        <x:v>0.4513888888888889</x:v>
      </x:c>
      <x:c r="I200" s="12" t="n">
        <x:v>0.4513888888888889</x:v>
      </x:c>
      <x:c r="J200" s="12" t="n">
        <x:v>0.4965277777777778</x:v>
      </x:c>
      <x:c r="K200" s="10" t="str">
        <x:v>15A</x:v>
      </x:c>
      <x:c r="L200" s="2" t="str">
        <x:v>queued_meal</x:v>
      </x:c>
      <x:c r="M200" s="8" t="n">
        <x:f>IF(P200=1,ROUND((H200-G200)*1440,6),"")</x:f>
        <x:v>68</x:v>
      </x:c>
      <x:c r="N200" s="8" t="n">
        <x:f>IF(R200=1,M200,"")</x:f>
        <x:v>68</x:v>
      </x:c>
      <x:c r="O200" s="8" t="n">
        <x:f>IF(S200=1,ROUND((J200-I200)*1440,6),"")</x:f>
        <x:v>65</x:v>
      </x:c>
      <x:c r="P200" s="11" t="n">
        <x:v>1</x:v>
      </x:c>
      <x:c r="Q200" s="11" t="n">
        <x:v>0</x:v>
      </x:c>
      <x:c r="R200" s="11" t="n">
        <x:v>1</x:v>
      </x:c>
      <x:c r="S200" s="11" t="n">
        <x:v>1</x:v>
      </x:c>
      <x:c r="T200" s="11" t="n">
        <x:v>1</x:v>
      </x:c>
      <x:c r="U200" s="2" t="str">
        <x:v>needs_mapping</x:v>
      </x:c>
      <x:c r="V200" s="2"/>
      <x:c r="W200" s="11" t="n">
        <x:v>1</x:v>
      </x:c>
      <x:c r="X200" s="13" t="str">
        <x:v>รหัสโต๊ะต้องยืนยัน</x:v>
      </x:c>
    </x:row>
    <x:row r="201" ht="24" customHeight="1">
      <x:c r="A201" s="2" t="str">
        <x:v>153_62</x:v>
      </x:c>
      <x:c r="B201" s="10" t="str">
        <x:v>153</x:v>
      </x:c>
      <x:c r="C201" s="11" t="n">
        <x:v>63</x:v>
      </x:c>
      <x:c r="D201" s="11" t="n">
        <x:v>62</x:v>
      </x:c>
      <x:c r="E201" s="2" t="str">
        <x:v>Walk in</x:v>
      </x:c>
      <x:c r="F201" s="11" t="n">
        <x:v>2</x:v>
      </x:c>
      <x:c r="G201" s="12" t="n">
        <x:v>0.40625</x:v>
      </x:c>
      <x:c r="H201" s="12" t="n">
        <x:v>0.4513888888888889</x:v>
      </x:c>
      <x:c r="I201" s="12" t="n">
        <x:v>0.4513888888888889</x:v>
      </x:c>
      <x:c r="J201" s="12" t="n">
        <x:v>0.47638888888888886</x:v>
      </x:c>
      <x:c r="K201" s="10" t="str">
        <x:v>15B</x:v>
      </x:c>
      <x:c r="L201" s="2" t="str">
        <x:v>queued_meal</x:v>
      </x:c>
      <x:c r="M201" s="8" t="n">
        <x:f>IF(P201=1,ROUND((H201-G201)*1440,6),"")</x:f>
        <x:v>65</x:v>
      </x:c>
      <x:c r="N201" s="8" t="n">
        <x:f>IF(R201=1,M201,"")</x:f>
        <x:v>65</x:v>
      </x:c>
      <x:c r="O201" s="8" t="n">
        <x:f>IF(S201=1,ROUND((J201-I201)*1440,6),"")</x:f>
        <x:v>36</x:v>
      </x:c>
      <x:c r="P201" s="11" t="n">
        <x:v>1</x:v>
      </x:c>
      <x:c r="Q201" s="11" t="n">
        <x:v>0</x:v>
      </x:c>
      <x:c r="R201" s="11" t="n">
        <x:v>1</x:v>
      </x:c>
      <x:c r="S201" s="11" t="n">
        <x:v>1</x:v>
      </x:c>
      <x:c r="T201" s="11" t="n">
        <x:v>1</x:v>
      </x:c>
      <x:c r="U201" s="2" t="str">
        <x:v>needs_mapping</x:v>
      </x:c>
      <x:c r="V201" s="2"/>
      <x:c r="W201" s="11" t="n">
        <x:v>1</x:v>
      </x:c>
      <x:c r="X201" s="13" t="str">
        <x:v>รหัสโต๊ะต้องยืนยัน</x:v>
      </x:c>
    </x:row>
    <x:row r="202" ht="24" customHeight="1">
      <x:c r="A202" s="2" t="str">
        <x:v>153_63</x:v>
      </x:c>
      <x:c r="B202" s="10" t="str">
        <x:v>153</x:v>
      </x:c>
      <x:c r="C202" s="11" t="n">
        <x:v>64</x:v>
      </x:c>
      <x:c r="D202" s="11" t="n">
        <x:v>63</x:v>
      </x:c>
      <x:c r="E202" s="2" t="str">
        <x:v>In house</x:v>
      </x:c>
      <x:c r="F202" s="11" t="n">
        <x:v>2</x:v>
      </x:c>
      <x:c r="G202" s="12" t="n">
        <x:v>0.40694444444444444</x:v>
      </x:c>
      <x:c r="H202" s="12" t="n">
        <x:v>0.4548611111111111</x:v>
      </x:c>
      <x:c r="I202" s="12" t="n">
        <x:v>0.4548611111111111</x:v>
      </x:c>
      <x:c r="J202" s="12" t="n">
        <x:v>0.5048611111111111</x:v>
      </x:c>
      <x:c r="K202" s="10" t="str">
        <x:v>8B</x:v>
      </x:c>
      <x:c r="L202" s="2" t="str">
        <x:v>queued_meal</x:v>
      </x:c>
      <x:c r="M202" s="8" t="n">
        <x:f>IF(P202=1,ROUND((H202-G202)*1440,6),"")</x:f>
        <x:v>69</x:v>
      </x:c>
      <x:c r="N202" s="8" t="n">
        <x:f>IF(R202=1,M202,"")</x:f>
        <x:v>69</x:v>
      </x:c>
      <x:c r="O202" s="8" t="n">
        <x:f>IF(S202=1,ROUND((J202-I202)*1440,6),"")</x:f>
        <x:v>72</x:v>
      </x:c>
      <x:c r="P202" s="11" t="n">
        <x:v>1</x:v>
      </x:c>
      <x:c r="Q202" s="11" t="n">
        <x:v>0</x:v>
      </x:c>
      <x:c r="R202" s="11" t="n">
        <x:v>1</x:v>
      </x:c>
      <x:c r="S202" s="11" t="n">
        <x:v>1</x:v>
      </x:c>
      <x:c r="T202" s="11" t="n">
        <x:v>1</x:v>
      </x:c>
      <x:c r="U202" s="2" t="str">
        <x:v>documented</x:v>
      </x:c>
      <x:c r="V202" s="2" t="str">
        <x:v>8B</x:v>
      </x:c>
      <x:c r="W202" s="11" t="n">
        <x:v>0</x:v>
      </x:c>
      <x:c r="X202" s="13"/>
    </x:row>
    <x:row r="203" ht="24" customHeight="1">
      <x:c r="A203" s="2" t="str">
        <x:v>153_64</x:v>
      </x:c>
      <x:c r="B203" s="10" t="str">
        <x:v>153</x:v>
      </x:c>
      <x:c r="C203" s="11" t="n">
        <x:v>65</x:v>
      </x:c>
      <x:c r="D203" s="11" t="n">
        <x:v>64</x:v>
      </x:c>
      <x:c r="E203" s="2" t="str">
        <x:v>Walk in</x:v>
      </x:c>
      <x:c r="F203" s="11" t="n">
        <x:v>2</x:v>
      </x:c>
      <x:c r="G203" s="12" t="n">
        <x:v>0.4076388888888889</x:v>
      </x:c>
      <x:c r="H203" s="12" t="n">
        <x:v>0.46041666666666664</x:v>
      </x:c>
      <x:c r="I203" s="12" t="n">
        <x:v>0.46041666666666664</x:v>
      </x:c>
      <x:c r="J203" s="12" t="n">
        <x:v>0.48819444444444443</x:v>
      </x:c>
      <x:c r="K203" s="10" t="str">
        <x:v>7C</x:v>
      </x:c>
      <x:c r="L203" s="2" t="str">
        <x:v>queued_meal</x:v>
      </x:c>
      <x:c r="M203" s="8" t="n">
        <x:f>IF(P203=1,ROUND((H203-G203)*1440,6),"")</x:f>
        <x:v>76</x:v>
      </x:c>
      <x:c r="N203" s="8" t="n">
        <x:f>IF(R203=1,M203,"")</x:f>
        <x:v>76</x:v>
      </x:c>
      <x:c r="O203" s="8" t="n">
        <x:f>IF(S203=1,ROUND((J203-I203)*1440,6),"")</x:f>
        <x:v>40</x:v>
      </x:c>
      <x:c r="P203" s="11" t="n">
        <x:v>1</x:v>
      </x:c>
      <x:c r="Q203" s="11" t="n">
        <x:v>0</x:v>
      </x:c>
      <x:c r="R203" s="11" t="n">
        <x:v>1</x:v>
      </x:c>
      <x:c r="S203" s="11" t="n">
        <x:v>1</x:v>
      </x:c>
      <x:c r="T203" s="11" t="n">
        <x:v>1</x:v>
      </x:c>
      <x:c r="U203" s="2" t="str">
        <x:v>documented</x:v>
      </x:c>
      <x:c r="V203" s="2" t="str">
        <x:v>7C</x:v>
      </x:c>
      <x:c r="W203" s="11" t="n">
        <x:v>0</x:v>
      </x:c>
      <x:c r="X203" s="13"/>
    </x:row>
    <x:row r="204" ht="24" customHeight="1">
      <x:c r="A204" s="2" t="str">
        <x:v>153_65</x:v>
      </x:c>
      <x:c r="B204" s="10" t="str">
        <x:v>153</x:v>
      </x:c>
      <x:c r="C204" s="11" t="n">
        <x:v>66</x:v>
      </x:c>
      <x:c r="D204" s="11" t="n">
        <x:v>65</x:v>
      </x:c>
      <x:c r="E204" s="2" t="str">
        <x:v>Walk in</x:v>
      </x:c>
      <x:c r="F204" s="11" t="n">
        <x:v>2</x:v>
      </x:c>
      <x:c r="G204" s="12" t="n">
        <x:v>0.41458333333333336</x:v>
      </x:c>
      <x:c r="H204" s="12" t="n">
        <x:v>0.4618055555555556</x:v>
      </x:c>
      <x:c r="I204" s="12"/>
      <x:c r="J204" s="12"/>
      <x:c r="K204" s="10"/>
      <x:c r="L204" s="2" t="str">
        <x:v>walk_away</x:v>
      </x:c>
      <x:c r="M204" s="8" t="n">
        <x:f>IF(P204=1,ROUND((H204-G204)*1440,6),"")</x:f>
        <x:v>68</x:v>
      </x:c>
      <x:c r="N204" s="8" t="n">
        <x:f>IF(R204=1,M204,"")</x:f>
        <x:v>68</x:v>
      </x:c>
      <x:c r="O204" s="8" t="str">
        <x:f>IF(S204=1,ROUND((J204-I204)*1440,6),"")</x:f>
      </x:c>
      <x:c r="P204" s="11" t="n">
        <x:v>1</x:v>
      </x:c>
      <x:c r="Q204" s="11" t="n">
        <x:v>1</x:v>
      </x:c>
      <x:c r="R204" s="11" t="n">
        <x:v>1</x:v>
      </x:c>
      <x:c r="S204" s="11" t="n">
        <x:v>0</x:v>
      </x:c>
      <x:c r="T204" s="11" t="n">
        <x:v>1</x:v>
      </x:c>
      <x:c r="U204" s="2" t="str">
        <x:v>no_table</x:v>
      </x:c>
      <x:c r="V204" s="2"/>
      <x:c r="W204" s="11" t="n">
        <x:v>0</x:v>
      </x:c>
      <x:c r="X204" s="13"/>
    </x:row>
    <x:row r="205" ht="24" customHeight="1">
      <x:c r="A205" s="2" t="str">
        <x:v>153_66</x:v>
      </x:c>
      <x:c r="B205" s="10" t="str">
        <x:v>153</x:v>
      </x:c>
      <x:c r="C205" s="11" t="n">
        <x:v>67</x:v>
      </x:c>
      <x:c r="D205" s="11" t="n">
        <x:v>66</x:v>
      </x:c>
      <x:c r="E205" s="2" t="str">
        <x:v>Walk in</x:v>
      </x:c>
      <x:c r="F205" s="11" t="n">
        <x:v>4</x:v>
      </x:c>
      <x:c r="G205" s="12" t="n">
        <x:v>0.4215277777777778</x:v>
      </x:c>
      <x:c r="H205" s="12" t="n">
        <x:v>0.4618055555555556</x:v>
      </x:c>
      <x:c r="I205" s="12" t="n">
        <x:v>0.4618055555555556</x:v>
      </x:c>
      <x:c r="J205" s="12" t="n">
        <x:v>0.5173611111111112</x:v>
      </x:c>
      <x:c r="K205" s="10" t="str">
        <x:v>3</x:v>
      </x:c>
      <x:c r="L205" s="2" t="str">
        <x:v>queued_meal</x:v>
      </x:c>
      <x:c r="M205" s="8" t="n">
        <x:f>IF(P205=1,ROUND((H205-G205)*1440,6),"")</x:f>
        <x:v>58</x:v>
      </x:c>
      <x:c r="N205" s="8" t="n">
        <x:f>IF(R205=1,M205,"")</x:f>
        <x:v>58</x:v>
      </x:c>
      <x:c r="O205" s="8" t="n">
        <x:f>IF(S205=1,ROUND((J205-I205)*1440,6),"")</x:f>
        <x:v>80</x:v>
      </x:c>
      <x:c r="P205" s="11" t="n">
        <x:v>1</x:v>
      </x:c>
      <x:c r="Q205" s="11" t="n">
        <x:v>0</x:v>
      </x:c>
      <x:c r="R205" s="11" t="n">
        <x:v>1</x:v>
      </x:c>
      <x:c r="S205" s="11" t="n">
        <x:v>1</x:v>
      </x:c>
      <x:c r="T205" s="11" t="n">
        <x:v>1</x:v>
      </x:c>
      <x:c r="U205" s="2" t="str">
        <x:v>needs_mapping</x:v>
      </x:c>
      <x:c r="V205" s="2"/>
      <x:c r="W205" s="11" t="n">
        <x:v>1</x:v>
      </x:c>
      <x:c r="X205" s="13" t="str">
        <x:v>รหัสโต๊ะต้องยืนยัน</x:v>
      </x:c>
    </x:row>
    <x:row r="206" ht="24" customHeight="1">
      <x:c r="A206" s="2" t="str">
        <x:v>153_67</x:v>
      </x:c>
      <x:c r="B206" s="10" t="str">
        <x:v>153</x:v>
      </x:c>
      <x:c r="C206" s="11" t="n">
        <x:v>68</x:v>
      </x:c>
      <x:c r="D206" s="11" t="n">
        <x:v>67</x:v>
      </x:c>
      <x:c r="E206" s="2" t="str">
        <x:v>Walk in</x:v>
      </x:c>
      <x:c r="F206" s="11" t="n">
        <x:v>2</x:v>
      </x:c>
      <x:c r="G206" s="12" t="n">
        <x:v>0.4270833333333333</x:v>
      </x:c>
      <x:c r="H206" s="12" t="n">
        <x:v>0.4625</x:v>
      </x:c>
      <x:c r="I206" s="12"/>
      <x:c r="J206" s="12"/>
      <x:c r="K206" s="10" t="str">
        <x:v>10A</x:v>
      </x:c>
      <x:c r="L206" s="2" t="str">
        <x:v>queued_meal</x:v>
      </x:c>
      <x:c r="M206" s="8" t="n">
        <x:f>IF(P206=1,ROUND((H206-G206)*1440,6),"")</x:f>
        <x:v>51</x:v>
      </x:c>
      <x:c r="N206" s="8" t="str">
        <x:f>IF(R206=1,M206,"")</x:f>
      </x:c>
      <x:c r="O206" s="8" t="str">
        <x:f>IF(S206=1,ROUND((J206-I206)*1440,6),"")</x:f>
      </x:c>
      <x:c r="P206" s="11" t="n">
        <x:v>1</x:v>
      </x:c>
      <x:c r="Q206" s="11" t="n">
        <x:v>0</x:v>
      </x:c>
      <x:c r="R206" s="11" t="n">
        <x:v>0</x:v>
      </x:c>
      <x:c r="S206" s="11" t="n">
        <x:v>0</x:v>
      </x:c>
      <x:c r="T206" s="11" t="n">
        <x:v>1</x:v>
      </x:c>
      <x:c r="U206" s="2" t="str">
        <x:v>documented</x:v>
      </x:c>
      <x:c r="V206" s="2" t="str">
        <x:v>10A</x:v>
      </x:c>
      <x:c r="W206" s="11" t="n">
        <x:v>1</x:v>
      </x:c>
      <x:c r="X206" s="13" t="str">
        <x:v>เวลาคิวและมื้ออาหารขัดกัน</x:v>
      </x:c>
    </x:row>
    <x:row r="207" ht="24" customHeight="1">
      <x:c r="A207" s="2" t="str">
        <x:v>153_68</x:v>
      </x:c>
      <x:c r="B207" s="10" t="str">
        <x:v>153</x:v>
      </x:c>
      <x:c r="C207" s="11" t="n">
        <x:v>69</x:v>
      </x:c>
      <x:c r="D207" s="11" t="n">
        <x:v>68</x:v>
      </x:c>
      <x:c r="E207" s="2" t="str">
        <x:v>Walk in</x:v>
      </x:c>
      <x:c r="F207" s="11" t="n">
        <x:v>2</x:v>
      </x:c>
      <x:c r="G207" s="12" t="n">
        <x:v>0.3819444444444444</x:v>
      </x:c>
      <x:c r="H207" s="12" t="n">
        <x:v>0.4375</x:v>
      </x:c>
      <x:c r="I207" s="12" t="n">
        <x:v>0.4375</x:v>
      </x:c>
      <x:c r="J207" s="12" t="n">
        <x:v>0.5069444444444444</x:v>
      </x:c>
      <x:c r="K207" s="10" t="str">
        <x:v>5B</x:v>
      </x:c>
      <x:c r="L207" s="2" t="str">
        <x:v>queued_meal</x:v>
      </x:c>
      <x:c r="M207" s="8" t="n">
        <x:f>IF(P207=1,ROUND((H207-G207)*1440,6),"")</x:f>
        <x:v>80</x:v>
      </x:c>
      <x:c r="N207" s="8" t="n">
        <x:f>IF(R207=1,M207,"")</x:f>
        <x:v>80</x:v>
      </x:c>
      <x:c r="O207" s="8" t="n">
        <x:f>IF(S207=1,ROUND((J207-I207)*1440,6),"")</x:f>
        <x:v>100</x:v>
      </x:c>
      <x:c r="P207" s="11" t="n">
        <x:v>1</x:v>
      </x:c>
      <x:c r="Q207" s="11" t="n">
        <x:v>0</x:v>
      </x:c>
      <x:c r="R207" s="11" t="n">
        <x:v>1</x:v>
      </x:c>
      <x:c r="S207" s="11" t="n">
        <x:v>1</x:v>
      </x:c>
      <x:c r="T207" s="11" t="n">
        <x:v>1</x:v>
      </x:c>
      <x:c r="U207" s="2" t="str">
        <x:v>documented</x:v>
      </x:c>
      <x:c r="V207" s="2" t="str">
        <x:v>5B</x:v>
      </x:c>
      <x:c r="W207" s="11" t="n">
        <x:v>0</x:v>
      </x:c>
      <x:c r="X207" s="13"/>
    </x:row>
    <x:row r="208" ht="24" customHeight="1">
      <x:c r="A208" s="2" t="str">
        <x:v>153_69</x:v>
      </x:c>
      <x:c r="B208" s="10" t="str">
        <x:v>153</x:v>
      </x:c>
      <x:c r="C208" s="11" t="n">
        <x:v>70</x:v>
      </x:c>
      <x:c r="D208" s="11" t="n">
        <x:v>69</x:v>
      </x:c>
      <x:c r="E208" s="2" t="str">
        <x:v>Walk in</x:v>
      </x:c>
      <x:c r="F208" s="11" t="n">
        <x:v>1</x:v>
      </x:c>
      <x:c r="G208" s="12" t="n">
        <x:v>0.4326388888888889</x:v>
      </x:c>
      <x:c r="H208" s="12" t="n">
        <x:v>0.46458333333333335</x:v>
      </x:c>
      <x:c r="I208" s="12" t="n">
        <x:v>0.46458333333333335</x:v>
      </x:c>
      <x:c r="J208" s="12" t="n">
        <x:v>0.5138888888888888</x:v>
      </x:c>
      <x:c r="K208" s="10" t="str">
        <x:v>4A</x:v>
      </x:c>
      <x:c r="L208" s="2" t="str">
        <x:v>queued_meal</x:v>
      </x:c>
      <x:c r="M208" s="8" t="n">
        <x:f>IF(P208=1,ROUND((H208-G208)*1440,6),"")</x:f>
        <x:v>46</x:v>
      </x:c>
      <x:c r="N208" s="8" t="n">
        <x:f>IF(R208=1,M208,"")</x:f>
        <x:v>46</x:v>
      </x:c>
      <x:c r="O208" s="8" t="n">
        <x:f>IF(S208=1,ROUND((J208-I208)*1440,6),"")</x:f>
        <x:v>71</x:v>
      </x:c>
      <x:c r="P208" s="11" t="n">
        <x:v>1</x:v>
      </x:c>
      <x:c r="Q208" s="11" t="n">
        <x:v>0</x:v>
      </x:c>
      <x:c r="R208" s="11" t="n">
        <x:v>1</x:v>
      </x:c>
      <x:c r="S208" s="11" t="n">
        <x:v>1</x:v>
      </x:c>
      <x:c r="T208" s="11" t="n">
        <x:v>1</x:v>
      </x:c>
      <x:c r="U208" s="2" t="str">
        <x:v>documented</x:v>
      </x:c>
      <x:c r="V208" s="2" t="str">
        <x:v>4A</x:v>
      </x:c>
      <x:c r="W208" s="11" t="n">
        <x:v>0</x:v>
      </x:c>
      <x:c r="X208" s="13"/>
    </x:row>
    <x:row r="209" ht="24" customHeight="1">
      <x:c r="A209" s="2" t="str">
        <x:v>153_70</x:v>
      </x:c>
      <x:c r="B209" s="10" t="str">
        <x:v>153</x:v>
      </x:c>
      <x:c r="C209" s="11" t="n">
        <x:v>71</x:v>
      </x:c>
      <x:c r="D209" s="11" t="n">
        <x:v>70</x:v>
      </x:c>
      <x:c r="E209" s="2" t="str">
        <x:v>Walk in</x:v>
      </x:c>
      <x:c r="F209" s="11" t="n">
        <x:v>1</x:v>
      </x:c>
      <x:c r="G209" s="12" t="n">
        <x:v>0.43333333333333335</x:v>
      </x:c>
      <x:c r="H209" s="12" t="n">
        <x:v>0.46458333333333335</x:v>
      </x:c>
      <x:c r="I209" s="12" t="n">
        <x:v>0.46458333333333335</x:v>
      </x:c>
      <x:c r="J209" s="12" t="n">
        <x:v>0.5069444444444444</x:v>
      </x:c>
      <x:c r="K209" s="10" t="str">
        <x:v>8A</x:v>
      </x:c>
      <x:c r="L209" s="2" t="str">
        <x:v>queued_meal</x:v>
      </x:c>
      <x:c r="M209" s="8" t="n">
        <x:f>IF(P209=1,ROUND((H209-G209)*1440,6),"")</x:f>
        <x:v>45</x:v>
      </x:c>
      <x:c r="N209" s="8" t="n">
        <x:f>IF(R209=1,M209,"")</x:f>
        <x:v>45</x:v>
      </x:c>
      <x:c r="O209" s="8" t="n">
        <x:f>IF(S209=1,ROUND((J209-I209)*1440,6),"")</x:f>
        <x:v>61</x:v>
      </x:c>
      <x:c r="P209" s="11" t="n">
        <x:v>1</x:v>
      </x:c>
      <x:c r="Q209" s="11" t="n">
        <x:v>0</x:v>
      </x:c>
      <x:c r="R209" s="11" t="n">
        <x:v>1</x:v>
      </x:c>
      <x:c r="S209" s="11" t="n">
        <x:v>1</x:v>
      </x:c>
      <x:c r="T209" s="11" t="n">
        <x:v>1</x:v>
      </x:c>
      <x:c r="U209" s="2" t="str">
        <x:v>documented</x:v>
      </x:c>
      <x:c r="V209" s="2" t="str">
        <x:v>8A</x:v>
      </x:c>
      <x:c r="W209" s="11" t="n">
        <x:v>0</x:v>
      </x:c>
      <x:c r="X209" s="13"/>
    </x:row>
    <x:row r="210" ht="24" customHeight="1">
      <x:c r="A210" s="2" t="str">
        <x:v>153_71</x:v>
      </x:c>
      <x:c r="B210" s="10" t="str">
        <x:v>153</x:v>
      </x:c>
      <x:c r="C210" s="11" t="n">
        <x:v>72</x:v>
      </x:c>
      <x:c r="D210" s="11" t="n">
        <x:v>71</x:v>
      </x:c>
      <x:c r="E210" s="2" t="str">
        <x:v>Walk in</x:v>
      </x:c>
      <x:c r="F210" s="11" t="n">
        <x:v>1</x:v>
      </x:c>
      <x:c r="G210" s="12" t="n">
        <x:v>0.4340277777777778</x:v>
      </x:c>
      <x:c r="H210" s="12" t="n">
        <x:v>0.46875</x:v>
      </x:c>
      <x:c r="I210" s="12"/>
      <x:c r="J210" s="12"/>
      <x:c r="K210" s="10"/>
      <x:c r="L210" s="2" t="str">
        <x:v>walk_away</x:v>
      </x:c>
      <x:c r="M210" s="8" t="n">
        <x:f>IF(P210=1,ROUND((H210-G210)*1440,6),"")</x:f>
        <x:v>50</x:v>
      </x:c>
      <x:c r="N210" s="8" t="n">
        <x:f>IF(R210=1,M210,"")</x:f>
        <x:v>50</x:v>
      </x:c>
      <x:c r="O210" s="8" t="str">
        <x:f>IF(S210=1,ROUND((J210-I210)*1440,6),"")</x:f>
      </x:c>
      <x:c r="P210" s="11" t="n">
        <x:v>1</x:v>
      </x:c>
      <x:c r="Q210" s="11" t="n">
        <x:v>1</x:v>
      </x:c>
      <x:c r="R210" s="11" t="n">
        <x:v>1</x:v>
      </x:c>
      <x:c r="S210" s="11" t="n">
        <x:v>0</x:v>
      </x:c>
      <x:c r="T210" s="11" t="n">
        <x:v>1</x:v>
      </x:c>
      <x:c r="U210" s="2" t="str">
        <x:v>no_table</x:v>
      </x:c>
      <x:c r="V210" s="2"/>
      <x:c r="W210" s="11" t="n">
        <x:v>0</x:v>
      </x:c>
      <x:c r="X210" s="13"/>
    </x:row>
    <x:row r="211" ht="24" customHeight="1">
      <x:c r="A211" s="2" t="str">
        <x:v>153_72</x:v>
      </x:c>
      <x:c r="B211" s="10" t="str">
        <x:v>153</x:v>
      </x:c>
      <x:c r="C211" s="11" t="n">
        <x:v>73</x:v>
      </x:c>
      <x:c r="D211" s="11" t="n">
        <x:v>72</x:v>
      </x:c>
      <x:c r="E211" s="2" t="str">
        <x:v>Walk in</x:v>
      </x:c>
      <x:c r="F211" s="11" t="n">
        <x:v>1</x:v>
      </x:c>
      <x:c r="G211" s="12" t="n">
        <x:v>0.4444444444444444</x:v>
      </x:c>
      <x:c r="H211" s="12" t="n">
        <x:v>0.4652777777777778</x:v>
      </x:c>
      <x:c r="I211" s="12" t="n">
        <x:v>0.4652777777777778</x:v>
      </x:c>
      <x:c r="J211" s="12" t="n">
        <x:v>0.4930555555555556</x:v>
      </x:c>
      <x:c r="K211" s="10" t="str">
        <x:v>2B</x:v>
      </x:c>
      <x:c r="L211" s="2" t="str">
        <x:v>queued_meal</x:v>
      </x:c>
      <x:c r="M211" s="8" t="n">
        <x:f>IF(P211=1,ROUND((H211-G211)*1440,6),"")</x:f>
        <x:v>30</x:v>
      </x:c>
      <x:c r="N211" s="8" t="n">
        <x:f>IF(R211=1,M211,"")</x:f>
        <x:v>30</x:v>
      </x:c>
      <x:c r="O211" s="8" t="n">
        <x:f>IF(S211=1,ROUND((J211-I211)*1440,6),"")</x:f>
        <x:v>40</x:v>
      </x:c>
      <x:c r="P211" s="11" t="n">
        <x:v>1</x:v>
      </x:c>
      <x:c r="Q211" s="11" t="n">
        <x:v>0</x:v>
      </x:c>
      <x:c r="R211" s="11" t="n">
        <x:v>1</x:v>
      </x:c>
      <x:c r="S211" s="11" t="n">
        <x:v>1</x:v>
      </x:c>
      <x:c r="T211" s="11" t="n">
        <x:v>1</x:v>
      </x:c>
      <x:c r="U211" s="2" t="str">
        <x:v>documented</x:v>
      </x:c>
      <x:c r="V211" s="2" t="str">
        <x:v>2B</x:v>
      </x:c>
      <x:c r="W211" s="11" t="n">
        <x:v>0</x:v>
      </x:c>
      <x:c r="X211" s="13"/>
    </x:row>
    <x:row r="212" ht="24" customHeight="1">
      <x:c r="A212" s="2" t="str">
        <x:v>153_73</x:v>
      </x:c>
      <x:c r="B212" s="10" t="str">
        <x:v>153</x:v>
      </x:c>
      <x:c r="C212" s="11" t="n">
        <x:v>74</x:v>
      </x:c>
      <x:c r="D212" s="11" t="n">
        <x:v>73</x:v>
      </x:c>
      <x:c r="E212" s="2" t="str">
        <x:v>Walk in</x:v>
      </x:c>
      <x:c r="F212" s="11" t="n">
        <x:v>2</x:v>
      </x:c>
      <x:c r="G212" s="12" t="n">
        <x:v>0.44513888888888886</x:v>
      </x:c>
      <x:c r="H212" s="12" t="n">
        <x:v>0.4666666666666667</x:v>
      </x:c>
      <x:c r="I212" s="12" t="n">
        <x:v>0.4666666666666667</x:v>
      </x:c>
      <x:c r="J212" s="12" t="n">
        <x:v>0.48819444444444443</x:v>
      </x:c>
      <x:c r="K212" s="10" t="str">
        <x:v>16</x:v>
      </x:c>
      <x:c r="L212" s="2" t="str">
        <x:v>queued_meal</x:v>
      </x:c>
      <x:c r="M212" s="8" t="n">
        <x:f>IF(P212=1,ROUND((H212-G212)*1440,6),"")</x:f>
        <x:v>31</x:v>
      </x:c>
      <x:c r="N212" s="8" t="n">
        <x:f>IF(R212=1,M212,"")</x:f>
        <x:v>31</x:v>
      </x:c>
      <x:c r="O212" s="8" t="n">
        <x:f>IF(S212=1,ROUND((J212-I212)*1440,6),"")</x:f>
        <x:v>31</x:v>
      </x:c>
      <x:c r="P212" s="11" t="n">
        <x:v>1</x:v>
      </x:c>
      <x:c r="Q212" s="11" t="n">
        <x:v>0</x:v>
      </x:c>
      <x:c r="R212" s="11" t="n">
        <x:v>1</x:v>
      </x:c>
      <x:c r="S212" s="11" t="n">
        <x:v>1</x:v>
      </x:c>
      <x:c r="T212" s="11" t="n">
        <x:v>1</x:v>
      </x:c>
      <x:c r="U212" s="2" t="str">
        <x:v>needs_mapping</x:v>
      </x:c>
      <x:c r="V212" s="2"/>
      <x:c r="W212" s="11" t="n">
        <x:v>1</x:v>
      </x:c>
      <x:c r="X212" s="13" t="str">
        <x:v>รหัสโต๊ะต้องยืนยัน</x:v>
      </x:c>
    </x:row>
    <x:row r="213" ht="24" customHeight="1">
      <x:c r="A213" s="2" t="str">
        <x:v>153_74</x:v>
      </x:c>
      <x:c r="B213" s="10" t="str">
        <x:v>153</x:v>
      </x:c>
      <x:c r="C213" s="11" t="n">
        <x:v>75</x:v>
      </x:c>
      <x:c r="D213" s="11" t="n">
        <x:v>74</x:v>
      </x:c>
      <x:c r="E213" s="2" t="str">
        <x:v>Walk in</x:v>
      </x:c>
      <x:c r="F213" s="11" t="n">
        <x:v>1</x:v>
      </x:c>
      <x:c r="G213" s="12" t="n">
        <x:v>0.4534722222222222</x:v>
      </x:c>
      <x:c r="H213" s="12" t="n">
        <x:v>0.4618055555555556</x:v>
      </x:c>
      <x:c r="I213" s="12"/>
      <x:c r="J213" s="12"/>
      <x:c r="K213" s="10"/>
      <x:c r="L213" s="2" t="str">
        <x:v>walk_away</x:v>
      </x:c>
      <x:c r="M213" s="8" t="n">
        <x:f>IF(P213=1,ROUND((H213-G213)*1440,6),"")</x:f>
        <x:v>12</x:v>
      </x:c>
      <x:c r="N213" s="8" t="n">
        <x:f>IF(R213=1,M213,"")</x:f>
        <x:v>12</x:v>
      </x:c>
      <x:c r="O213" s="8" t="str">
        <x:f>IF(S213=1,ROUND((J213-I213)*1440,6),"")</x:f>
      </x:c>
      <x:c r="P213" s="11" t="n">
        <x:v>1</x:v>
      </x:c>
      <x:c r="Q213" s="11" t="n">
        <x:v>1</x:v>
      </x:c>
      <x:c r="R213" s="11" t="n">
        <x:v>1</x:v>
      </x:c>
      <x:c r="S213" s="11" t="n">
        <x:v>0</x:v>
      </x:c>
      <x:c r="T213" s="11" t="n">
        <x:v>1</x:v>
      </x:c>
      <x:c r="U213" s="2" t="str">
        <x:v>no_table</x:v>
      </x:c>
      <x:c r="V213" s="2"/>
      <x:c r="W213" s="11" t="n">
        <x:v>0</x:v>
      </x:c>
      <x:c r="X213" s="13"/>
    </x:row>
    <x:row r="214" ht="24" customHeight="1">
      <x:c r="A214" s="2" t="str">
        <x:v>153_75</x:v>
      </x:c>
      <x:c r="B214" s="10" t="str">
        <x:v>153</x:v>
      </x:c>
      <x:c r="C214" s="11" t="n">
        <x:v>76</x:v>
      </x:c>
      <x:c r="D214" s="11" t="n">
        <x:v>75</x:v>
      </x:c>
      <x:c r="E214" s="2" t="str">
        <x:v>In house</x:v>
      </x:c>
      <x:c r="F214" s="11" t="n">
        <x:v>3</x:v>
      </x:c>
      <x:c r="G214" s="12" t="n">
        <x:v>0.4548611111111111</x:v>
      </x:c>
      <x:c r="H214" s="12" t="n">
        <x:v>0.4861111111111111</x:v>
      </x:c>
      <x:c r="I214" s="12" t="n">
        <x:v>0.4861111111111111</x:v>
      </x:c>
      <x:c r="J214" s="12" t="n">
        <x:v>0.5208333333333334</x:v>
      </x:c>
      <x:c r="K214" s="10" t="str">
        <x:v>13-14</x:v>
      </x:c>
      <x:c r="L214" s="2" t="str">
        <x:v>queued_meal</x:v>
      </x:c>
      <x:c r="M214" s="8" t="n">
        <x:f>IF(P214=1,ROUND((H214-G214)*1440,6),"")</x:f>
        <x:v>45</x:v>
      </x:c>
      <x:c r="N214" s="8" t="n">
        <x:f>IF(R214=1,M214,"")</x:f>
        <x:v>45</x:v>
      </x:c>
      <x:c r="O214" s="8" t="n">
        <x:f>IF(S214=1,ROUND((J214-I214)*1440,6),"")</x:f>
        <x:v>50</x:v>
      </x:c>
      <x:c r="P214" s="11" t="n">
        <x:v>1</x:v>
      </x:c>
      <x:c r="Q214" s="11" t="n">
        <x:v>0</x:v>
      </x:c>
      <x:c r="R214" s="11" t="n">
        <x:v>1</x:v>
      </x:c>
      <x:c r="S214" s="11" t="n">
        <x:v>1</x:v>
      </x:c>
      <x:c r="T214" s="11" t="n">
        <x:v>1</x:v>
      </x:c>
      <x:c r="U214" s="2" t="str">
        <x:v>documented</x:v>
      </x:c>
      <x:c r="V214" s="2" t="str">
        <x:v>13 | 14</x:v>
      </x:c>
      <x:c r="W214" s="11" t="n">
        <x:v>0</x:v>
      </x:c>
      <x:c r="X214" s="13"/>
    </x:row>
    <x:row r="215" ht="24" customHeight="1">
      <x:c r="A215" s="2" t="str">
        <x:v>153_76</x:v>
      </x:c>
      <x:c r="B215" s="10" t="str">
        <x:v>153</x:v>
      </x:c>
      <x:c r="C215" s="11" t="n">
        <x:v>77</x:v>
      </x:c>
      <x:c r="D215" s="11" t="n">
        <x:v>76</x:v>
      </x:c>
      <x:c r="E215" s="2" t="str">
        <x:v>In house</x:v>
      </x:c>
      <x:c r="F215" s="11" t="n">
        <x:v>2</x:v>
      </x:c>
      <x:c r="G215" s="12" t="n">
        <x:v>0.4583333333333333</x:v>
      </x:c>
      <x:c r="H215" s="12" t="n">
        <x:v>0.46805555555555556</x:v>
      </x:c>
      <x:c r="I215" s="12" t="n">
        <x:v>0.46805555555555556</x:v>
      </x:c>
      <x:c r="J215" s="12" t="n">
        <x:v>0.4826388888888889</x:v>
      </x:c>
      <x:c r="K215" s="10" t="str">
        <x:v>2A</x:v>
      </x:c>
      <x:c r="L215" s="2" t="str">
        <x:v>queued_meal</x:v>
      </x:c>
      <x:c r="M215" s="8" t="n">
        <x:f>IF(P215=1,ROUND((H215-G215)*1440,6),"")</x:f>
        <x:v>14</x:v>
      </x:c>
      <x:c r="N215" s="8" t="n">
        <x:f>IF(R215=1,M215,"")</x:f>
        <x:v>14</x:v>
      </x:c>
      <x:c r="O215" s="8" t="n">
        <x:f>IF(S215=1,ROUND((J215-I215)*1440,6),"")</x:f>
        <x:v>21</x:v>
      </x:c>
      <x:c r="P215" s="11" t="n">
        <x:v>1</x:v>
      </x:c>
      <x:c r="Q215" s="11" t="n">
        <x:v>0</x:v>
      </x:c>
      <x:c r="R215" s="11" t="n">
        <x:v>1</x:v>
      </x:c>
      <x:c r="S215" s="11" t="n">
        <x:v>1</x:v>
      </x:c>
      <x:c r="T215" s="11" t="n">
        <x:v>1</x:v>
      </x:c>
      <x:c r="U215" s="2" t="str">
        <x:v>documented</x:v>
      </x:c>
      <x:c r="V215" s="2" t="str">
        <x:v>2A</x:v>
      </x:c>
      <x:c r="W215" s="11" t="n">
        <x:v>0</x:v>
      </x:c>
      <x:c r="X215" s="13"/>
    </x:row>
    <x:row r="216" ht="24" customHeight="1">
      <x:c r="A216" s="2" t="str">
        <x:v>153_77</x:v>
      </x:c>
      <x:c r="B216" s="10" t="str">
        <x:v>153</x:v>
      </x:c>
      <x:c r="C216" s="11" t="n">
        <x:v>78</x:v>
      </x:c>
      <x:c r="D216" s="11" t="n">
        <x:v>77</x:v>
      </x:c>
      <x:c r="E216" s="2" t="str">
        <x:v>In house</x:v>
      </x:c>
      <x:c r="F216" s="11" t="n">
        <x:v>1</x:v>
      </x:c>
      <x:c r="G216" s="12" t="n">
        <x:v>0.46805555555555556</x:v>
      </x:c>
      <x:c r="H216" s="12" t="n">
        <x:v>0.46875</x:v>
      </x:c>
      <x:c r="I216" s="12"/>
      <x:c r="J216" s="12"/>
      <x:c r="K216" s="10"/>
      <x:c r="L216" s="2" t="str">
        <x:v>walk_away</x:v>
      </x:c>
      <x:c r="M216" s="8" t="n">
        <x:f>IF(P216=1,ROUND((H216-G216)*1440,6),"")</x:f>
        <x:v>1</x:v>
      </x:c>
      <x:c r="N216" s="8" t="n">
        <x:f>IF(R216=1,M216,"")</x:f>
        <x:v>1</x:v>
      </x:c>
      <x:c r="O216" s="8" t="str">
        <x:f>IF(S216=1,ROUND((J216-I216)*1440,6),"")</x:f>
      </x:c>
      <x:c r="P216" s="11" t="n">
        <x:v>1</x:v>
      </x:c>
      <x:c r="Q216" s="11" t="n">
        <x:v>1</x:v>
      </x:c>
      <x:c r="R216" s="11" t="n">
        <x:v>1</x:v>
      </x:c>
      <x:c r="S216" s="11" t="n">
        <x:v>0</x:v>
      </x:c>
      <x:c r="T216" s="11" t="n">
        <x:v>1</x:v>
      </x:c>
      <x:c r="U216" s="2" t="str">
        <x:v>no_table</x:v>
      </x:c>
      <x:c r="V216" s="2"/>
      <x:c r="W216" s="11" t="n">
        <x:v>0</x:v>
      </x:c>
      <x:c r="X216" s="13"/>
    </x:row>
    <x:row r="217" ht="24" customHeight="1">
      <x:c r="A217" s="2" t="str">
        <x:v>153_78</x:v>
      </x:c>
      <x:c r="B217" s="10" t="str">
        <x:v>153</x:v>
      </x:c>
      <x:c r="C217" s="11" t="n">
        <x:v>79</x:v>
      </x:c>
      <x:c r="D217" s="11" t="n">
        <x:v>78</x:v>
      </x:c>
      <x:c r="E217" s="2" t="str">
        <x:v>Walk in</x:v>
      </x:c>
      <x:c r="F217" s="11"/>
      <x:c r="G217" s="12" t="n">
        <x:v>0.46805555555555556</x:v>
      </x:c>
      <x:c r="H217" s="12" t="n">
        <x:v>0.4722222222222222</x:v>
      </x:c>
      <x:c r="I217" s="12"/>
      <x:c r="J217" s="12"/>
      <x:c r="K217" s="10"/>
      <x:c r="L217" s="2" t="str">
        <x:v>walk_away</x:v>
      </x:c>
      <x:c r="M217" s="8" t="n">
        <x:f>IF(P217=1,ROUND((H217-G217)*1440,6),"")</x:f>
        <x:v>6</x:v>
      </x:c>
      <x:c r="N217" s="8" t="n">
        <x:f>IF(R217=1,M217,"")</x:f>
        <x:v>6</x:v>
      </x:c>
      <x:c r="O217" s="8" t="str">
        <x:f>IF(S217=1,ROUND((J217-I217)*1440,6),"")</x:f>
      </x:c>
      <x:c r="P217" s="11" t="n">
        <x:v>1</x:v>
      </x:c>
      <x:c r="Q217" s="11" t="n">
        <x:v>1</x:v>
      </x:c>
      <x:c r="R217" s="11" t="n">
        <x:v>1</x:v>
      </x:c>
      <x:c r="S217" s="11" t="n">
        <x:v>0</x:v>
      </x:c>
      <x:c r="T217" s="11" t="n">
        <x:v>0</x:v>
      </x:c>
      <x:c r="U217" s="2" t="str">
        <x:v>no_table</x:v>
      </x:c>
      <x:c r="V217" s="2"/>
      <x:c r="W217" s="11" t="n">
        <x:v>1</x:v>
      </x:c>
      <x:c r="X217" s="13" t="str">
        <x:v>จำนวนคนไม่ถูกต้อง</x:v>
      </x:c>
    </x:row>
    <x:row r="218" ht="24" customHeight="1">
      <x:c r="A218" s="2" t="str">
        <x:v>153_79</x:v>
      </x:c>
      <x:c r="B218" s="10" t="str">
        <x:v>153</x:v>
      </x:c>
      <x:c r="C218" s="11" t="n">
        <x:v>80</x:v>
      </x:c>
      <x:c r="D218" s="11" t="n">
        <x:v>79</x:v>
      </x:c>
      <x:c r="E218" s="2" t="str">
        <x:v>In house</x:v>
      </x:c>
      <x:c r="F218" s="11" t="n">
        <x:v>2</x:v>
      </x:c>
      <x:c r="G218" s="12" t="n">
        <x:v>0.46875</x:v>
      </x:c>
      <x:c r="H218" s="12" t="n">
        <x:v>0.4722222222222222</x:v>
      </x:c>
      <x:c r="I218" s="12" t="n">
        <x:v>0.4722222222222222</x:v>
      </x:c>
      <x:c r="J218" s="12" t="n">
        <x:v>0.4965277777777778</x:v>
      </x:c>
      <x:c r="K218" s="10" t="str">
        <x:v>7A</x:v>
      </x:c>
      <x:c r="L218" s="2" t="str">
        <x:v>queued_meal</x:v>
      </x:c>
      <x:c r="M218" s="8" t="n">
        <x:f>IF(P218=1,ROUND((H218-G218)*1440,6),"")</x:f>
        <x:v>5</x:v>
      </x:c>
      <x:c r="N218" s="8" t="n">
        <x:f>IF(R218=1,M218,"")</x:f>
        <x:v>5</x:v>
      </x:c>
      <x:c r="O218" s="8" t="n">
        <x:f>IF(S218=1,ROUND((J218-I218)*1440,6),"")</x:f>
        <x:v>35</x:v>
      </x:c>
      <x:c r="P218" s="11" t="n">
        <x:v>1</x:v>
      </x:c>
      <x:c r="Q218" s="11" t="n">
        <x:v>0</x:v>
      </x:c>
      <x:c r="R218" s="11" t="n">
        <x:v>1</x:v>
      </x:c>
      <x:c r="S218" s="11" t="n">
        <x:v>1</x:v>
      </x:c>
      <x:c r="T218" s="11" t="n">
        <x:v>1</x:v>
      </x:c>
      <x:c r="U218" s="2" t="str">
        <x:v>documented</x:v>
      </x:c>
      <x:c r="V218" s="2" t="str">
        <x:v>7A</x:v>
      </x:c>
      <x:c r="W218" s="11" t="n">
        <x:v>0</x:v>
      </x:c>
      <x:c r="X218" s="13"/>
    </x:row>
    <x:row r="219" ht="24" customHeight="1">
      <x:c r="A219" s="2" t="str">
        <x:v>153_80</x:v>
      </x:c>
      <x:c r="B219" s="10" t="str">
        <x:v>153</x:v>
      </x:c>
      <x:c r="C219" s="11" t="n">
        <x:v>81</x:v>
      </x:c>
      <x:c r="D219" s="11" t="n">
        <x:v>80</x:v>
      </x:c>
      <x:c r="E219" s="2" t="str">
        <x:v>In house</x:v>
      </x:c>
      <x:c r="F219" s="11" t="n">
        <x:v>2</x:v>
      </x:c>
      <x:c r="G219" s="12" t="n">
        <x:v>0.46875</x:v>
      </x:c>
      <x:c r="H219" s="12" t="n">
        <x:v>0.47430555555555554</x:v>
      </x:c>
      <x:c r="I219" s="12" t="n">
        <x:v>0.47430555555555554</x:v>
      </x:c>
      <x:c r="J219" s="12" t="n">
        <x:v>0.5138888888888888</x:v>
      </x:c>
      <x:c r="K219" s="10" t="str">
        <x:v>1B</x:v>
      </x:c>
      <x:c r="L219" s="2" t="str">
        <x:v>queued_meal</x:v>
      </x:c>
      <x:c r="M219" s="8" t="n">
        <x:f>IF(P219=1,ROUND((H219-G219)*1440,6),"")</x:f>
        <x:v>8</x:v>
      </x:c>
      <x:c r="N219" s="8" t="n">
        <x:f>IF(R219=1,M219,"")</x:f>
        <x:v>8</x:v>
      </x:c>
      <x:c r="O219" s="8" t="n">
        <x:f>IF(S219=1,ROUND((J219-I219)*1440,6),"")</x:f>
        <x:v>57</x:v>
      </x:c>
      <x:c r="P219" s="11" t="n">
        <x:v>1</x:v>
      </x:c>
      <x:c r="Q219" s="11" t="n">
        <x:v>0</x:v>
      </x:c>
      <x:c r="R219" s="11" t="n">
        <x:v>1</x:v>
      </x:c>
      <x:c r="S219" s="11" t="n">
        <x:v>1</x:v>
      </x:c>
      <x:c r="T219" s="11" t="n">
        <x:v>1</x:v>
      </x:c>
      <x:c r="U219" s="2" t="str">
        <x:v>documented</x:v>
      </x:c>
      <x:c r="V219" s="2" t="str">
        <x:v>1B</x:v>
      </x:c>
      <x:c r="W219" s="11" t="n">
        <x:v>0</x:v>
      </x:c>
      <x:c r="X219" s="13"/>
    </x:row>
    <x:row r="220" ht="24" customHeight="1">
      <x:c r="A220" s="2" t="str">
        <x:v>153_81</x:v>
      </x:c>
      <x:c r="B220" s="10" t="str">
        <x:v>153</x:v>
      </x:c>
      <x:c r="C220" s="11" t="n">
        <x:v>82</x:v>
      </x:c>
      <x:c r="D220" s="11" t="n">
        <x:v>81</x:v>
      </x:c>
      <x:c r="E220" s="2" t="str">
        <x:v>In house</x:v>
      </x:c>
      <x:c r="F220" s="11" t="n">
        <x:v>2</x:v>
      </x:c>
      <x:c r="G220" s="12"/>
      <x:c r="H220" s="12"/>
      <x:c r="I220" s="12" t="n">
        <x:v>0.4666666666666667</x:v>
      </x:c>
      <x:c r="J220" s="12" t="n">
        <x:v>0.5208333333333334</x:v>
      </x:c>
      <x:c r="K220" s="10" t="str">
        <x:v>12</x:v>
      </x:c>
      <x:c r="L220" s="2" t="str">
        <x:v>direct_meal</x:v>
      </x:c>
      <x:c r="M220" s="8" t="str">
        <x:f>IF(P220=1,ROUND((H220-G220)*1440,6),"")</x:f>
      </x:c>
      <x:c r="N220" s="8" t="str">
        <x:f>IF(R220=1,M220,"")</x:f>
      </x:c>
      <x:c r="O220" s="8" t="n">
        <x:f>IF(S220=1,ROUND((J220-I220)*1440,6),"")</x:f>
        <x:v>78</x:v>
      </x:c>
      <x:c r="P220" s="11" t="n">
        <x:v>0</x:v>
      </x:c>
      <x:c r="Q220" s="11" t="n">
        <x:v>0</x:v>
      </x:c>
      <x:c r="R220" s="11" t="n">
        <x:v>0</x:v>
      </x:c>
      <x:c r="S220" s="11" t="n">
        <x:v>1</x:v>
      </x:c>
      <x:c r="T220" s="11" t="n">
        <x:v>1</x:v>
      </x:c>
      <x:c r="U220" s="2" t="str">
        <x:v>documented</x:v>
      </x:c>
      <x:c r="V220" s="2" t="str">
        <x:v>12</x:v>
      </x:c>
      <x:c r="W220" s="11" t="n">
        <x:v>0</x:v>
      </x:c>
      <x:c r="X220" s="13"/>
    </x:row>
    <x:row r="221" ht="24" customHeight="1">
      <x:c r="A221" s="2" t="str">
        <x:v>153_82</x:v>
      </x:c>
      <x:c r="B221" s="10" t="str">
        <x:v>153</x:v>
      </x:c>
      <x:c r="C221" s="11" t="n">
        <x:v>83</x:v>
      </x:c>
      <x:c r="D221" s="11" t="n">
        <x:v>82</x:v>
      </x:c>
      <x:c r="E221" s="2" t="str">
        <x:v>In house</x:v>
      </x:c>
      <x:c r="F221" s="11" t="n">
        <x:v>1</x:v>
      </x:c>
      <x:c r="G221" s="12"/>
      <x:c r="H221" s="12"/>
      <x:c r="I221" s="12" t="n">
        <x:v>0.4756944444444444</x:v>
      </x:c>
      <x:c r="J221" s="12" t="n">
        <x:v>0.5</x:v>
      </x:c>
      <x:c r="K221" s="10" t="str">
        <x:v>12</x:v>
      </x:c>
      <x:c r="L221" s="2" t="str">
        <x:v>direct_meal</x:v>
      </x:c>
      <x:c r="M221" s="8" t="str">
        <x:f>IF(P221=1,ROUND((H221-G221)*1440,6),"")</x:f>
      </x:c>
      <x:c r="N221" s="8" t="str">
        <x:f>IF(R221=1,M221,"")</x:f>
      </x:c>
      <x:c r="O221" s="8" t="n">
        <x:f>IF(S221=1,ROUND((J221-I221)*1440,6),"")</x:f>
        <x:v>35</x:v>
      </x:c>
      <x:c r="P221" s="11" t="n">
        <x:v>0</x:v>
      </x:c>
      <x:c r="Q221" s="11" t="n">
        <x:v>0</x:v>
      </x:c>
      <x:c r="R221" s="11" t="n">
        <x:v>0</x:v>
      </x:c>
      <x:c r="S221" s="11" t="n">
        <x:v>1</x:v>
      </x:c>
      <x:c r="T221" s="11" t="n">
        <x:v>1</x:v>
      </x:c>
      <x:c r="U221" s="2" t="str">
        <x:v>documented</x:v>
      </x:c>
      <x:c r="V221" s="2" t="str">
        <x:v>12</x:v>
      </x:c>
      <x:c r="W221" s="11" t="n">
        <x:v>0</x:v>
      </x:c>
      <x:c r="X221" s="13"/>
    </x:row>
    <x:row r="222" ht="24" customHeight="1">
      <x:c r="A222" s="2" t="str">
        <x:v>153_83</x:v>
      </x:c>
      <x:c r="B222" s="10" t="str">
        <x:v>153</x:v>
      </x:c>
      <x:c r="C222" s="11" t="n">
        <x:v>84</x:v>
      </x:c>
      <x:c r="D222" s="11" t="n">
        <x:v>83</x:v>
      </x:c>
      <x:c r="E222" s="2" t="str">
        <x:v>In house</x:v>
      </x:c>
      <x:c r="F222" s="11" t="n">
        <x:v>1</x:v>
      </x:c>
      <x:c r="G222" s="12" t="n">
        <x:v>0.4756944444444444</x:v>
      </x:c>
      <x:c r="H222" s="12" t="n">
        <x:v>0.47708333333333336</x:v>
      </x:c>
      <x:c r="I222" s="12" t="n">
        <x:v>0.47708333333333336</x:v>
      </x:c>
      <x:c r="J222" s="12" t="n">
        <x:v>0.5</x:v>
      </x:c>
      <x:c r="K222" s="10" t="str">
        <x:v>15B</x:v>
      </x:c>
      <x:c r="L222" s="2" t="str">
        <x:v>queued_meal</x:v>
      </x:c>
      <x:c r="M222" s="8" t="n">
        <x:f>IF(P222=1,ROUND((H222-G222)*1440,6),"")</x:f>
        <x:v>2</x:v>
      </x:c>
      <x:c r="N222" s="8" t="n">
        <x:f>IF(R222=1,M222,"")</x:f>
        <x:v>2</x:v>
      </x:c>
      <x:c r="O222" s="8" t="n">
        <x:f>IF(S222=1,ROUND((J222-I222)*1440,6),"")</x:f>
        <x:v>33</x:v>
      </x:c>
      <x:c r="P222" s="11" t="n">
        <x:v>1</x:v>
      </x:c>
      <x:c r="Q222" s="11" t="n">
        <x:v>0</x:v>
      </x:c>
      <x:c r="R222" s="11" t="n">
        <x:v>1</x:v>
      </x:c>
      <x:c r="S222" s="11" t="n">
        <x:v>1</x:v>
      </x:c>
      <x:c r="T222" s="11" t="n">
        <x:v>1</x:v>
      </x:c>
      <x:c r="U222" s="2" t="str">
        <x:v>needs_mapping</x:v>
      </x:c>
      <x:c r="V222" s="2"/>
      <x:c r="W222" s="11" t="n">
        <x:v>1</x:v>
      </x:c>
      <x:c r="X222" s="13" t="str">
        <x:v>รหัสโต๊ะต้องยืนยัน</x:v>
      </x:c>
    </x:row>
    <x:row r="223" ht="24" customHeight="1">
      <x:c r="A223" s="2" t="str">
        <x:v>153_84</x:v>
      </x:c>
      <x:c r="B223" s="10" t="str">
        <x:v>153</x:v>
      </x:c>
      <x:c r="C223" s="11" t="n">
        <x:v>85</x:v>
      </x:c>
      <x:c r="D223" s="11" t="n">
        <x:v>84</x:v>
      </x:c>
      <x:c r="E223" s="2" t="str">
        <x:v>In house</x:v>
      </x:c>
      <x:c r="F223" s="11" t="n">
        <x:v>1</x:v>
      </x:c>
      <x:c r="G223" s="12"/>
      <x:c r="H223" s="12"/>
      <x:c r="I223" s="12" t="n">
        <x:v>0.4791666666666667</x:v>
      </x:c>
      <x:c r="J223" s="12" t="n">
        <x:v>0.5104166666666666</x:v>
      </x:c>
      <x:c r="K223" s="10" t="str">
        <x:v>4B</x:v>
      </x:c>
      <x:c r="L223" s="2" t="str">
        <x:v>direct_meal</x:v>
      </x:c>
      <x:c r="M223" s="8" t="str">
        <x:f>IF(P223=1,ROUND((H223-G223)*1440,6),"")</x:f>
      </x:c>
      <x:c r="N223" s="8" t="str">
        <x:f>IF(R223=1,M223,"")</x:f>
      </x:c>
      <x:c r="O223" s="8" t="n">
        <x:f>IF(S223=1,ROUND((J223-I223)*1440,6),"")</x:f>
        <x:v>45</x:v>
      </x:c>
      <x:c r="P223" s="11" t="n">
        <x:v>0</x:v>
      </x:c>
      <x:c r="Q223" s="11" t="n">
        <x:v>0</x:v>
      </x:c>
      <x:c r="R223" s="11" t="n">
        <x:v>0</x:v>
      </x:c>
      <x:c r="S223" s="11" t="n">
        <x:v>1</x:v>
      </x:c>
      <x:c r="T223" s="11" t="n">
        <x:v>1</x:v>
      </x:c>
      <x:c r="U223" s="2" t="str">
        <x:v>documented</x:v>
      </x:c>
      <x:c r="V223" s="2" t="str">
        <x:v>4B</x:v>
      </x:c>
      <x:c r="W223" s="11" t="n">
        <x:v>0</x:v>
      </x:c>
      <x:c r="X223" s="13"/>
    </x:row>
    <x:row r="224" ht="24" customHeight="1">
      <x:c r="A224" s="2" t="str">
        <x:v>153_85</x:v>
      </x:c>
      <x:c r="B224" s="10" t="str">
        <x:v>153</x:v>
      </x:c>
      <x:c r="C224" s="11" t="n">
        <x:v>86</x:v>
      </x:c>
      <x:c r="D224" s="11" t="n">
        <x:v>85</x:v>
      </x:c>
      <x:c r="E224" s="2" t="str">
        <x:v>Walk in</x:v>
      </x:c>
      <x:c r="F224" s="11" t="n">
        <x:v>1</x:v>
      </x:c>
      <x:c r="G224" s="12"/>
      <x:c r="H224" s="12"/>
      <x:c r="I224" s="12" t="n">
        <x:v>0.4861111111111111</x:v>
      </x:c>
      <x:c r="J224" s="12" t="n">
        <x:v>0.5208333333333334</x:v>
      </x:c>
      <x:c r="K224" s="10" t="str">
        <x:v>12</x:v>
      </x:c>
      <x:c r="L224" s="2" t="str">
        <x:v>direct_meal</x:v>
      </x:c>
      <x:c r="M224" s="8" t="str">
        <x:f>IF(P224=1,ROUND((H224-G224)*1440,6),"")</x:f>
      </x:c>
      <x:c r="N224" s="8" t="str">
        <x:f>IF(R224=1,M224,"")</x:f>
      </x:c>
      <x:c r="O224" s="8" t="n">
        <x:f>IF(S224=1,ROUND((J224-I224)*1440,6),"")</x:f>
        <x:v>50</x:v>
      </x:c>
      <x:c r="P224" s="11" t="n">
        <x:v>0</x:v>
      </x:c>
      <x:c r="Q224" s="11" t="n">
        <x:v>0</x:v>
      </x:c>
      <x:c r="R224" s="11" t="n">
        <x:v>0</x:v>
      </x:c>
      <x:c r="S224" s="11" t="n">
        <x:v>1</x:v>
      </x:c>
      <x:c r="T224" s="11" t="n">
        <x:v>1</x:v>
      </x:c>
      <x:c r="U224" s="2" t="str">
        <x:v>documented</x:v>
      </x:c>
      <x:c r="V224" s="2" t="str">
        <x:v>12</x:v>
      </x:c>
      <x:c r="W224" s="11" t="n">
        <x:v>0</x:v>
      </x:c>
      <x:c r="X224" s="13"/>
    </x:row>
    <x:row r="225" ht="24" customHeight="1">
      <x:c r="A225" s="2" t="str">
        <x:v>153_86</x:v>
      </x:c>
      <x:c r="B225" s="10" t="str">
        <x:v>153</x:v>
      </x:c>
      <x:c r="C225" s="11" t="n">
        <x:v>87</x:v>
      </x:c>
      <x:c r="D225" s="11" t="n">
        <x:v>86</x:v>
      </x:c>
      <x:c r="E225" s="2" t="str">
        <x:v>In house</x:v>
      </x:c>
      <x:c r="F225" s="11" t="n">
        <x:v>1</x:v>
      </x:c>
      <x:c r="G225" s="12"/>
      <x:c r="H225" s="12"/>
      <x:c r="I225" s="12" t="n">
        <x:v>0.4895833333333333</x:v>
      </x:c>
      <x:c r="J225" s="12" t="n">
        <x:v>0.5208333333333334</x:v>
      </x:c>
      <x:c r="K225" s="10" t="str">
        <x:v>16</x:v>
      </x:c>
      <x:c r="L225" s="2" t="str">
        <x:v>direct_meal</x:v>
      </x:c>
      <x:c r="M225" s="8" t="str">
        <x:f>IF(P225=1,ROUND((H225-G225)*1440,6),"")</x:f>
      </x:c>
      <x:c r="N225" s="8" t="str">
        <x:f>IF(R225=1,M225,"")</x:f>
      </x:c>
      <x:c r="O225" s="8" t="n">
        <x:f>IF(S225=1,ROUND((J225-I225)*1440,6),"")</x:f>
        <x:v>45</x:v>
      </x:c>
      <x:c r="P225" s="11" t="n">
        <x:v>0</x:v>
      </x:c>
      <x:c r="Q225" s="11" t="n">
        <x:v>0</x:v>
      </x:c>
      <x:c r="R225" s="11" t="n">
        <x:v>0</x:v>
      </x:c>
      <x:c r="S225" s="11" t="n">
        <x:v>1</x:v>
      </x:c>
      <x:c r="T225" s="11" t="n">
        <x:v>1</x:v>
      </x:c>
      <x:c r="U225" s="2" t="str">
        <x:v>needs_mapping</x:v>
      </x:c>
      <x:c r="V225" s="2"/>
      <x:c r="W225" s="11" t="n">
        <x:v>1</x:v>
      </x:c>
      <x:c r="X225" s="13" t="str">
        <x:v>รหัสโต๊ะต้องยืนยัน</x:v>
      </x:c>
    </x:row>
    <x:row r="226" ht="24" customHeight="1">
      <x:c r="A226" s="2" t="str">
        <x:v>173_1</x:v>
      </x:c>
      <x:c r="B226" s="10" t="str">
        <x:v>173</x:v>
      </x:c>
      <x:c r="C226" s="11" t="n">
        <x:v>2</x:v>
      </x:c>
      <x:c r="D226" s="11" t="n">
        <x:v>1</x:v>
      </x:c>
      <x:c r="E226" s="2" t="str">
        <x:v>Walk in</x:v>
      </x:c>
      <x:c r="F226" s="11" t="n">
        <x:v>1</x:v>
      </x:c>
      <x:c r="G226" s="12"/>
      <x:c r="H226" s="12"/>
      <x:c r="I226" s="12" t="n">
        <x:v>0.275</x:v>
      </x:c>
      <x:c r="J226" s="12" t="n">
        <x:v>0.3875</x:v>
      </x:c>
      <x:c r="K226" s="10" t="str">
        <x:v>10A</x:v>
      </x:c>
      <x:c r="L226" s="2" t="str">
        <x:v>direct_meal</x:v>
      </x:c>
      <x:c r="M226" s="8" t="str">
        <x:f>IF(P226=1,ROUND((H226-G226)*1440,6),"")</x:f>
      </x:c>
      <x:c r="N226" s="8" t="str">
        <x:f>IF(R226=1,M226,"")</x:f>
      </x:c>
      <x:c r="O226" s="8" t="n">
        <x:f>IF(S226=1,ROUND((J226-I226)*1440,6),"")</x:f>
        <x:v>162</x:v>
      </x:c>
      <x:c r="P226" s="11" t="n">
        <x:v>0</x:v>
      </x:c>
      <x:c r="Q226" s="11" t="n">
        <x:v>0</x:v>
      </x:c>
      <x:c r="R226" s="11" t="n">
        <x:v>0</x:v>
      </x:c>
      <x:c r="S226" s="11" t="n">
        <x:v>1</x:v>
      </x:c>
      <x:c r="T226" s="11" t="n">
        <x:v>1</x:v>
      </x:c>
      <x:c r="U226" s="2" t="str">
        <x:v>documented</x:v>
      </x:c>
      <x:c r="V226" s="2" t="str">
        <x:v>10A</x:v>
      </x:c>
      <x:c r="W226" s="11" t="n">
        <x:v>0</x:v>
      </x:c>
      <x:c r="X226" s="13"/>
    </x:row>
    <x:row r="227" ht="24" customHeight="1">
      <x:c r="A227" s="2" t="str">
        <x:v>173_2</x:v>
      </x:c>
      <x:c r="B227" s="10" t="str">
        <x:v>173</x:v>
      </x:c>
      <x:c r="C227" s="11" t="n">
        <x:v>3</x:v>
      </x:c>
      <x:c r="D227" s="11" t="n">
        <x:v>2</x:v>
      </x:c>
      <x:c r="E227" s="2" t="str">
        <x:v>Walk in</x:v>
      </x:c>
      <x:c r="F227" s="11" t="n">
        <x:v>2</x:v>
      </x:c>
      <x:c r="G227" s="12"/>
      <x:c r="H227" s="12"/>
      <x:c r="I227" s="12" t="n">
        <x:v>0.27569444444444446</x:v>
      </x:c>
      <x:c r="J227" s="12" t="n">
        <x:v>0.32430555555555557</x:v>
      </x:c>
      <x:c r="K227" s="10" t="str">
        <x:v>5</x:v>
      </x:c>
      <x:c r="L227" s="2" t="str">
        <x:v>direct_meal</x:v>
      </x:c>
      <x:c r="M227" s="8" t="str">
        <x:f>IF(P227=1,ROUND((H227-G227)*1440,6),"")</x:f>
      </x:c>
      <x:c r="N227" s="8" t="str">
        <x:f>IF(R227=1,M227,"")</x:f>
      </x:c>
      <x:c r="O227" s="8" t="n">
        <x:f>IF(S227=1,ROUND((J227-I227)*1440,6),"")</x:f>
        <x:v>70</x:v>
      </x:c>
      <x:c r="P227" s="11" t="n">
        <x:v>0</x:v>
      </x:c>
      <x:c r="Q227" s="11" t="n">
        <x:v>0</x:v>
      </x:c>
      <x:c r="R227" s="11" t="n">
        <x:v>0</x:v>
      </x:c>
      <x:c r="S227" s="11" t="n">
        <x:v>1</x:v>
      </x:c>
      <x:c r="T227" s="11" t="n">
        <x:v>1</x:v>
      </x:c>
      <x:c r="U227" s="2" t="str">
        <x:v>needs_mapping</x:v>
      </x:c>
      <x:c r="V227" s="2"/>
      <x:c r="W227" s="11" t="n">
        <x:v>1</x:v>
      </x:c>
      <x:c r="X227" s="13" t="str">
        <x:v>รหัสโต๊ะต้องยืนยัน</x:v>
      </x:c>
    </x:row>
    <x:row r="228" ht="24" customHeight="1">
      <x:c r="A228" s="2" t="str">
        <x:v>173_3</x:v>
      </x:c>
      <x:c r="B228" s="10" t="str">
        <x:v>173</x:v>
      </x:c>
      <x:c r="C228" s="11" t="n">
        <x:v>4</x:v>
      </x:c>
      <x:c r="D228" s="11" t="n">
        <x:v>3</x:v>
      </x:c>
      <x:c r="E228" s="2" t="str">
        <x:v>Walk in</x:v>
      </x:c>
      <x:c r="F228" s="11" t="n">
        <x:v>1</x:v>
      </x:c>
      <x:c r="G228" s="12"/>
      <x:c r="H228" s="12"/>
      <x:c r="I228" s="12" t="n">
        <x:v>0.2777777777777778</x:v>
      </x:c>
      <x:c r="J228" s="12" t="n">
        <x:v>0.375</x:v>
      </x:c>
      <x:c r="K228" s="10" t="str">
        <x:v>6B</x:v>
      </x:c>
      <x:c r="L228" s="2" t="str">
        <x:v>direct_meal</x:v>
      </x:c>
      <x:c r="M228" s="8" t="str">
        <x:f>IF(P228=1,ROUND((H228-G228)*1440,6),"")</x:f>
      </x:c>
      <x:c r="N228" s="8" t="str">
        <x:f>IF(R228=1,M228,"")</x:f>
      </x:c>
      <x:c r="O228" s="8" t="n">
        <x:f>IF(S228=1,ROUND((J228-I228)*1440,6),"")</x:f>
        <x:v>140</x:v>
      </x:c>
      <x:c r="P228" s="11" t="n">
        <x:v>0</x:v>
      </x:c>
      <x:c r="Q228" s="11" t="n">
        <x:v>0</x:v>
      </x:c>
      <x:c r="R228" s="11" t="n">
        <x:v>0</x:v>
      </x:c>
      <x:c r="S228" s="11" t="n">
        <x:v>1</x:v>
      </x:c>
      <x:c r="T228" s="11" t="n">
        <x:v>1</x:v>
      </x:c>
      <x:c r="U228" s="2" t="str">
        <x:v>documented</x:v>
      </x:c>
      <x:c r="V228" s="2" t="str">
        <x:v>6B</x:v>
      </x:c>
      <x:c r="W228" s="11" t="n">
        <x:v>0</x:v>
      </x:c>
      <x:c r="X228" s="13"/>
    </x:row>
    <x:row r="229" ht="24" customHeight="1">
      <x:c r="A229" s="2" t="str">
        <x:v>173_4</x:v>
      </x:c>
      <x:c r="B229" s="10" t="str">
        <x:v>173</x:v>
      </x:c>
      <x:c r="C229" s="11" t="n">
        <x:v>5</x:v>
      </x:c>
      <x:c r="D229" s="11" t="n">
        <x:v>4</x:v>
      </x:c>
      <x:c r="E229" s="2" t="str">
        <x:v>In house</x:v>
      </x:c>
      <x:c r="F229" s="11" t="n">
        <x:v>1</x:v>
      </x:c>
      <x:c r="G229" s="12"/>
      <x:c r="H229" s="12"/>
      <x:c r="I229" s="12" t="n">
        <x:v>0.27847222222222223</x:v>
      </x:c>
      <x:c r="J229" s="12" t="n">
        <x:v>0.30625</x:v>
      </x:c>
      <x:c r="K229" s="10" t="str">
        <x:v>16</x:v>
      </x:c>
      <x:c r="L229" s="2" t="str">
        <x:v>direct_meal</x:v>
      </x:c>
      <x:c r="M229" s="8" t="str">
        <x:f>IF(P229=1,ROUND((H229-G229)*1440,6),"")</x:f>
      </x:c>
      <x:c r="N229" s="8" t="str">
        <x:f>IF(R229=1,M229,"")</x:f>
      </x:c>
      <x:c r="O229" s="8" t="n">
        <x:f>IF(S229=1,ROUND((J229-I229)*1440,6),"")</x:f>
        <x:v>40</x:v>
      </x:c>
      <x:c r="P229" s="11" t="n">
        <x:v>0</x:v>
      </x:c>
      <x:c r="Q229" s="11" t="n">
        <x:v>0</x:v>
      </x:c>
      <x:c r="R229" s="11" t="n">
        <x:v>0</x:v>
      </x:c>
      <x:c r="S229" s="11" t="n">
        <x:v>1</x:v>
      </x:c>
      <x:c r="T229" s="11" t="n">
        <x:v>1</x:v>
      </x:c>
      <x:c r="U229" s="2" t="str">
        <x:v>needs_mapping</x:v>
      </x:c>
      <x:c r="V229" s="2"/>
      <x:c r="W229" s="11" t="n">
        <x:v>1</x:v>
      </x:c>
      <x:c r="X229" s="13" t="str">
        <x:v>รหัสโต๊ะต้องยืนยัน</x:v>
      </x:c>
    </x:row>
    <x:row r="230" ht="24" customHeight="1">
      <x:c r="A230" s="2" t="str">
        <x:v>173_5</x:v>
      </x:c>
      <x:c r="B230" s="10" t="str">
        <x:v>173</x:v>
      </x:c>
      <x:c r="C230" s="11" t="n">
        <x:v>6</x:v>
      </x:c>
      <x:c r="D230" s="11" t="n">
        <x:v>5</x:v>
      </x:c>
      <x:c r="E230" s="2" t="str">
        <x:v>Walk in</x:v>
      </x:c>
      <x:c r="F230" s="11" t="n">
        <x:v>2</x:v>
      </x:c>
      <x:c r="G230" s="12"/>
      <x:c r="H230" s="12"/>
      <x:c r="I230" s="12" t="n">
        <x:v>0.2861111111111111</x:v>
      </x:c>
      <x:c r="J230" s="12" t="n">
        <x:v>0.32916666666666666</x:v>
      </x:c>
      <x:c r="K230" s="10" t="str">
        <x:v>7A</x:v>
      </x:c>
      <x:c r="L230" s="2" t="str">
        <x:v>direct_meal</x:v>
      </x:c>
      <x:c r="M230" s="8" t="str">
        <x:f>IF(P230=1,ROUND((H230-G230)*1440,6),"")</x:f>
      </x:c>
      <x:c r="N230" s="8" t="str">
        <x:f>IF(R230=1,M230,"")</x:f>
      </x:c>
      <x:c r="O230" s="8" t="n">
        <x:f>IF(S230=1,ROUND((J230-I230)*1440,6),"")</x:f>
        <x:v>62</x:v>
      </x:c>
      <x:c r="P230" s="11" t="n">
        <x:v>0</x:v>
      </x:c>
      <x:c r="Q230" s="11" t="n">
        <x:v>0</x:v>
      </x:c>
      <x:c r="R230" s="11" t="n">
        <x:v>0</x:v>
      </x:c>
      <x:c r="S230" s="11" t="n">
        <x:v>1</x:v>
      </x:c>
      <x:c r="T230" s="11" t="n">
        <x:v>1</x:v>
      </x:c>
      <x:c r="U230" s="2" t="str">
        <x:v>documented</x:v>
      </x:c>
      <x:c r="V230" s="2" t="str">
        <x:v>7A</x:v>
      </x:c>
      <x:c r="W230" s="11" t="n">
        <x:v>0</x:v>
      </x:c>
      <x:c r="X230" s="13"/>
    </x:row>
    <x:row r="231" ht="24" customHeight="1">
      <x:c r="A231" s="2" t="str">
        <x:v>173_6</x:v>
      </x:c>
      <x:c r="B231" s="10" t="str">
        <x:v>173</x:v>
      </x:c>
      <x:c r="C231" s="11" t="n">
        <x:v>7</x:v>
      </x:c>
      <x:c r="D231" s="11" t="n">
        <x:v>6</x:v>
      </x:c>
      <x:c r="E231" s="2" t="str">
        <x:v>Walk in</x:v>
      </x:c>
      <x:c r="F231" s="11" t="n">
        <x:v>1</x:v>
      </x:c>
      <x:c r="G231" s="12"/>
      <x:c r="H231" s="12"/>
      <x:c r="I231" s="12" t="n">
        <x:v>0.2902777777777778</x:v>
      </x:c>
      <x:c r="J231" s="12" t="n">
        <x:v>0.32916666666666666</x:v>
      </x:c>
      <x:c r="K231" s="10" t="str">
        <x:v>1A</x:v>
      </x:c>
      <x:c r="L231" s="2" t="str">
        <x:v>direct_meal</x:v>
      </x:c>
      <x:c r="M231" s="8" t="str">
        <x:f>IF(P231=1,ROUND((H231-G231)*1440,6),"")</x:f>
      </x:c>
      <x:c r="N231" s="8" t="str">
        <x:f>IF(R231=1,M231,"")</x:f>
      </x:c>
      <x:c r="O231" s="8" t="n">
        <x:f>IF(S231=1,ROUND((J231-I231)*1440,6),"")</x:f>
        <x:v>56</x:v>
      </x:c>
      <x:c r="P231" s="11" t="n">
        <x:v>0</x:v>
      </x:c>
      <x:c r="Q231" s="11" t="n">
        <x:v>0</x:v>
      </x:c>
      <x:c r="R231" s="11" t="n">
        <x:v>0</x:v>
      </x:c>
      <x:c r="S231" s="11" t="n">
        <x:v>1</x:v>
      </x:c>
      <x:c r="T231" s="11" t="n">
        <x:v>1</x:v>
      </x:c>
      <x:c r="U231" s="2" t="str">
        <x:v>documented</x:v>
      </x:c>
      <x:c r="V231" s="2" t="str">
        <x:v>1A</x:v>
      </x:c>
      <x:c r="W231" s="11" t="n">
        <x:v>0</x:v>
      </x:c>
      <x:c r="X231" s="13"/>
    </x:row>
    <x:row r="232" ht="24" customHeight="1">
      <x:c r="A232" s="2" t="str">
        <x:v>173_7</x:v>
      </x:c>
      <x:c r="B232" s="10" t="str">
        <x:v>173</x:v>
      </x:c>
      <x:c r="C232" s="11" t="n">
        <x:v>8</x:v>
      </x:c>
      <x:c r="D232" s="11" t="n">
        <x:v>7</x:v>
      </x:c>
      <x:c r="E232" s="2" t="str">
        <x:v>In house</x:v>
      </x:c>
      <x:c r="F232" s="11" t="n">
        <x:v>1</x:v>
      </x:c>
      <x:c r="G232" s="12"/>
      <x:c r="H232" s="12"/>
      <x:c r="I232" s="12" t="n">
        <x:v>0.2916666666666667</x:v>
      </x:c>
      <x:c r="J232" s="12" t="n">
        <x:v>0.3076388888888889</x:v>
      </x:c>
      <x:c r="K232" s="10" t="str">
        <x:v>1B</x:v>
      </x:c>
      <x:c r="L232" s="2" t="str">
        <x:v>direct_meal</x:v>
      </x:c>
      <x:c r="M232" s="8" t="str">
        <x:f>IF(P232=1,ROUND((H232-G232)*1440,6),"")</x:f>
      </x:c>
      <x:c r="N232" s="8" t="str">
        <x:f>IF(R232=1,M232,"")</x:f>
      </x:c>
      <x:c r="O232" s="8" t="n">
        <x:f>IF(S232=1,ROUND((J232-I232)*1440,6),"")</x:f>
        <x:v>23</x:v>
      </x:c>
      <x:c r="P232" s="11" t="n">
        <x:v>0</x:v>
      </x:c>
      <x:c r="Q232" s="11" t="n">
        <x:v>0</x:v>
      </x:c>
      <x:c r="R232" s="11" t="n">
        <x:v>0</x:v>
      </x:c>
      <x:c r="S232" s="11" t="n">
        <x:v>1</x:v>
      </x:c>
      <x:c r="T232" s="11" t="n">
        <x:v>1</x:v>
      </x:c>
      <x:c r="U232" s="2" t="str">
        <x:v>documented</x:v>
      </x:c>
      <x:c r="V232" s="2" t="str">
        <x:v>1B</x:v>
      </x:c>
      <x:c r="W232" s="11" t="n">
        <x:v>0</x:v>
      </x:c>
      <x:c r="X232" s="13"/>
    </x:row>
    <x:row r="233" ht="24" customHeight="1">
      <x:c r="A233" s="2" t="str">
        <x:v>173_8</x:v>
      </x:c>
      <x:c r="B233" s="10" t="str">
        <x:v>173</x:v>
      </x:c>
      <x:c r="C233" s="11" t="n">
        <x:v>9</x:v>
      </x:c>
      <x:c r="D233" s="11" t="n">
        <x:v>8</x:v>
      </x:c>
      <x:c r="E233" s="2" t="str">
        <x:v>In house</x:v>
      </x:c>
      <x:c r="F233" s="11" t="n">
        <x:v>4</x:v>
      </x:c>
      <x:c r="G233" s="12"/>
      <x:c r="H233" s="12"/>
      <x:c r="I233" s="12" t="n">
        <x:v>0.2916666666666667</x:v>
      </x:c>
      <x:c r="J233" s="12" t="n">
        <x:v>0.35694444444444445</x:v>
      </x:c>
      <x:c r="K233" s="10" t="str">
        <x:v>4</x:v>
      </x:c>
      <x:c r="L233" s="2" t="str">
        <x:v>direct_meal</x:v>
      </x:c>
      <x:c r="M233" s="8" t="str">
        <x:f>IF(P233=1,ROUND((H233-G233)*1440,6),"")</x:f>
      </x:c>
      <x:c r="N233" s="8" t="str">
        <x:f>IF(R233=1,M233,"")</x:f>
      </x:c>
      <x:c r="O233" s="8" t="n">
        <x:f>IF(S233=1,ROUND((J233-I233)*1440,6),"")</x:f>
        <x:v>94</x:v>
      </x:c>
      <x:c r="P233" s="11" t="n">
        <x:v>0</x:v>
      </x:c>
      <x:c r="Q233" s="11" t="n">
        <x:v>0</x:v>
      </x:c>
      <x:c r="R233" s="11" t="n">
        <x:v>0</x:v>
      </x:c>
      <x:c r="S233" s="11" t="n">
        <x:v>1</x:v>
      </x:c>
      <x:c r="T233" s="11" t="n">
        <x:v>1</x:v>
      </x:c>
      <x:c r="U233" s="2" t="str">
        <x:v>needs_mapping</x:v>
      </x:c>
      <x:c r="V233" s="2"/>
      <x:c r="W233" s="11" t="n">
        <x:v>1</x:v>
      </x:c>
      <x:c r="X233" s="13" t="str">
        <x:v>รหัสโต๊ะต้องยืนยัน</x:v>
      </x:c>
    </x:row>
    <x:row r="234" ht="24" customHeight="1">
      <x:c r="A234" s="2" t="str">
        <x:v>173_9</x:v>
      </x:c>
      <x:c r="B234" s="10" t="str">
        <x:v>173</x:v>
      </x:c>
      <x:c r="C234" s="11" t="n">
        <x:v>10</x:v>
      </x:c>
      <x:c r="D234" s="11" t="n">
        <x:v>9</x:v>
      </x:c>
      <x:c r="E234" s="2" t="str">
        <x:v>In house</x:v>
      </x:c>
      <x:c r="F234" s="11" t="n">
        <x:v>1</x:v>
      </x:c>
      <x:c r="G234" s="12"/>
      <x:c r="H234" s="12"/>
      <x:c r="I234" s="12" t="n">
        <x:v>0.2951388888888889</x:v>
      </x:c>
      <x:c r="J234" s="12" t="n">
        <x:v>0.3125</x:v>
      </x:c>
      <x:c r="K234" s="10" t="str">
        <x:v>8A</x:v>
      </x:c>
      <x:c r="L234" s="2" t="str">
        <x:v>direct_meal</x:v>
      </x:c>
      <x:c r="M234" s="8" t="str">
        <x:f>IF(P234=1,ROUND((H234-G234)*1440,6),"")</x:f>
      </x:c>
      <x:c r="N234" s="8" t="str">
        <x:f>IF(R234=1,M234,"")</x:f>
      </x:c>
      <x:c r="O234" s="8" t="n">
        <x:f>IF(S234=1,ROUND((J234-I234)*1440,6),"")</x:f>
        <x:v>25</x:v>
      </x:c>
      <x:c r="P234" s="11" t="n">
        <x:v>0</x:v>
      </x:c>
      <x:c r="Q234" s="11" t="n">
        <x:v>0</x:v>
      </x:c>
      <x:c r="R234" s="11" t="n">
        <x:v>0</x:v>
      </x:c>
      <x:c r="S234" s="11" t="n">
        <x:v>1</x:v>
      </x:c>
      <x:c r="T234" s="11" t="n">
        <x:v>1</x:v>
      </x:c>
      <x:c r="U234" s="2" t="str">
        <x:v>documented</x:v>
      </x:c>
      <x:c r="V234" s="2" t="str">
        <x:v>8A</x:v>
      </x:c>
      <x:c r="W234" s="11" t="n">
        <x:v>0</x:v>
      </x:c>
      <x:c r="X234" s="13"/>
    </x:row>
    <x:row r="235" ht="24" customHeight="1">
      <x:c r="A235" s="2" t="str">
        <x:v>173_10</x:v>
      </x:c>
      <x:c r="B235" s="10" t="str">
        <x:v>173</x:v>
      </x:c>
      <x:c r="C235" s="11" t="n">
        <x:v>11</x:v>
      </x:c>
      <x:c r="D235" s="11" t="n">
        <x:v>10</x:v>
      </x:c>
      <x:c r="E235" s="2" t="str">
        <x:v>In house</x:v>
      </x:c>
      <x:c r="F235" s="11" t="n">
        <x:v>1</x:v>
      </x:c>
      <x:c r="G235" s="12"/>
      <x:c r="H235" s="12"/>
      <x:c r="I235" s="12" t="n">
        <x:v>0.3</x:v>
      </x:c>
      <x:c r="J235" s="12" t="n">
        <x:v>0.31666666666666665</x:v>
      </x:c>
      <x:c r="K235" s="10" t="str">
        <x:v>7B</x:v>
      </x:c>
      <x:c r="L235" s="2" t="str">
        <x:v>direct_meal</x:v>
      </x:c>
      <x:c r="M235" s="8" t="str">
        <x:f>IF(P235=1,ROUND((H235-G235)*1440,6),"")</x:f>
      </x:c>
      <x:c r="N235" s="8" t="str">
        <x:f>IF(R235=1,M235,"")</x:f>
      </x:c>
      <x:c r="O235" s="8" t="n">
        <x:f>IF(S235=1,ROUND((J235-I235)*1440,6),"")</x:f>
        <x:v>24</x:v>
      </x:c>
      <x:c r="P235" s="11" t="n">
        <x:v>0</x:v>
      </x:c>
      <x:c r="Q235" s="11" t="n">
        <x:v>0</x:v>
      </x:c>
      <x:c r="R235" s="11" t="n">
        <x:v>0</x:v>
      </x:c>
      <x:c r="S235" s="11" t="n">
        <x:v>1</x:v>
      </x:c>
      <x:c r="T235" s="11" t="n">
        <x:v>1</x:v>
      </x:c>
      <x:c r="U235" s="2" t="str">
        <x:v>documented</x:v>
      </x:c>
      <x:c r="V235" s="2" t="str">
        <x:v>7B</x:v>
      </x:c>
      <x:c r="W235" s="11" t="n">
        <x:v>0</x:v>
      </x:c>
      <x:c r="X235" s="13"/>
    </x:row>
    <x:row r="236" ht="24" customHeight="1">
      <x:c r="A236" s="2" t="str">
        <x:v>173_11</x:v>
      </x:c>
      <x:c r="B236" s="10" t="str">
        <x:v>173</x:v>
      </x:c>
      <x:c r="C236" s="11" t="n">
        <x:v>12</x:v>
      </x:c>
      <x:c r="D236" s="11" t="n">
        <x:v>11</x:v>
      </x:c>
      <x:c r="E236" s="2" t="str">
        <x:v>In house</x:v>
      </x:c>
      <x:c r="F236" s="11" t="n">
        <x:v>2</x:v>
      </x:c>
      <x:c r="G236" s="12"/>
      <x:c r="H236" s="12"/>
      <x:c r="I236" s="12" t="n">
        <x:v>0.30069444444444443</x:v>
      </x:c>
      <x:c r="J236" s="12" t="n">
        <x:v>0.33055555555555555</x:v>
      </x:c>
      <x:c r="K236" s="10" t="str">
        <x:v>8B</x:v>
      </x:c>
      <x:c r="L236" s="2" t="str">
        <x:v>direct_meal</x:v>
      </x:c>
      <x:c r="M236" s="8" t="str">
        <x:f>IF(P236=1,ROUND((H236-G236)*1440,6),"")</x:f>
      </x:c>
      <x:c r="N236" s="8" t="str">
        <x:f>IF(R236=1,M236,"")</x:f>
      </x:c>
      <x:c r="O236" s="8" t="n">
        <x:f>IF(S236=1,ROUND((J236-I236)*1440,6),"")</x:f>
        <x:v>43</x:v>
      </x:c>
      <x:c r="P236" s="11" t="n">
        <x:v>0</x:v>
      </x:c>
      <x:c r="Q236" s="11" t="n">
        <x:v>0</x:v>
      </x:c>
      <x:c r="R236" s="11" t="n">
        <x:v>0</x:v>
      </x:c>
      <x:c r="S236" s="11" t="n">
        <x:v>1</x:v>
      </x:c>
      <x:c r="T236" s="11" t="n">
        <x:v>1</x:v>
      </x:c>
      <x:c r="U236" s="2" t="str">
        <x:v>documented</x:v>
      </x:c>
      <x:c r="V236" s="2" t="str">
        <x:v>8B</x:v>
      </x:c>
      <x:c r="W236" s="11" t="n">
        <x:v>0</x:v>
      </x:c>
      <x:c r="X236" s="13"/>
    </x:row>
    <x:row r="237" ht="24" customHeight="1">
      <x:c r="A237" s="2" t="str">
        <x:v>173_12</x:v>
      </x:c>
      <x:c r="B237" s="10" t="str">
        <x:v>173</x:v>
      </x:c>
      <x:c r="C237" s="11" t="n">
        <x:v>13</x:v>
      </x:c>
      <x:c r="D237" s="11" t="n">
        <x:v>12</x:v>
      </x:c>
      <x:c r="E237" s="2" t="str">
        <x:v>In house</x:v>
      </x:c>
      <x:c r="F237" s="11" t="n">
        <x:v>2</x:v>
      </x:c>
      <x:c r="G237" s="12"/>
      <x:c r="H237" s="12"/>
      <x:c r="I237" s="12" t="n">
        <x:v>0.3020833333333333</x:v>
      </x:c>
      <x:c r="J237" s="12" t="n">
        <x:v>0.32083333333333336</x:v>
      </x:c>
      <x:c r="K237" s="10" t="str">
        <x:v>12</x:v>
      </x:c>
      <x:c r="L237" s="2" t="str">
        <x:v>direct_meal</x:v>
      </x:c>
      <x:c r="M237" s="8" t="str">
        <x:f>IF(P237=1,ROUND((H237-G237)*1440,6),"")</x:f>
      </x:c>
      <x:c r="N237" s="8" t="str">
        <x:f>IF(R237=1,M237,"")</x:f>
      </x:c>
      <x:c r="O237" s="8" t="n">
        <x:f>IF(S237=1,ROUND((J237-I237)*1440,6),"")</x:f>
        <x:v>27</x:v>
      </x:c>
      <x:c r="P237" s="11" t="n">
        <x:v>0</x:v>
      </x:c>
      <x:c r="Q237" s="11" t="n">
        <x:v>0</x:v>
      </x:c>
      <x:c r="R237" s="11" t="n">
        <x:v>0</x:v>
      </x:c>
      <x:c r="S237" s="11" t="n">
        <x:v>1</x:v>
      </x:c>
      <x:c r="T237" s="11" t="n">
        <x:v>1</x:v>
      </x:c>
      <x:c r="U237" s="2" t="str">
        <x:v>documented</x:v>
      </x:c>
      <x:c r="V237" s="2" t="str">
        <x:v>12</x:v>
      </x:c>
      <x:c r="W237" s="11" t="n">
        <x:v>0</x:v>
      </x:c>
      <x:c r="X237" s="13"/>
    </x:row>
    <x:row r="238" ht="24" customHeight="1">
      <x:c r="A238" s="2" t="str">
        <x:v>173_13</x:v>
      </x:c>
      <x:c r="B238" s="10" t="str">
        <x:v>173</x:v>
      </x:c>
      <x:c r="C238" s="11" t="n">
        <x:v>14</x:v>
      </x:c>
      <x:c r="D238" s="11" t="n">
        <x:v>13</x:v>
      </x:c>
      <x:c r="E238" s="2" t="str">
        <x:v>In house</x:v>
      </x:c>
      <x:c r="F238" s="11" t="n">
        <x:v>2</x:v>
      </x:c>
      <x:c r="G238" s="12"/>
      <x:c r="H238" s="12"/>
      <x:c r="I238" s="12" t="n">
        <x:v>0.3055555555555556</x:v>
      </x:c>
      <x:c r="J238" s="12" t="n">
        <x:v>0.33055555555555555</x:v>
      </x:c>
      <x:c r="K238" s="10" t="str">
        <x:v>4</x:v>
      </x:c>
      <x:c r="L238" s="2" t="str">
        <x:v>direct_meal</x:v>
      </x:c>
      <x:c r="M238" s="8" t="str">
        <x:f>IF(P238=1,ROUND((H238-G238)*1440,6),"")</x:f>
      </x:c>
      <x:c r="N238" s="8" t="str">
        <x:f>IF(R238=1,M238,"")</x:f>
      </x:c>
      <x:c r="O238" s="8" t="n">
        <x:f>IF(S238=1,ROUND((J238-I238)*1440,6),"")</x:f>
        <x:v>36</x:v>
      </x:c>
      <x:c r="P238" s="11" t="n">
        <x:v>0</x:v>
      </x:c>
      <x:c r="Q238" s="11" t="n">
        <x:v>0</x:v>
      </x:c>
      <x:c r="R238" s="11" t="n">
        <x:v>0</x:v>
      </x:c>
      <x:c r="S238" s="11" t="n">
        <x:v>1</x:v>
      </x:c>
      <x:c r="T238" s="11" t="n">
        <x:v>1</x:v>
      </x:c>
      <x:c r="U238" s="2" t="str">
        <x:v>needs_mapping</x:v>
      </x:c>
      <x:c r="V238" s="2"/>
      <x:c r="W238" s="11" t="n">
        <x:v>1</x:v>
      </x:c>
      <x:c r="X238" s="13" t="str">
        <x:v>รหัสโต๊ะต้องยืนยัน</x:v>
      </x:c>
    </x:row>
    <x:row r="239" ht="24" customHeight="1">
      <x:c r="A239" s="2" t="str">
        <x:v>173_14</x:v>
      </x:c>
      <x:c r="B239" s="10" t="str">
        <x:v>173</x:v>
      </x:c>
      <x:c r="C239" s="11" t="n">
        <x:v>15</x:v>
      </x:c>
      <x:c r="D239" s="11" t="n">
        <x:v>14</x:v>
      </x:c>
      <x:c r="E239" s="2" t="str">
        <x:v>Walk in</x:v>
      </x:c>
      <x:c r="F239" s="11" t="n">
        <x:v>1</x:v>
      </x:c>
      <x:c r="G239" s="12"/>
      <x:c r="H239" s="12"/>
      <x:c r="I239" s="12" t="n">
        <x:v>0.3125</x:v>
      </x:c>
      <x:c r="J239" s="12" t="n">
        <x:v>0.3576388888888889</x:v>
      </x:c>
      <x:c r="K239" s="10" t="str">
        <x:v>11A</x:v>
      </x:c>
      <x:c r="L239" s="2" t="str">
        <x:v>direct_meal</x:v>
      </x:c>
      <x:c r="M239" s="8" t="str">
        <x:f>IF(P239=1,ROUND((H239-G239)*1440,6),"")</x:f>
      </x:c>
      <x:c r="N239" s="8" t="str">
        <x:f>IF(R239=1,M239,"")</x:f>
      </x:c>
      <x:c r="O239" s="8" t="n">
        <x:f>IF(S239=1,ROUND((J239-I239)*1440,6),"")</x:f>
        <x:v>65</x:v>
      </x:c>
      <x:c r="P239" s="11" t="n">
        <x:v>0</x:v>
      </x:c>
      <x:c r="Q239" s="11" t="n">
        <x:v>0</x:v>
      </x:c>
      <x:c r="R239" s="11" t="n">
        <x:v>0</x:v>
      </x:c>
      <x:c r="S239" s="11" t="n">
        <x:v>1</x:v>
      </x:c>
      <x:c r="T239" s="11" t="n">
        <x:v>1</x:v>
      </x:c>
      <x:c r="U239" s="2" t="str">
        <x:v>documented</x:v>
      </x:c>
      <x:c r="V239" s="2" t="str">
        <x:v>11A</x:v>
      </x:c>
      <x:c r="W239" s="11" t="n">
        <x:v>0</x:v>
      </x:c>
      <x:c r="X239" s="13"/>
    </x:row>
    <x:row r="240" ht="24" customHeight="1">
      <x:c r="A240" s="2" t="str">
        <x:v>173_15</x:v>
      </x:c>
      <x:c r="B240" s="10" t="str">
        <x:v>173</x:v>
      </x:c>
      <x:c r="C240" s="11" t="n">
        <x:v>16</x:v>
      </x:c>
      <x:c r="D240" s="11" t="n">
        <x:v>15</x:v>
      </x:c>
      <x:c r="E240" s="2" t="str">
        <x:v>In house</x:v>
      </x:c>
      <x:c r="F240" s="11" t="n">
        <x:v>1</x:v>
      </x:c>
      <x:c r="G240" s="12"/>
      <x:c r="H240" s="12"/>
      <x:c r="I240" s="12" t="n">
        <x:v>0.3125</x:v>
      </x:c>
      <x:c r="J240" s="12" t="n">
        <x:v>0.32013888888888886</x:v>
      </x:c>
      <x:c r="K240" s="10" t="str">
        <x:v>3</x:v>
      </x:c>
      <x:c r="L240" s="2" t="str">
        <x:v>direct_meal</x:v>
      </x:c>
      <x:c r="M240" s="8" t="str">
        <x:f>IF(P240=1,ROUND((H240-G240)*1440,6),"")</x:f>
      </x:c>
      <x:c r="N240" s="8" t="str">
        <x:f>IF(R240=1,M240,"")</x:f>
      </x:c>
      <x:c r="O240" s="8" t="n">
        <x:f>IF(S240=1,ROUND((J240-I240)*1440,6),"")</x:f>
        <x:v>11</x:v>
      </x:c>
      <x:c r="P240" s="11" t="n">
        <x:v>0</x:v>
      </x:c>
      <x:c r="Q240" s="11" t="n">
        <x:v>0</x:v>
      </x:c>
      <x:c r="R240" s="11" t="n">
        <x:v>0</x:v>
      </x:c>
      <x:c r="S240" s="11" t="n">
        <x:v>1</x:v>
      </x:c>
      <x:c r="T240" s="11" t="n">
        <x:v>1</x:v>
      </x:c>
      <x:c r="U240" s="2" t="str">
        <x:v>needs_mapping</x:v>
      </x:c>
      <x:c r="V240" s="2"/>
      <x:c r="W240" s="11" t="n">
        <x:v>1</x:v>
      </x:c>
      <x:c r="X240" s="13" t="str">
        <x:v>รหัสโต๊ะต้องยืนยัน</x:v>
      </x:c>
    </x:row>
    <x:row r="241" ht="24" customHeight="1">
      <x:c r="A241" s="2" t="str">
        <x:v>173_16</x:v>
      </x:c>
      <x:c r="B241" s="10" t="str">
        <x:v>173</x:v>
      </x:c>
      <x:c r="C241" s="11" t="n">
        <x:v>17</x:v>
      </x:c>
      <x:c r="D241" s="11" t="n">
        <x:v>16</x:v>
      </x:c>
      <x:c r="E241" s="2" t="str">
        <x:v>Walk in</x:v>
      </x:c>
      <x:c r="F241" s="11" t="n">
        <x:v>2</x:v>
      </x:c>
      <x:c r="G241" s="12"/>
      <x:c r="H241" s="12"/>
      <x:c r="I241" s="12" t="n">
        <x:v>0.31666666666666665</x:v>
      </x:c>
      <x:c r="J241" s="12" t="n">
        <x:v>0.33055555555555555</x:v>
      </x:c>
      <x:c r="K241" s="10" t="str">
        <x:v>1B</x:v>
      </x:c>
      <x:c r="L241" s="2" t="str">
        <x:v>direct_meal</x:v>
      </x:c>
      <x:c r="M241" s="8" t="str">
        <x:f>IF(P241=1,ROUND((H241-G241)*1440,6),"")</x:f>
      </x:c>
      <x:c r="N241" s="8" t="str">
        <x:f>IF(R241=1,M241,"")</x:f>
      </x:c>
      <x:c r="O241" s="8" t="n">
        <x:f>IF(S241=1,ROUND((J241-I241)*1440,6),"")</x:f>
        <x:v>20</x:v>
      </x:c>
      <x:c r="P241" s="11" t="n">
        <x:v>0</x:v>
      </x:c>
      <x:c r="Q241" s="11" t="n">
        <x:v>0</x:v>
      </x:c>
      <x:c r="R241" s="11" t="n">
        <x:v>0</x:v>
      </x:c>
      <x:c r="S241" s="11" t="n">
        <x:v>1</x:v>
      </x:c>
      <x:c r="T241" s="11" t="n">
        <x:v>1</x:v>
      </x:c>
      <x:c r="U241" s="2" t="str">
        <x:v>documented</x:v>
      </x:c>
      <x:c r="V241" s="2" t="str">
        <x:v>1B</x:v>
      </x:c>
      <x:c r="W241" s="11" t="n">
        <x:v>0</x:v>
      </x:c>
      <x:c r="X241" s="13"/>
    </x:row>
    <x:row r="242" ht="24" customHeight="1">
      <x:c r="A242" s="2" t="str">
        <x:v>173_17</x:v>
      </x:c>
      <x:c r="B242" s="10" t="str">
        <x:v>173</x:v>
      </x:c>
      <x:c r="C242" s="11" t="n">
        <x:v>18</x:v>
      </x:c>
      <x:c r="D242" s="11" t="n">
        <x:v>17</x:v>
      </x:c>
      <x:c r="E242" s="2" t="str">
        <x:v>In house</x:v>
      </x:c>
      <x:c r="F242" s="11" t="n">
        <x:v>1</x:v>
      </x:c>
      <x:c r="G242" s="12"/>
      <x:c r="H242" s="12"/>
      <x:c r="I242" s="12" t="n">
        <x:v>0.3159722222222222</x:v>
      </x:c>
      <x:c r="J242" s="12" t="n">
        <x:v>0.3347222222222222</x:v>
      </x:c>
      <x:c r="K242" s="10" t="str">
        <x:v>8A</x:v>
      </x:c>
      <x:c r="L242" s="2" t="str">
        <x:v>direct_meal</x:v>
      </x:c>
      <x:c r="M242" s="8" t="str">
        <x:f>IF(P242=1,ROUND((H242-G242)*1440,6),"")</x:f>
      </x:c>
      <x:c r="N242" s="8" t="str">
        <x:f>IF(R242=1,M242,"")</x:f>
      </x:c>
      <x:c r="O242" s="8" t="n">
        <x:f>IF(S242=1,ROUND((J242-I242)*1440,6),"")</x:f>
        <x:v>27</x:v>
      </x:c>
      <x:c r="P242" s="11" t="n">
        <x:v>0</x:v>
      </x:c>
      <x:c r="Q242" s="11" t="n">
        <x:v>0</x:v>
      </x:c>
      <x:c r="R242" s="11" t="n">
        <x:v>0</x:v>
      </x:c>
      <x:c r="S242" s="11" t="n">
        <x:v>1</x:v>
      </x:c>
      <x:c r="T242" s="11" t="n">
        <x:v>1</x:v>
      </x:c>
      <x:c r="U242" s="2" t="str">
        <x:v>documented</x:v>
      </x:c>
      <x:c r="V242" s="2" t="str">
        <x:v>8A</x:v>
      </x:c>
      <x:c r="W242" s="11" t="n">
        <x:v>0</x:v>
      </x:c>
      <x:c r="X242" s="13"/>
    </x:row>
    <x:row r="243" ht="24" customHeight="1">
      <x:c r="A243" s="2" t="str">
        <x:v>173_18</x:v>
      </x:c>
      <x:c r="B243" s="10" t="str">
        <x:v>173</x:v>
      </x:c>
      <x:c r="C243" s="11" t="n">
        <x:v>19</x:v>
      </x:c>
      <x:c r="D243" s="11" t="n">
        <x:v>18</x:v>
      </x:c>
      <x:c r="E243" s="2" t="str">
        <x:v>Walk in</x:v>
      </x:c>
      <x:c r="F243" s="11" t="n">
        <x:v>1</x:v>
      </x:c>
      <x:c r="G243" s="12"/>
      <x:c r="H243" s="12"/>
      <x:c r="I243" s="12" t="n">
        <x:v>0.3173611111111111</x:v>
      </x:c>
      <x:c r="J243" s="12" t="n">
        <x:v>0.3680555555555556</x:v>
      </x:c>
      <x:c r="K243" s="10" t="str">
        <x:v>16</x:v>
      </x:c>
      <x:c r="L243" s="2" t="str">
        <x:v>direct_meal</x:v>
      </x:c>
      <x:c r="M243" s="8" t="str">
        <x:f>IF(P243=1,ROUND((H243-G243)*1440,6),"")</x:f>
      </x:c>
      <x:c r="N243" s="8" t="str">
        <x:f>IF(R243=1,M243,"")</x:f>
      </x:c>
      <x:c r="O243" s="8" t="n">
        <x:f>IF(S243=1,ROUND((J243-I243)*1440,6),"")</x:f>
        <x:v>73</x:v>
      </x:c>
      <x:c r="P243" s="11" t="n">
        <x:v>0</x:v>
      </x:c>
      <x:c r="Q243" s="11" t="n">
        <x:v>0</x:v>
      </x:c>
      <x:c r="R243" s="11" t="n">
        <x:v>0</x:v>
      </x:c>
      <x:c r="S243" s="11" t="n">
        <x:v>1</x:v>
      </x:c>
      <x:c r="T243" s="11" t="n">
        <x:v>1</x:v>
      </x:c>
      <x:c r="U243" s="2" t="str">
        <x:v>needs_mapping</x:v>
      </x:c>
      <x:c r="V243" s="2"/>
      <x:c r="W243" s="11" t="n">
        <x:v>1</x:v>
      </x:c>
      <x:c r="X243" s="13" t="str">
        <x:v>รหัสโต๊ะต้องยืนยัน</x:v>
      </x:c>
    </x:row>
    <x:row r="244" ht="24" customHeight="1">
      <x:c r="A244" s="2" t="str">
        <x:v>173_19</x:v>
      </x:c>
      <x:c r="B244" s="10" t="str">
        <x:v>173</x:v>
      </x:c>
      <x:c r="C244" s="11" t="n">
        <x:v>20</x:v>
      </x:c>
      <x:c r="D244" s="11" t="n">
        <x:v>19</x:v>
      </x:c>
      <x:c r="E244" s="2" t="str">
        <x:v>Walk in</x:v>
      </x:c>
      <x:c r="F244" s="11" t="n">
        <x:v>2</x:v>
      </x:c>
      <x:c r="G244" s="12"/>
      <x:c r="H244" s="12"/>
      <x:c r="I244" s="12" t="n">
        <x:v>0.3194444444444444</x:v>
      </x:c>
      <x:c r="J244" s="12" t="n">
        <x:v>0.4722222222222222</x:v>
      </x:c>
      <x:c r="K244" s="10" t="str">
        <x:v>6</x:v>
      </x:c>
      <x:c r="L244" s="2" t="str">
        <x:v>direct_meal</x:v>
      </x:c>
      <x:c r="M244" s="8" t="str">
        <x:f>IF(P244=1,ROUND((H244-G244)*1440,6),"")</x:f>
      </x:c>
      <x:c r="N244" s="8" t="str">
        <x:f>IF(R244=1,M244,"")</x:f>
      </x:c>
      <x:c r="O244" s="8" t="n">
        <x:f>IF(S244=1,ROUND((J244-I244)*1440,6),"")</x:f>
        <x:v>220</x:v>
      </x:c>
      <x:c r="P244" s="11" t="n">
        <x:v>0</x:v>
      </x:c>
      <x:c r="Q244" s="11" t="n">
        <x:v>0</x:v>
      </x:c>
      <x:c r="R244" s="11" t="n">
        <x:v>0</x:v>
      </x:c>
      <x:c r="S244" s="11" t="n">
        <x:v>1</x:v>
      </x:c>
      <x:c r="T244" s="11" t="n">
        <x:v>1</x:v>
      </x:c>
      <x:c r="U244" s="2" t="str">
        <x:v>needs_mapping</x:v>
      </x:c>
      <x:c r="V244" s="2"/>
      <x:c r="W244" s="11" t="n">
        <x:v>1</x:v>
      </x:c>
      <x:c r="X244" s="13" t="str">
        <x:v>รหัสโต๊ะต้องยืนยัน</x:v>
      </x:c>
    </x:row>
    <x:row r="245" ht="24" customHeight="1">
      <x:c r="A245" s="2" t="str">
        <x:v>173_20</x:v>
      </x:c>
      <x:c r="B245" s="10" t="str">
        <x:v>173</x:v>
      </x:c>
      <x:c r="C245" s="11" t="n">
        <x:v>21</x:v>
      </x:c>
      <x:c r="D245" s="11" t="n">
        <x:v>20</x:v>
      </x:c>
      <x:c r="E245" s="2" t="str">
        <x:v>Walk in</x:v>
      </x:c>
      <x:c r="F245" s="11" t="n">
        <x:v>1</x:v>
      </x:c>
      <x:c r="G245" s="12"/>
      <x:c r="H245" s="12"/>
      <x:c r="I245" s="12" t="n">
        <x:v>0.3194444444444444</x:v>
      </x:c>
      <x:c r="J245" s="12" t="n">
        <x:v>0.3923611111111111</x:v>
      </x:c>
      <x:c r="K245" s="10" t="str">
        <x:v>7B</x:v>
      </x:c>
      <x:c r="L245" s="2" t="str">
        <x:v>direct_meal</x:v>
      </x:c>
      <x:c r="M245" s="8" t="str">
        <x:f>IF(P245=1,ROUND((H245-G245)*1440,6),"")</x:f>
      </x:c>
      <x:c r="N245" s="8" t="str">
        <x:f>IF(R245=1,M245,"")</x:f>
      </x:c>
      <x:c r="O245" s="8" t="n">
        <x:f>IF(S245=1,ROUND((J245-I245)*1440,6),"")</x:f>
        <x:v>105</x:v>
      </x:c>
      <x:c r="P245" s="11" t="n">
        <x:v>0</x:v>
      </x:c>
      <x:c r="Q245" s="11" t="n">
        <x:v>0</x:v>
      </x:c>
      <x:c r="R245" s="11" t="n">
        <x:v>0</x:v>
      </x:c>
      <x:c r="S245" s="11" t="n">
        <x:v>1</x:v>
      </x:c>
      <x:c r="T245" s="11" t="n">
        <x:v>1</x:v>
      </x:c>
      <x:c r="U245" s="2" t="str">
        <x:v>documented</x:v>
      </x:c>
      <x:c r="V245" s="2" t="str">
        <x:v>7B</x:v>
      </x:c>
      <x:c r="W245" s="11" t="n">
        <x:v>0</x:v>
      </x:c>
      <x:c r="X245" s="13"/>
    </x:row>
    <x:row r="246" ht="24" customHeight="1">
      <x:c r="A246" s="2" t="str">
        <x:v>173_21</x:v>
      </x:c>
      <x:c r="B246" s="10" t="str">
        <x:v>173</x:v>
      </x:c>
      <x:c r="C246" s="11" t="n">
        <x:v>22</x:v>
      </x:c>
      <x:c r="D246" s="11" t="n">
        <x:v>21</x:v>
      </x:c>
      <x:c r="E246" s="2" t="str">
        <x:v>In house</x:v>
      </x:c>
      <x:c r="F246" s="11" t="n">
        <x:v>1</x:v>
      </x:c>
      <x:c r="G246" s="12"/>
      <x:c r="H246" s="12"/>
      <x:c r="I246" s="12" t="n">
        <x:v>0.32013888888888886</x:v>
      </x:c>
      <x:c r="J246" s="12" t="n">
        <x:v>0.3326388888888889</x:v>
      </x:c>
      <x:c r="K246" s="10" t="str">
        <x:v>7C</x:v>
      </x:c>
      <x:c r="L246" s="2" t="str">
        <x:v>direct_meal</x:v>
      </x:c>
      <x:c r="M246" s="8" t="str">
        <x:f>IF(P246=1,ROUND((H246-G246)*1440,6),"")</x:f>
      </x:c>
      <x:c r="N246" s="8" t="str">
        <x:f>IF(R246=1,M246,"")</x:f>
      </x:c>
      <x:c r="O246" s="8" t="n">
        <x:f>IF(S246=1,ROUND((J246-I246)*1440,6),"")</x:f>
        <x:v>18</x:v>
      </x:c>
      <x:c r="P246" s="11" t="n">
        <x:v>0</x:v>
      </x:c>
      <x:c r="Q246" s="11" t="n">
        <x:v>0</x:v>
      </x:c>
      <x:c r="R246" s="11" t="n">
        <x:v>0</x:v>
      </x:c>
      <x:c r="S246" s="11" t="n">
        <x:v>1</x:v>
      </x:c>
      <x:c r="T246" s="11" t="n">
        <x:v>1</x:v>
      </x:c>
      <x:c r="U246" s="2" t="str">
        <x:v>documented</x:v>
      </x:c>
      <x:c r="V246" s="2" t="str">
        <x:v>7C</x:v>
      </x:c>
      <x:c r="W246" s="11" t="n">
        <x:v>0</x:v>
      </x:c>
      <x:c r="X246" s="13"/>
    </x:row>
    <x:row r="247" ht="24" customHeight="1">
      <x:c r="A247" s="2" t="str">
        <x:v>173_22</x:v>
      </x:c>
      <x:c r="B247" s="10" t="str">
        <x:v>173</x:v>
      </x:c>
      <x:c r="C247" s="11" t="n">
        <x:v>23</x:v>
      </x:c>
      <x:c r="D247" s="11" t="n">
        <x:v>22</x:v>
      </x:c>
      <x:c r="E247" s="2" t="str">
        <x:v>In house</x:v>
      </x:c>
      <x:c r="F247" s="11" t="n">
        <x:v>1</x:v>
      </x:c>
      <x:c r="G247" s="12"/>
      <x:c r="H247" s="12"/>
      <x:c r="I247" s="12" t="n">
        <x:v>0.3236111111111111</x:v>
      </x:c>
      <x:c r="J247" s="12" t="n">
        <x:v>0.33055555555555555</x:v>
      </x:c>
      <x:c r="K247" s="10" t="str">
        <x:v>12</x:v>
      </x:c>
      <x:c r="L247" s="2" t="str">
        <x:v>direct_meal</x:v>
      </x:c>
      <x:c r="M247" s="8" t="str">
        <x:f>IF(P247=1,ROUND((H247-G247)*1440,6),"")</x:f>
      </x:c>
      <x:c r="N247" s="8" t="str">
        <x:f>IF(R247=1,M247,"")</x:f>
      </x:c>
      <x:c r="O247" s="8" t="n">
        <x:f>IF(S247=1,ROUND((J247-I247)*1440,6),"")</x:f>
        <x:v>10</x:v>
      </x:c>
      <x:c r="P247" s="11" t="n">
        <x:v>0</x:v>
      </x:c>
      <x:c r="Q247" s="11" t="n">
        <x:v>0</x:v>
      </x:c>
      <x:c r="R247" s="11" t="n">
        <x:v>0</x:v>
      </x:c>
      <x:c r="S247" s="11" t="n">
        <x:v>1</x:v>
      </x:c>
      <x:c r="T247" s="11" t="n">
        <x:v>1</x:v>
      </x:c>
      <x:c r="U247" s="2" t="str">
        <x:v>documented</x:v>
      </x:c>
      <x:c r="V247" s="2" t="str">
        <x:v>12</x:v>
      </x:c>
      <x:c r="W247" s="11" t="n">
        <x:v>0</x:v>
      </x:c>
      <x:c r="X247" s="13"/>
    </x:row>
    <x:row r="248" ht="24" customHeight="1">
      <x:c r="A248" s="2" t="str">
        <x:v>173_23</x:v>
      </x:c>
      <x:c r="B248" s="10" t="str">
        <x:v>173</x:v>
      </x:c>
      <x:c r="C248" s="11" t="n">
        <x:v>24</x:v>
      </x:c>
      <x:c r="D248" s="11" t="n">
        <x:v>23</x:v>
      </x:c>
      <x:c r="E248" s="2" t="str">
        <x:v>In house</x:v>
      </x:c>
      <x:c r="F248" s="11" t="n">
        <x:v>2</x:v>
      </x:c>
      <x:c r="G248" s="12"/>
      <x:c r="H248" s="12"/>
      <x:c r="I248" s="12" t="n">
        <x:v>0.325</x:v>
      </x:c>
      <x:c r="J248" s="12" t="n">
        <x:v>0.36527777777777776</x:v>
      </x:c>
      <x:c r="K248" s="10" t="str">
        <x:v>3</x:v>
      </x:c>
      <x:c r="L248" s="2" t="str">
        <x:v>direct_meal</x:v>
      </x:c>
      <x:c r="M248" s="8" t="str">
        <x:f>IF(P248=1,ROUND((H248-G248)*1440,6),"")</x:f>
      </x:c>
      <x:c r="N248" s="8" t="str">
        <x:f>IF(R248=1,M248,"")</x:f>
      </x:c>
      <x:c r="O248" s="8" t="n">
        <x:f>IF(S248=1,ROUND((J248-I248)*1440,6),"")</x:f>
        <x:v>58</x:v>
      </x:c>
      <x:c r="P248" s="11" t="n">
        <x:v>0</x:v>
      </x:c>
      <x:c r="Q248" s="11" t="n">
        <x:v>0</x:v>
      </x:c>
      <x:c r="R248" s="11" t="n">
        <x:v>0</x:v>
      </x:c>
      <x:c r="S248" s="11" t="n">
        <x:v>1</x:v>
      </x:c>
      <x:c r="T248" s="11" t="n">
        <x:v>1</x:v>
      </x:c>
      <x:c r="U248" s="2" t="str">
        <x:v>needs_mapping</x:v>
      </x:c>
      <x:c r="V248" s="2"/>
      <x:c r="W248" s="11" t="n">
        <x:v>1</x:v>
      </x:c>
      <x:c r="X248" s="13" t="str">
        <x:v>รหัสโต๊ะต้องยืนยัน</x:v>
      </x:c>
    </x:row>
    <x:row r="249" ht="24" customHeight="1">
      <x:c r="A249" s="2" t="str">
        <x:v>173_24</x:v>
      </x:c>
      <x:c r="B249" s="10" t="str">
        <x:v>173</x:v>
      </x:c>
      <x:c r="C249" s="11" t="n">
        <x:v>25</x:v>
      </x:c>
      <x:c r="D249" s="11" t="n">
        <x:v>24</x:v>
      </x:c>
      <x:c r="E249" s="2" t="str">
        <x:v>Walk in</x:v>
      </x:c>
      <x:c r="F249" s="11" t="n">
        <x:v>2</x:v>
      </x:c>
      <x:c r="G249" s="12"/>
      <x:c r="H249" s="12"/>
      <x:c r="I249" s="12" t="n">
        <x:v>0.32708333333333334</x:v>
      </x:c>
      <x:c r="J249" s="12" t="n">
        <x:v>0.34791666666666665</x:v>
      </x:c>
      <x:c r="K249" s="10" t="str">
        <x:v>14</x:v>
      </x:c>
      <x:c r="L249" s="2" t="str">
        <x:v>direct_meal</x:v>
      </x:c>
      <x:c r="M249" s="8" t="str">
        <x:f>IF(P249=1,ROUND((H249-G249)*1440,6),"")</x:f>
      </x:c>
      <x:c r="N249" s="8" t="str">
        <x:f>IF(R249=1,M249,"")</x:f>
      </x:c>
      <x:c r="O249" s="8" t="n">
        <x:f>IF(S249=1,ROUND((J249-I249)*1440,6),"")</x:f>
        <x:v>30</x:v>
      </x:c>
      <x:c r="P249" s="11" t="n">
        <x:v>0</x:v>
      </x:c>
      <x:c r="Q249" s="11" t="n">
        <x:v>0</x:v>
      </x:c>
      <x:c r="R249" s="11" t="n">
        <x:v>0</x:v>
      </x:c>
      <x:c r="S249" s="11" t="n">
        <x:v>1</x:v>
      </x:c>
      <x:c r="T249" s="11" t="n">
        <x:v>1</x:v>
      </x:c>
      <x:c r="U249" s="2" t="str">
        <x:v>documented</x:v>
      </x:c>
      <x:c r="V249" s="2" t="str">
        <x:v>14</x:v>
      </x:c>
      <x:c r="W249" s="11" t="n">
        <x:v>0</x:v>
      </x:c>
      <x:c r="X249" s="13"/>
    </x:row>
    <x:row r="250" ht="24" customHeight="1">
      <x:c r="A250" s="2" t="str">
        <x:v>173_25</x:v>
      </x:c>
      <x:c r="B250" s="10" t="str">
        <x:v>173</x:v>
      </x:c>
      <x:c r="C250" s="11" t="n">
        <x:v>26</x:v>
      </x:c>
      <x:c r="D250" s="11" t="n">
        <x:v>25</x:v>
      </x:c>
      <x:c r="E250" s="2" t="str">
        <x:v>Walk in</x:v>
      </x:c>
      <x:c r="F250" s="11" t="n">
        <x:v>6</x:v>
      </x:c>
      <x:c r="G250" s="12"/>
      <x:c r="H250" s="12"/>
      <x:c r="I250" s="12" t="n">
        <x:v>0.33055555555555555</x:v>
      </x:c>
      <x:c r="J250" s="12" t="n">
        <x:v>0.37222222222222223</x:v>
      </x:c>
      <x:c r="K250" s="10" t="str">
        <x:v>4</x:v>
      </x:c>
      <x:c r="L250" s="2" t="str">
        <x:v>direct_meal</x:v>
      </x:c>
      <x:c r="M250" s="8" t="str">
        <x:f>IF(P250=1,ROUND((H250-G250)*1440,6),"")</x:f>
      </x:c>
      <x:c r="N250" s="8" t="str">
        <x:f>IF(R250=1,M250,"")</x:f>
      </x:c>
      <x:c r="O250" s="8" t="n">
        <x:f>IF(S250=1,ROUND((J250-I250)*1440,6),"")</x:f>
        <x:v>60</x:v>
      </x:c>
      <x:c r="P250" s="11" t="n">
        <x:v>0</x:v>
      </x:c>
      <x:c r="Q250" s="11" t="n">
        <x:v>0</x:v>
      </x:c>
      <x:c r="R250" s="11" t="n">
        <x:v>0</x:v>
      </x:c>
      <x:c r="S250" s="11" t="n">
        <x:v>1</x:v>
      </x:c>
      <x:c r="T250" s="11" t="n">
        <x:v>1</x:v>
      </x:c>
      <x:c r="U250" s="2" t="str">
        <x:v>needs_mapping</x:v>
      </x:c>
      <x:c r="V250" s="2"/>
      <x:c r="W250" s="11" t="n">
        <x:v>1</x:v>
      </x:c>
      <x:c r="X250" s="13" t="str">
        <x:v>รหัสโต๊ะต้องยืนยัน</x:v>
      </x:c>
    </x:row>
    <x:row r="251" ht="24" customHeight="1">
      <x:c r="A251" s="2" t="str">
        <x:v>173_26</x:v>
      </x:c>
      <x:c r="B251" s="10" t="str">
        <x:v>173</x:v>
      </x:c>
      <x:c r="C251" s="11" t="n">
        <x:v>27</x:v>
      </x:c>
      <x:c r="D251" s="11" t="n">
        <x:v>26</x:v>
      </x:c>
      <x:c r="E251" s="2" t="str">
        <x:v>Walk in</x:v>
      </x:c>
      <x:c r="F251" s="11" t="n">
        <x:v>2</x:v>
      </x:c>
      <x:c r="G251" s="12"/>
      <x:c r="H251" s="12"/>
      <x:c r="I251" s="12" t="n">
        <x:v>0.3368055555555556</x:v>
      </x:c>
      <x:c r="J251" s="12" t="n">
        <x:v>0.37777777777777777</x:v>
      </x:c>
      <x:c r="K251" s="10" t="str">
        <x:v>1A</x:v>
      </x:c>
      <x:c r="L251" s="2" t="str">
        <x:v>direct_meal</x:v>
      </x:c>
      <x:c r="M251" s="8" t="str">
        <x:f>IF(P251=1,ROUND((H251-G251)*1440,6),"")</x:f>
      </x:c>
      <x:c r="N251" s="8" t="str">
        <x:f>IF(R251=1,M251,"")</x:f>
      </x:c>
      <x:c r="O251" s="8" t="n">
        <x:f>IF(S251=1,ROUND((J251-I251)*1440,6),"")</x:f>
        <x:v>59</x:v>
      </x:c>
      <x:c r="P251" s="11" t="n">
        <x:v>0</x:v>
      </x:c>
      <x:c r="Q251" s="11" t="n">
        <x:v>0</x:v>
      </x:c>
      <x:c r="R251" s="11" t="n">
        <x:v>0</x:v>
      </x:c>
      <x:c r="S251" s="11" t="n">
        <x:v>1</x:v>
      </x:c>
      <x:c r="T251" s="11" t="n">
        <x:v>1</x:v>
      </x:c>
      <x:c r="U251" s="2" t="str">
        <x:v>documented</x:v>
      </x:c>
      <x:c r="V251" s="2" t="str">
        <x:v>1A</x:v>
      </x:c>
      <x:c r="W251" s="11" t="n">
        <x:v>0</x:v>
      </x:c>
      <x:c r="X251" s="13"/>
    </x:row>
    <x:row r="252" ht="24" customHeight="1">
      <x:c r="A252" s="2" t="str">
        <x:v>173_27</x:v>
      </x:c>
      <x:c r="B252" s="10" t="str">
        <x:v>173</x:v>
      </x:c>
      <x:c r="C252" s="11" t="n">
        <x:v>28</x:v>
      </x:c>
      <x:c r="D252" s="11" t="n">
        <x:v>27</x:v>
      </x:c>
      <x:c r="E252" s="2" t="str">
        <x:v>In house</x:v>
      </x:c>
      <x:c r="F252" s="11" t="n">
        <x:v>2</x:v>
      </x:c>
      <x:c r="G252" s="12"/>
      <x:c r="H252" s="12"/>
      <x:c r="I252" s="12" t="n">
        <x:v>0.3368055555555556</x:v>
      </x:c>
      <x:c r="J252" s="12" t="n">
        <x:v>0.36944444444444446</x:v>
      </x:c>
      <x:c r="K252" s="10" t="str">
        <x:v>8B</x:v>
      </x:c>
      <x:c r="L252" s="2" t="str">
        <x:v>direct_meal</x:v>
      </x:c>
      <x:c r="M252" s="8" t="str">
        <x:f>IF(P252=1,ROUND((H252-G252)*1440,6),"")</x:f>
      </x:c>
      <x:c r="N252" s="8" t="str">
        <x:f>IF(R252=1,M252,"")</x:f>
      </x:c>
      <x:c r="O252" s="8" t="n">
        <x:f>IF(S252=1,ROUND((J252-I252)*1440,6),"")</x:f>
        <x:v>47</x:v>
      </x:c>
      <x:c r="P252" s="11" t="n">
        <x:v>0</x:v>
      </x:c>
      <x:c r="Q252" s="11" t="n">
        <x:v>0</x:v>
      </x:c>
      <x:c r="R252" s="11" t="n">
        <x:v>0</x:v>
      </x:c>
      <x:c r="S252" s="11" t="n">
        <x:v>1</x:v>
      </x:c>
      <x:c r="T252" s="11" t="n">
        <x:v>1</x:v>
      </x:c>
      <x:c r="U252" s="2" t="str">
        <x:v>documented</x:v>
      </x:c>
      <x:c r="V252" s="2" t="str">
        <x:v>8B</x:v>
      </x:c>
      <x:c r="W252" s="11" t="n">
        <x:v>0</x:v>
      </x:c>
      <x:c r="X252" s="13"/>
    </x:row>
    <x:row r="253" ht="24" customHeight="1">
      <x:c r="A253" s="2" t="str">
        <x:v>173_28</x:v>
      </x:c>
      <x:c r="B253" s="10" t="str">
        <x:v>173</x:v>
      </x:c>
      <x:c r="C253" s="11" t="n">
        <x:v>29</x:v>
      </x:c>
      <x:c r="D253" s="11" t="n">
        <x:v>28</x:v>
      </x:c>
      <x:c r="E253" s="2" t="str">
        <x:v>Walk in</x:v>
      </x:c>
      <x:c r="F253" s="11" t="n">
        <x:v>3</x:v>
      </x:c>
      <x:c r="G253" s="12"/>
      <x:c r="H253" s="12"/>
      <x:c r="I253" s="12" t="n">
        <x:v>0.3375</x:v>
      </x:c>
      <x:c r="J253" s="12" t="n">
        <x:v>0.3701388888888889</x:v>
      </x:c>
      <x:c r="K253" s="10" t="str">
        <x:v>9</x:v>
      </x:c>
      <x:c r="L253" s="2" t="str">
        <x:v>direct_meal</x:v>
      </x:c>
      <x:c r="M253" s="8" t="str">
        <x:f>IF(P253=1,ROUND((H253-G253)*1440,6),"")</x:f>
      </x:c>
      <x:c r="N253" s="8" t="str">
        <x:f>IF(R253=1,M253,"")</x:f>
      </x:c>
      <x:c r="O253" s="8" t="n">
        <x:f>IF(S253=1,ROUND((J253-I253)*1440,6),"")</x:f>
        <x:v>47</x:v>
      </x:c>
      <x:c r="P253" s="11" t="n">
        <x:v>0</x:v>
      </x:c>
      <x:c r="Q253" s="11" t="n">
        <x:v>0</x:v>
      </x:c>
      <x:c r="R253" s="11" t="n">
        <x:v>0</x:v>
      </x:c>
      <x:c r="S253" s="11" t="n">
        <x:v>1</x:v>
      </x:c>
      <x:c r="T253" s="11" t="n">
        <x:v>1</x:v>
      </x:c>
      <x:c r="U253" s="2" t="str">
        <x:v>needs_mapping</x:v>
      </x:c>
      <x:c r="V253" s="2"/>
      <x:c r="W253" s="11" t="n">
        <x:v>1</x:v>
      </x:c>
      <x:c r="X253" s="13" t="str">
        <x:v>รหัสโต๊ะต้องยืนยัน</x:v>
      </x:c>
    </x:row>
    <x:row r="254" ht="24" customHeight="1">
      <x:c r="A254" s="2" t="str">
        <x:v>173_29</x:v>
      </x:c>
      <x:c r="B254" s="10" t="str">
        <x:v>173</x:v>
      </x:c>
      <x:c r="C254" s="11" t="n">
        <x:v>30</x:v>
      </x:c>
      <x:c r="D254" s="11" t="n">
        <x:v>29</x:v>
      </x:c>
      <x:c r="E254" s="2" t="str">
        <x:v>Walk in</x:v>
      </x:c>
      <x:c r="F254" s="11" t="n">
        <x:v>1</x:v>
      </x:c>
      <x:c r="G254" s="12"/>
      <x:c r="H254" s="12"/>
      <x:c r="I254" s="12" t="n">
        <x:v>0.34444444444444444</x:v>
      </x:c>
      <x:c r="J254" s="12" t="n">
        <x:v>0.3951388888888889</x:v>
      </x:c>
      <x:c r="K254" s="10" t="str">
        <x:v>8A</x:v>
      </x:c>
      <x:c r="L254" s="2" t="str">
        <x:v>direct_meal</x:v>
      </x:c>
      <x:c r="M254" s="8" t="str">
        <x:f>IF(P254=1,ROUND((H254-G254)*1440,6),"")</x:f>
      </x:c>
      <x:c r="N254" s="8" t="str">
        <x:f>IF(R254=1,M254,"")</x:f>
      </x:c>
      <x:c r="O254" s="8" t="n">
        <x:f>IF(S254=1,ROUND((J254-I254)*1440,6),"")</x:f>
        <x:v>73</x:v>
      </x:c>
      <x:c r="P254" s="11" t="n">
        <x:v>0</x:v>
      </x:c>
      <x:c r="Q254" s="11" t="n">
        <x:v>0</x:v>
      </x:c>
      <x:c r="R254" s="11" t="n">
        <x:v>0</x:v>
      </x:c>
      <x:c r="S254" s="11" t="n">
        <x:v>1</x:v>
      </x:c>
      <x:c r="T254" s="11" t="n">
        <x:v>1</x:v>
      </x:c>
      <x:c r="U254" s="2" t="str">
        <x:v>documented</x:v>
      </x:c>
      <x:c r="V254" s="2" t="str">
        <x:v>8A</x:v>
      </x:c>
      <x:c r="W254" s="11" t="n">
        <x:v>0</x:v>
      </x:c>
      <x:c r="X254" s="13"/>
    </x:row>
    <x:row r="255" ht="24" customHeight="1">
      <x:c r="A255" s="2" t="str">
        <x:v>173_30</x:v>
      </x:c>
      <x:c r="B255" s="10" t="str">
        <x:v>173</x:v>
      </x:c>
      <x:c r="C255" s="11" t="n">
        <x:v>31</x:v>
      </x:c>
      <x:c r="D255" s="11" t="n">
        <x:v>30</x:v>
      </x:c>
      <x:c r="E255" s="2" t="str">
        <x:v>In house</x:v>
      </x:c>
      <x:c r="F255" s="11" t="n">
        <x:v>2</x:v>
      </x:c>
      <x:c r="G255" s="12"/>
      <x:c r="H255" s="12"/>
      <x:c r="I255" s="12" t="n">
        <x:v>0.34930555555555554</x:v>
      </x:c>
      <x:c r="J255" s="12" t="n">
        <x:v>0.3798611111111111</x:v>
      </x:c>
      <x:c r="K255" s="10" t="str">
        <x:v>12</x:v>
      </x:c>
      <x:c r="L255" s="2" t="str">
        <x:v>direct_meal</x:v>
      </x:c>
      <x:c r="M255" s="8" t="str">
        <x:f>IF(P255=1,ROUND((H255-G255)*1440,6),"")</x:f>
      </x:c>
      <x:c r="N255" s="8" t="str">
        <x:f>IF(R255=1,M255,"")</x:f>
      </x:c>
      <x:c r="O255" s="8" t="n">
        <x:f>IF(S255=1,ROUND((J255-I255)*1440,6),"")</x:f>
        <x:v>44</x:v>
      </x:c>
      <x:c r="P255" s="11" t="n">
        <x:v>0</x:v>
      </x:c>
      <x:c r="Q255" s="11" t="n">
        <x:v>0</x:v>
      </x:c>
      <x:c r="R255" s="11" t="n">
        <x:v>0</x:v>
      </x:c>
      <x:c r="S255" s="11" t="n">
        <x:v>1</x:v>
      </x:c>
      <x:c r="T255" s="11" t="n">
        <x:v>1</x:v>
      </x:c>
      <x:c r="U255" s="2" t="str">
        <x:v>documented</x:v>
      </x:c>
      <x:c r="V255" s="2" t="str">
        <x:v>12</x:v>
      </x:c>
      <x:c r="W255" s="11" t="n">
        <x:v>0</x:v>
      </x:c>
      <x:c r="X255" s="13"/>
    </x:row>
    <x:row r="256" ht="24" customHeight="1">
      <x:c r="A256" s="2" t="str">
        <x:v>173_31</x:v>
      </x:c>
      <x:c r="B256" s="10" t="str">
        <x:v>173</x:v>
      </x:c>
      <x:c r="C256" s="11" t="n">
        <x:v>32</x:v>
      </x:c>
      <x:c r="D256" s="11" t="n">
        <x:v>31</x:v>
      </x:c>
      <x:c r="E256" s="2" t="str">
        <x:v>Walk in</x:v>
      </x:c>
      <x:c r="F256" s="11" t="n">
        <x:v>2</x:v>
      </x:c>
      <x:c r="G256" s="12"/>
      <x:c r="H256" s="12"/>
      <x:c r="I256" s="12" t="n">
        <x:v>0.35</x:v>
      </x:c>
      <x:c r="J256" s="12" t="n">
        <x:v>0.40902777777777777</x:v>
      </x:c>
      <x:c r="K256" s="10" t="str">
        <x:v>1B</x:v>
      </x:c>
      <x:c r="L256" s="2" t="str">
        <x:v>direct_meal</x:v>
      </x:c>
      <x:c r="M256" s="8" t="str">
        <x:f>IF(P256=1,ROUND((H256-G256)*1440,6),"")</x:f>
      </x:c>
      <x:c r="N256" s="8" t="str">
        <x:f>IF(R256=1,M256,"")</x:f>
      </x:c>
      <x:c r="O256" s="8" t="n">
        <x:f>IF(S256=1,ROUND((J256-I256)*1440,6),"")</x:f>
        <x:v>85</x:v>
      </x:c>
      <x:c r="P256" s="11" t="n">
        <x:v>0</x:v>
      </x:c>
      <x:c r="Q256" s="11" t="n">
        <x:v>0</x:v>
      </x:c>
      <x:c r="R256" s="11" t="n">
        <x:v>0</x:v>
      </x:c>
      <x:c r="S256" s="11" t="n">
        <x:v>1</x:v>
      </x:c>
      <x:c r="T256" s="11" t="n">
        <x:v>1</x:v>
      </x:c>
      <x:c r="U256" s="2" t="str">
        <x:v>documented</x:v>
      </x:c>
      <x:c r="V256" s="2" t="str">
        <x:v>1B</x:v>
      </x:c>
      <x:c r="W256" s="11" t="n">
        <x:v>0</x:v>
      </x:c>
      <x:c r="X256" s="13"/>
    </x:row>
    <x:row r="257" ht="24" customHeight="1">
      <x:c r="A257" s="2" t="str">
        <x:v>173_32</x:v>
      </x:c>
      <x:c r="B257" s="10" t="str">
        <x:v>173</x:v>
      </x:c>
      <x:c r="C257" s="11" t="n">
        <x:v>33</x:v>
      </x:c>
      <x:c r="D257" s="11" t="n">
        <x:v>32</x:v>
      </x:c>
      <x:c r="E257" s="2" t="str">
        <x:v>Walk in</x:v>
      </x:c>
      <x:c r="F257" s="11" t="n">
        <x:v>1</x:v>
      </x:c>
      <x:c r="G257" s="12"/>
      <x:c r="H257" s="12"/>
      <x:c r="I257" s="12" t="n">
        <x:v>0.35625</x:v>
      </x:c>
      <x:c r="J257" s="12" t="n">
        <x:v>0.3840277777777778</x:v>
      </x:c>
      <x:c r="K257" s="10" t="str">
        <x:v>2B</x:v>
      </x:c>
      <x:c r="L257" s="2" t="str">
        <x:v>direct_meal</x:v>
      </x:c>
      <x:c r="M257" s="8" t="str">
        <x:f>IF(P257=1,ROUND((H257-G257)*1440,6),"")</x:f>
      </x:c>
      <x:c r="N257" s="8" t="str">
        <x:f>IF(R257=1,M257,"")</x:f>
      </x:c>
      <x:c r="O257" s="8" t="n">
        <x:f>IF(S257=1,ROUND((J257-I257)*1440,6),"")</x:f>
        <x:v>40</x:v>
      </x:c>
      <x:c r="P257" s="11" t="n">
        <x:v>0</x:v>
      </x:c>
      <x:c r="Q257" s="11" t="n">
        <x:v>0</x:v>
      </x:c>
      <x:c r="R257" s="11" t="n">
        <x:v>0</x:v>
      </x:c>
      <x:c r="S257" s="11" t="n">
        <x:v>1</x:v>
      </x:c>
      <x:c r="T257" s="11" t="n">
        <x:v>1</x:v>
      </x:c>
      <x:c r="U257" s="2" t="str">
        <x:v>documented</x:v>
      </x:c>
      <x:c r="V257" s="2" t="str">
        <x:v>2B</x:v>
      </x:c>
      <x:c r="W257" s="11" t="n">
        <x:v>0</x:v>
      </x:c>
      <x:c r="X257" s="13"/>
    </x:row>
    <x:row r="258" ht="24" customHeight="1">
      <x:c r="A258" s="2" t="str">
        <x:v>173_33</x:v>
      </x:c>
      <x:c r="B258" s="10" t="str">
        <x:v>173</x:v>
      </x:c>
      <x:c r="C258" s="11" t="n">
        <x:v>34</x:v>
      </x:c>
      <x:c r="D258" s="11" t="n">
        <x:v>33</x:v>
      </x:c>
      <x:c r="E258" s="2" t="str">
        <x:v>In house</x:v>
      </x:c>
      <x:c r="F258" s="11" t="n">
        <x:v>2</x:v>
      </x:c>
      <x:c r="G258" s="12"/>
      <x:c r="H258" s="12"/>
      <x:c r="I258" s="12" t="n">
        <x:v>0.36319444444444443</x:v>
      </x:c>
      <x:c r="J258" s="12" t="n">
        <x:v>0.38958333333333334</x:v>
      </x:c>
      <x:c r="K258" s="10" t="str">
        <x:v>7A</x:v>
      </x:c>
      <x:c r="L258" s="2" t="str">
        <x:v>direct_meal</x:v>
      </x:c>
      <x:c r="M258" s="8" t="str">
        <x:f>IF(P258=1,ROUND((H258-G258)*1440,6),"")</x:f>
      </x:c>
      <x:c r="N258" s="8" t="str">
        <x:f>IF(R258=1,M258,"")</x:f>
      </x:c>
      <x:c r="O258" s="8" t="n">
        <x:f>IF(S258=1,ROUND((J258-I258)*1440,6),"")</x:f>
        <x:v>38</x:v>
      </x:c>
      <x:c r="P258" s="11" t="n">
        <x:v>0</x:v>
      </x:c>
      <x:c r="Q258" s="11" t="n">
        <x:v>0</x:v>
      </x:c>
      <x:c r="R258" s="11" t="n">
        <x:v>0</x:v>
      </x:c>
      <x:c r="S258" s="11" t="n">
        <x:v>1</x:v>
      </x:c>
      <x:c r="T258" s="11" t="n">
        <x:v>1</x:v>
      </x:c>
      <x:c r="U258" s="2" t="str">
        <x:v>documented</x:v>
      </x:c>
      <x:c r="V258" s="2" t="str">
        <x:v>7A</x:v>
      </x:c>
      <x:c r="W258" s="11" t="n">
        <x:v>0</x:v>
      </x:c>
      <x:c r="X258" s="13"/>
    </x:row>
    <x:row r="259" ht="24" customHeight="1">
      <x:c r="A259" s="2" t="str">
        <x:v>173_34</x:v>
      </x:c>
      <x:c r="B259" s="10" t="str">
        <x:v>173</x:v>
      </x:c>
      <x:c r="C259" s="11" t="n">
        <x:v>35</x:v>
      </x:c>
      <x:c r="D259" s="11" t="n">
        <x:v>34</x:v>
      </x:c>
      <x:c r="E259" s="2" t="str">
        <x:v>Walk in</x:v>
      </x:c>
      <x:c r="F259" s="11" t="n">
        <x:v>2</x:v>
      </x:c>
      <x:c r="G259" s="12"/>
      <x:c r="H259" s="12"/>
      <x:c r="I259" s="12" t="n">
        <x:v>0.36180555555555555</x:v>
      </x:c>
      <x:c r="J259" s="12" t="n">
        <x:v>0.39652777777777776</x:v>
      </x:c>
      <x:c r="K259" s="10" t="str">
        <x:v>14</x:v>
      </x:c>
      <x:c r="L259" s="2" t="str">
        <x:v>direct_meal</x:v>
      </x:c>
      <x:c r="M259" s="8" t="str">
        <x:f>IF(P259=1,ROUND((H259-G259)*1440,6),"")</x:f>
      </x:c>
      <x:c r="N259" s="8" t="str">
        <x:f>IF(R259=1,M259,"")</x:f>
      </x:c>
      <x:c r="O259" s="8" t="n">
        <x:f>IF(S259=1,ROUND((J259-I259)*1440,6),"")</x:f>
        <x:v>50</x:v>
      </x:c>
      <x:c r="P259" s="11" t="n">
        <x:v>0</x:v>
      </x:c>
      <x:c r="Q259" s="11" t="n">
        <x:v>0</x:v>
      </x:c>
      <x:c r="R259" s="11" t="n">
        <x:v>0</x:v>
      </x:c>
      <x:c r="S259" s="11" t="n">
        <x:v>1</x:v>
      </x:c>
      <x:c r="T259" s="11" t="n">
        <x:v>1</x:v>
      </x:c>
      <x:c r="U259" s="2" t="str">
        <x:v>documented</x:v>
      </x:c>
      <x:c r="V259" s="2" t="str">
        <x:v>14</x:v>
      </x:c>
      <x:c r="W259" s="11" t="n">
        <x:v>0</x:v>
      </x:c>
      <x:c r="X259" s="13"/>
    </x:row>
    <x:row r="260" ht="24" customHeight="1">
      <x:c r="A260" s="2" t="str">
        <x:v>173_35</x:v>
      </x:c>
      <x:c r="B260" s="10" t="str">
        <x:v>173</x:v>
      </x:c>
      <x:c r="C260" s="11" t="n">
        <x:v>36</x:v>
      </x:c>
      <x:c r="D260" s="11" t="n">
        <x:v>35</x:v>
      </x:c>
      <x:c r="E260" s="2" t="str">
        <x:v>Walk in</x:v>
      </x:c>
      <x:c r="F260" s="11" t="n">
        <x:v>1</x:v>
      </x:c>
      <x:c r="G260" s="12"/>
      <x:c r="H260" s="12"/>
      <x:c r="I260" s="12" t="n">
        <x:v>0.36319444444444443</x:v>
      </x:c>
      <x:c r="J260" s="12" t="n">
        <x:v>0.3888888888888889</x:v>
      </x:c>
      <x:c r="K260" s="10" t="str">
        <x:v>8C</x:v>
      </x:c>
      <x:c r="L260" s="2" t="str">
        <x:v>direct_meal</x:v>
      </x:c>
      <x:c r="M260" s="8" t="str">
        <x:f>IF(P260=1,ROUND((H260-G260)*1440,6),"")</x:f>
      </x:c>
      <x:c r="N260" s="8" t="str">
        <x:f>IF(R260=1,M260,"")</x:f>
      </x:c>
      <x:c r="O260" s="8" t="n">
        <x:f>IF(S260=1,ROUND((J260-I260)*1440,6),"")</x:f>
        <x:v>37</x:v>
      </x:c>
      <x:c r="P260" s="11" t="n">
        <x:v>0</x:v>
      </x:c>
      <x:c r="Q260" s="11" t="n">
        <x:v>0</x:v>
      </x:c>
      <x:c r="R260" s="11" t="n">
        <x:v>0</x:v>
      </x:c>
      <x:c r="S260" s="11" t="n">
        <x:v>1</x:v>
      </x:c>
      <x:c r="T260" s="11" t="n">
        <x:v>1</x:v>
      </x:c>
      <x:c r="U260" s="2" t="str">
        <x:v>documented</x:v>
      </x:c>
      <x:c r="V260" s="2" t="str">
        <x:v>8C</x:v>
      </x:c>
      <x:c r="W260" s="11" t="n">
        <x:v>0</x:v>
      </x:c>
      <x:c r="X260" s="13"/>
    </x:row>
    <x:row r="261" ht="24" customHeight="1">
      <x:c r="A261" s="2" t="str">
        <x:v>173_36</x:v>
      </x:c>
      <x:c r="B261" s="10" t="str">
        <x:v>173</x:v>
      </x:c>
      <x:c r="C261" s="11" t="n">
        <x:v>37</x:v>
      </x:c>
      <x:c r="D261" s="11" t="n">
        <x:v>36</x:v>
      </x:c>
      <x:c r="E261" s="2" t="str">
        <x:v>In house</x:v>
      </x:c>
      <x:c r="F261" s="11" t="n">
        <x:v>2</x:v>
      </x:c>
      <x:c r="G261" s="12"/>
      <x:c r="H261" s="12"/>
      <x:c r="I261" s="12" t="n">
        <x:v>0.3680555555555556</x:v>
      </x:c>
      <x:c r="J261" s="12" t="n">
        <x:v>0.3958333333333333</x:v>
      </x:c>
      <x:c r="K261" s="10" t="str">
        <x:v>11B</x:v>
      </x:c>
      <x:c r="L261" s="2" t="str">
        <x:v>direct_meal</x:v>
      </x:c>
      <x:c r="M261" s="8" t="str">
        <x:f>IF(P261=1,ROUND((H261-G261)*1440,6),"")</x:f>
      </x:c>
      <x:c r="N261" s="8" t="str">
        <x:f>IF(R261=1,M261,"")</x:f>
      </x:c>
      <x:c r="O261" s="8" t="n">
        <x:f>IF(S261=1,ROUND((J261-I261)*1440,6),"")</x:f>
        <x:v>40</x:v>
      </x:c>
      <x:c r="P261" s="11" t="n">
        <x:v>0</x:v>
      </x:c>
      <x:c r="Q261" s="11" t="n">
        <x:v>0</x:v>
      </x:c>
      <x:c r="R261" s="11" t="n">
        <x:v>0</x:v>
      </x:c>
      <x:c r="S261" s="11" t="n">
        <x:v>1</x:v>
      </x:c>
      <x:c r="T261" s="11" t="n">
        <x:v>1</x:v>
      </x:c>
      <x:c r="U261" s="2" t="str">
        <x:v>documented</x:v>
      </x:c>
      <x:c r="V261" s="2" t="str">
        <x:v>11B</x:v>
      </x:c>
      <x:c r="W261" s="11" t="n">
        <x:v>0</x:v>
      </x:c>
      <x:c r="X261" s="13"/>
    </x:row>
    <x:row r="262" ht="24" customHeight="1">
      <x:c r="A262" s="2" t="str">
        <x:v>173_37</x:v>
      </x:c>
      <x:c r="B262" s="10" t="str">
        <x:v>173</x:v>
      </x:c>
      <x:c r="C262" s="11" t="n">
        <x:v>38</x:v>
      </x:c>
      <x:c r="D262" s="11" t="n">
        <x:v>37</x:v>
      </x:c>
      <x:c r="E262" s="2" t="str">
        <x:v>In house</x:v>
      </x:c>
      <x:c r="F262" s="11" t="n">
        <x:v>1</x:v>
      </x:c>
      <x:c r="G262" s="12"/>
      <x:c r="H262" s="12"/>
      <x:c r="I262" s="12" t="n">
        <x:v>0.37222222222222223</x:v>
      </x:c>
      <x:c r="J262" s="12" t="n">
        <x:v>0.38333333333333336</x:v>
      </x:c>
      <x:c r="K262" s="10" t="str">
        <x:v>15</x:v>
      </x:c>
      <x:c r="L262" s="2" t="str">
        <x:v>direct_meal</x:v>
      </x:c>
      <x:c r="M262" s="8" t="str">
        <x:f>IF(P262=1,ROUND((H262-G262)*1440,6),"")</x:f>
      </x:c>
      <x:c r="N262" s="8" t="str">
        <x:f>IF(R262=1,M262,"")</x:f>
      </x:c>
      <x:c r="O262" s="8" t="n">
        <x:f>IF(S262=1,ROUND((J262-I262)*1440,6),"")</x:f>
        <x:v>16</x:v>
      </x:c>
      <x:c r="P262" s="11" t="n">
        <x:v>0</x:v>
      </x:c>
      <x:c r="Q262" s="11" t="n">
        <x:v>0</x:v>
      </x:c>
      <x:c r="R262" s="11" t="n">
        <x:v>0</x:v>
      </x:c>
      <x:c r="S262" s="11" t="n">
        <x:v>1</x:v>
      </x:c>
      <x:c r="T262" s="11" t="n">
        <x:v>1</x:v>
      </x:c>
      <x:c r="U262" s="2" t="str">
        <x:v>documented</x:v>
      </x:c>
      <x:c r="V262" s="2" t="str">
        <x:v>15</x:v>
      </x:c>
      <x:c r="W262" s="11" t="n">
        <x:v>0</x:v>
      </x:c>
      <x:c r="X262" s="13"/>
    </x:row>
    <x:row r="263" ht="24" customHeight="1">
      <x:c r="A263" s="2" t="str">
        <x:v>173_38</x:v>
      </x:c>
      <x:c r="B263" s="10" t="str">
        <x:v>173</x:v>
      </x:c>
      <x:c r="C263" s="11" t="n">
        <x:v>39</x:v>
      </x:c>
      <x:c r="D263" s="11" t="n">
        <x:v>38</x:v>
      </x:c>
      <x:c r="E263" s="2" t="str">
        <x:v>Walk in</x:v>
      </x:c>
      <x:c r="F263" s="11" t="n">
        <x:v>1</x:v>
      </x:c>
      <x:c r="G263" s="12"/>
      <x:c r="H263" s="12"/>
      <x:c r="I263" s="12" t="n">
        <x:v>0.3784722222222222</x:v>
      </x:c>
      <x:c r="J263" s="12" t="n">
        <x:v>0.40069444444444446</x:v>
      </x:c>
      <x:c r="K263" s="10" t="str">
        <x:v>16</x:v>
      </x:c>
      <x:c r="L263" s="2" t="str">
        <x:v>direct_meal</x:v>
      </x:c>
      <x:c r="M263" s="8" t="str">
        <x:f>IF(P263=1,ROUND((H263-G263)*1440,6),"")</x:f>
      </x:c>
      <x:c r="N263" s="8" t="str">
        <x:f>IF(R263=1,M263,"")</x:f>
      </x:c>
      <x:c r="O263" s="8" t="n">
        <x:f>IF(S263=1,ROUND((J263-I263)*1440,6),"")</x:f>
        <x:v>32</x:v>
      </x:c>
      <x:c r="P263" s="11" t="n">
        <x:v>0</x:v>
      </x:c>
      <x:c r="Q263" s="11" t="n">
        <x:v>0</x:v>
      </x:c>
      <x:c r="R263" s="11" t="n">
        <x:v>0</x:v>
      </x:c>
      <x:c r="S263" s="11" t="n">
        <x:v>1</x:v>
      </x:c>
      <x:c r="T263" s="11" t="n">
        <x:v>1</x:v>
      </x:c>
      <x:c r="U263" s="2" t="str">
        <x:v>needs_mapping</x:v>
      </x:c>
      <x:c r="V263" s="2"/>
      <x:c r="W263" s="11" t="n">
        <x:v>1</x:v>
      </x:c>
      <x:c r="X263" s="13" t="str">
        <x:v>รหัสโต๊ะต้องยืนยัน</x:v>
      </x:c>
    </x:row>
    <x:row r="264" ht="24" customHeight="1">
      <x:c r="A264" s="2" t="str">
        <x:v>173_39</x:v>
      </x:c>
      <x:c r="B264" s="10" t="str">
        <x:v>173</x:v>
      </x:c>
      <x:c r="C264" s="11" t="n">
        <x:v>40</x:v>
      </x:c>
      <x:c r="D264" s="11" t="n">
        <x:v>39</x:v>
      </x:c>
      <x:c r="E264" s="2" t="str">
        <x:v>Walk in</x:v>
      </x:c>
      <x:c r="F264" s="11" t="n">
        <x:v>2</x:v>
      </x:c>
      <x:c r="G264" s="12"/>
      <x:c r="H264" s="12"/>
      <x:c r="I264" s="12" t="n">
        <x:v>0.3784722222222222</x:v>
      </x:c>
      <x:c r="J264" s="12" t="n">
        <x:v>0.46875</x:v>
      </x:c>
      <x:c r="K264" s="10" t="str">
        <x:v>4</x:v>
      </x:c>
      <x:c r="L264" s="2" t="str">
        <x:v>direct_meal</x:v>
      </x:c>
      <x:c r="M264" s="8" t="str">
        <x:f>IF(P264=1,ROUND((H264-G264)*1440,6),"")</x:f>
      </x:c>
      <x:c r="N264" s="8" t="str">
        <x:f>IF(R264=1,M264,"")</x:f>
      </x:c>
      <x:c r="O264" s="8" t="n">
        <x:f>IF(S264=1,ROUND((J264-I264)*1440,6),"")</x:f>
        <x:v>130</x:v>
      </x:c>
      <x:c r="P264" s="11" t="n">
        <x:v>0</x:v>
      </x:c>
      <x:c r="Q264" s="11" t="n">
        <x:v>0</x:v>
      </x:c>
      <x:c r="R264" s="11" t="n">
        <x:v>0</x:v>
      </x:c>
      <x:c r="S264" s="11" t="n">
        <x:v>1</x:v>
      </x:c>
      <x:c r="T264" s="11" t="n">
        <x:v>1</x:v>
      </x:c>
      <x:c r="U264" s="2" t="str">
        <x:v>needs_mapping</x:v>
      </x:c>
      <x:c r="V264" s="2"/>
      <x:c r="W264" s="11" t="n">
        <x:v>1</x:v>
      </x:c>
      <x:c r="X264" s="13" t="str">
        <x:v>รหัสโต๊ะต้องยืนยัน</x:v>
      </x:c>
    </x:row>
    <x:row r="265" ht="24" customHeight="1">
      <x:c r="A265" s="2" t="str">
        <x:v>173_40</x:v>
      </x:c>
      <x:c r="B265" s="10" t="str">
        <x:v>173</x:v>
      </x:c>
      <x:c r="C265" s="11" t="n">
        <x:v>41</x:v>
      </x:c>
      <x:c r="D265" s="11" t="n">
        <x:v>40</x:v>
      </x:c>
      <x:c r="E265" s="2" t="str">
        <x:v>In house</x:v>
      </x:c>
      <x:c r="F265" s="11" t="n">
        <x:v>2</x:v>
      </x:c>
      <x:c r="G265" s="12"/>
      <x:c r="H265" s="12"/>
      <x:c r="I265" s="12" t="n">
        <x:v>0.3819444444444444</x:v>
      </x:c>
      <x:c r="J265" s="12" t="n">
        <x:v>0.43194444444444446</x:v>
      </x:c>
      <x:c r="K265" s="10" t="str">
        <x:v>8B</x:v>
      </x:c>
      <x:c r="L265" s="2" t="str">
        <x:v>direct_meal</x:v>
      </x:c>
      <x:c r="M265" s="8" t="str">
        <x:f>IF(P265=1,ROUND((H265-G265)*1440,6),"")</x:f>
      </x:c>
      <x:c r="N265" s="8" t="str">
        <x:f>IF(R265=1,M265,"")</x:f>
      </x:c>
      <x:c r="O265" s="8" t="n">
        <x:f>IF(S265=1,ROUND((J265-I265)*1440,6),"")</x:f>
        <x:v>72</x:v>
      </x:c>
      <x:c r="P265" s="11" t="n">
        <x:v>0</x:v>
      </x:c>
      <x:c r="Q265" s="11" t="n">
        <x:v>0</x:v>
      </x:c>
      <x:c r="R265" s="11" t="n">
        <x:v>0</x:v>
      </x:c>
      <x:c r="S265" s="11" t="n">
        <x:v>1</x:v>
      </x:c>
      <x:c r="T265" s="11" t="n">
        <x:v>1</x:v>
      </x:c>
      <x:c r="U265" s="2" t="str">
        <x:v>documented</x:v>
      </x:c>
      <x:c r="V265" s="2" t="str">
        <x:v>8B</x:v>
      </x:c>
      <x:c r="W265" s="11" t="n">
        <x:v>0</x:v>
      </x:c>
      <x:c r="X265" s="13"/>
    </x:row>
    <x:row r="266" ht="24" customHeight="1">
      <x:c r="A266" s="2" t="str">
        <x:v>173_41</x:v>
      </x:c>
      <x:c r="B266" s="10" t="str">
        <x:v>173</x:v>
      </x:c>
      <x:c r="C266" s="11" t="n">
        <x:v>42</x:v>
      </x:c>
      <x:c r="D266" s="11" t="n">
        <x:v>41</x:v>
      </x:c>
      <x:c r="E266" s="2" t="str">
        <x:v>Walk in</x:v>
      </x:c>
      <x:c r="F266" s="11" t="n">
        <x:v>2</x:v>
      </x:c>
      <x:c r="G266" s="12"/>
      <x:c r="H266" s="12"/>
      <x:c r="I266" s="12" t="n">
        <x:v>0.38472222222222224</x:v>
      </x:c>
      <x:c r="J266" s="12" t="n">
        <x:v>0.4326388888888889</x:v>
      </x:c>
      <x:c r="K266" s="10" t="str">
        <x:v>1A</x:v>
      </x:c>
      <x:c r="L266" s="2" t="str">
        <x:v>direct_meal</x:v>
      </x:c>
      <x:c r="M266" s="8" t="str">
        <x:f>IF(P266=1,ROUND((H266-G266)*1440,6),"")</x:f>
      </x:c>
      <x:c r="N266" s="8" t="str">
        <x:f>IF(R266=1,M266,"")</x:f>
      </x:c>
      <x:c r="O266" s="8" t="n">
        <x:f>IF(S266=1,ROUND((J266-I266)*1440,6),"")</x:f>
        <x:v>69</x:v>
      </x:c>
      <x:c r="P266" s="11" t="n">
        <x:v>0</x:v>
      </x:c>
      <x:c r="Q266" s="11" t="n">
        <x:v>0</x:v>
      </x:c>
      <x:c r="R266" s="11" t="n">
        <x:v>0</x:v>
      </x:c>
      <x:c r="S266" s="11" t="n">
        <x:v>1</x:v>
      </x:c>
      <x:c r="T266" s="11" t="n">
        <x:v>1</x:v>
      </x:c>
      <x:c r="U266" s="2" t="str">
        <x:v>documented</x:v>
      </x:c>
      <x:c r="V266" s="2" t="str">
        <x:v>1A</x:v>
      </x:c>
      <x:c r="W266" s="11" t="n">
        <x:v>0</x:v>
      </x:c>
      <x:c r="X266" s="13"/>
    </x:row>
    <x:row r="267" ht="24" customHeight="1">
      <x:c r="A267" s="2" t="str">
        <x:v>173_42</x:v>
      </x:c>
      <x:c r="B267" s="10" t="str">
        <x:v>173</x:v>
      </x:c>
      <x:c r="C267" s="11" t="n">
        <x:v>43</x:v>
      </x:c>
      <x:c r="D267" s="11" t="n">
        <x:v>42</x:v>
      </x:c>
      <x:c r="E267" s="2" t="str">
        <x:v>Walk in</x:v>
      </x:c>
      <x:c r="F267" s="11" t="n">
        <x:v>1</x:v>
      </x:c>
      <x:c r="G267" s="12"/>
      <x:c r="H267" s="12"/>
      <x:c r="I267" s="12" t="n">
        <x:v>0.3861111111111111</x:v>
      </x:c>
      <x:c r="J267" s="12" t="n">
        <x:v>0.4486111111111111</x:v>
      </x:c>
      <x:c r="K267" s="10" t="str">
        <x:v>1B</x:v>
      </x:c>
      <x:c r="L267" s="2" t="str">
        <x:v>direct_meal</x:v>
      </x:c>
      <x:c r="M267" s="8" t="str">
        <x:f>IF(P267=1,ROUND((H267-G267)*1440,6),"")</x:f>
      </x:c>
      <x:c r="N267" s="8" t="str">
        <x:f>IF(R267=1,M267,"")</x:f>
      </x:c>
      <x:c r="O267" s="8" t="n">
        <x:f>IF(S267=1,ROUND((J267-I267)*1440,6),"")</x:f>
        <x:v>90</x:v>
      </x:c>
      <x:c r="P267" s="11" t="n">
        <x:v>0</x:v>
      </x:c>
      <x:c r="Q267" s="11" t="n">
        <x:v>0</x:v>
      </x:c>
      <x:c r="R267" s="11" t="n">
        <x:v>0</x:v>
      </x:c>
      <x:c r="S267" s="11" t="n">
        <x:v>1</x:v>
      </x:c>
      <x:c r="T267" s="11" t="n">
        <x:v>1</x:v>
      </x:c>
      <x:c r="U267" s="2" t="str">
        <x:v>documented</x:v>
      </x:c>
      <x:c r="V267" s="2" t="str">
        <x:v>1B</x:v>
      </x:c>
      <x:c r="W267" s="11" t="n">
        <x:v>0</x:v>
      </x:c>
      <x:c r="X267" s="13"/>
    </x:row>
    <x:row r="268" ht="24" customHeight="1">
      <x:c r="A268" s="2" t="str">
        <x:v>173_43</x:v>
      </x:c>
      <x:c r="B268" s="10" t="str">
        <x:v>173</x:v>
      </x:c>
      <x:c r="C268" s="11" t="n">
        <x:v>44</x:v>
      </x:c>
      <x:c r="D268" s="11" t="n">
        <x:v>43</x:v>
      </x:c>
      <x:c r="E268" s="2" t="str">
        <x:v>In house</x:v>
      </x:c>
      <x:c r="F268" s="11" t="n">
        <x:v>3</x:v>
      </x:c>
      <x:c r="G268" s="12"/>
      <x:c r="H268" s="12"/>
      <x:c r="I268" s="12" t="n">
        <x:v>0.3958333333333333</x:v>
      </x:c>
      <x:c r="J268" s="12" t="n">
        <x:v>0.42083333333333334</x:v>
      </x:c>
      <x:c r="K268" s="10" t="str">
        <x:v>11</x:v>
      </x:c>
      <x:c r="L268" s="2" t="str">
        <x:v>direct_meal</x:v>
      </x:c>
      <x:c r="M268" s="8" t="str">
        <x:f>IF(P268=1,ROUND((H268-G268)*1440,6),"")</x:f>
      </x:c>
      <x:c r="N268" s="8" t="str">
        <x:f>IF(R268=1,M268,"")</x:f>
      </x:c>
      <x:c r="O268" s="8" t="n">
        <x:f>IF(S268=1,ROUND((J268-I268)*1440,6),"")</x:f>
        <x:v>36</x:v>
      </x:c>
      <x:c r="P268" s="11" t="n">
        <x:v>0</x:v>
      </x:c>
      <x:c r="Q268" s="11" t="n">
        <x:v>0</x:v>
      </x:c>
      <x:c r="R268" s="11" t="n">
        <x:v>0</x:v>
      </x:c>
      <x:c r="S268" s="11" t="n">
        <x:v>1</x:v>
      </x:c>
      <x:c r="T268" s="11" t="n">
        <x:v>1</x:v>
      </x:c>
      <x:c r="U268" s="2" t="str">
        <x:v>needs_mapping</x:v>
      </x:c>
      <x:c r="V268" s="2"/>
      <x:c r="W268" s="11" t="n">
        <x:v>1</x:v>
      </x:c>
      <x:c r="X268" s="13" t="str">
        <x:v>รหัสโต๊ะต้องยืนยัน</x:v>
      </x:c>
    </x:row>
    <x:row r="269" ht="24" customHeight="1">
      <x:c r="A269" s="2" t="str">
        <x:v>173_44</x:v>
      </x:c>
      <x:c r="B269" s="10" t="str">
        <x:v>173</x:v>
      </x:c>
      <x:c r="C269" s="11" t="n">
        <x:v>45</x:v>
      </x:c>
      <x:c r="D269" s="11" t="n">
        <x:v>44</x:v>
      </x:c>
      <x:c r="E269" s="2" t="str">
        <x:v>In house</x:v>
      </x:c>
      <x:c r="F269" s="11" t="n">
        <x:v>1</x:v>
      </x:c>
      <x:c r="G269" s="12"/>
      <x:c r="H269" s="12"/>
      <x:c r="I269" s="12" t="n">
        <x:v>0.3972222222222222</x:v>
      </x:c>
      <x:c r="J269" s="12" t="n">
        <x:v>0.41180555555555554</x:v>
      </x:c>
      <x:c r="K269" s="10" t="str">
        <x:v>7A</x:v>
      </x:c>
      <x:c r="L269" s="2" t="str">
        <x:v>direct_meal</x:v>
      </x:c>
      <x:c r="M269" s="8" t="str">
        <x:f>IF(P269=1,ROUND((H269-G269)*1440,6),"")</x:f>
      </x:c>
      <x:c r="N269" s="8" t="str">
        <x:f>IF(R269=1,M269,"")</x:f>
      </x:c>
      <x:c r="O269" s="8" t="n">
        <x:f>IF(S269=1,ROUND((J269-I269)*1440,6),"")</x:f>
        <x:v>21</x:v>
      </x:c>
      <x:c r="P269" s="11" t="n">
        <x:v>0</x:v>
      </x:c>
      <x:c r="Q269" s="11" t="n">
        <x:v>0</x:v>
      </x:c>
      <x:c r="R269" s="11" t="n">
        <x:v>0</x:v>
      </x:c>
      <x:c r="S269" s="11" t="n">
        <x:v>1</x:v>
      </x:c>
      <x:c r="T269" s="11" t="n">
        <x:v>1</x:v>
      </x:c>
      <x:c r="U269" s="2" t="str">
        <x:v>documented</x:v>
      </x:c>
      <x:c r="V269" s="2" t="str">
        <x:v>7A</x:v>
      </x:c>
      <x:c r="W269" s="11" t="n">
        <x:v>0</x:v>
      </x:c>
      <x:c r="X269" s="13"/>
    </x:row>
    <x:row r="270" ht="24" customHeight="1">
      <x:c r="A270" s="2" t="str">
        <x:v>173_45</x:v>
      </x:c>
      <x:c r="B270" s="10" t="str">
        <x:v>173</x:v>
      </x:c>
      <x:c r="C270" s="11" t="n">
        <x:v>46</x:v>
      </x:c>
      <x:c r="D270" s="11" t="n">
        <x:v>45</x:v>
      </x:c>
      <x:c r="E270" s="2" t="str">
        <x:v>In house</x:v>
      </x:c>
      <x:c r="F270" s="11" t="n">
        <x:v>3</x:v>
      </x:c>
      <x:c r="G270" s="12"/>
      <x:c r="H270" s="12"/>
      <x:c r="I270" s="12" t="n">
        <x:v>0.3993055555555556</x:v>
      </x:c>
      <x:c r="J270" s="12" t="n">
        <x:v>0.4326388888888889</x:v>
      </x:c>
      <x:c r="K270" s="10" t="str">
        <x:v>10</x:v>
      </x:c>
      <x:c r="L270" s="2" t="str">
        <x:v>direct_meal</x:v>
      </x:c>
      <x:c r="M270" s="8" t="str">
        <x:f>IF(P270=1,ROUND((H270-G270)*1440,6),"")</x:f>
      </x:c>
      <x:c r="N270" s="8" t="str">
        <x:f>IF(R270=1,M270,"")</x:f>
      </x:c>
      <x:c r="O270" s="8" t="n">
        <x:f>IF(S270=1,ROUND((J270-I270)*1440,6),"")</x:f>
        <x:v>48</x:v>
      </x:c>
      <x:c r="P270" s="11" t="n">
        <x:v>0</x:v>
      </x:c>
      <x:c r="Q270" s="11" t="n">
        <x:v>0</x:v>
      </x:c>
      <x:c r="R270" s="11" t="n">
        <x:v>0</x:v>
      </x:c>
      <x:c r="S270" s="11" t="n">
        <x:v>1</x:v>
      </x:c>
      <x:c r="T270" s="11" t="n">
        <x:v>1</x:v>
      </x:c>
      <x:c r="U270" s="2" t="str">
        <x:v>needs_mapping</x:v>
      </x:c>
      <x:c r="V270" s="2"/>
      <x:c r="W270" s="11" t="n">
        <x:v>1</x:v>
      </x:c>
      <x:c r="X270" s="13" t="str">
        <x:v>รหัสโต๊ะต้องยืนยัน</x:v>
      </x:c>
    </x:row>
    <x:row r="271" ht="24" customHeight="1">
      <x:c r="A271" s="2" t="str">
        <x:v>173_46</x:v>
      </x:c>
      <x:c r="B271" s="10" t="str">
        <x:v>173</x:v>
      </x:c>
      <x:c r="C271" s="11" t="n">
        <x:v>47</x:v>
      </x:c>
      <x:c r="D271" s="11" t="n">
        <x:v>46</x:v>
      </x:c>
      <x:c r="E271" s="2" t="str">
        <x:v>In house</x:v>
      </x:c>
      <x:c r="F271" s="11" t="n">
        <x:v>1</x:v>
      </x:c>
      <x:c r="G271" s="12"/>
      <x:c r="H271" s="12"/>
      <x:c r="I271" s="12" t="n">
        <x:v>0.35833333333333334</x:v>
      </x:c>
      <x:c r="J271" s="12" t="n">
        <x:v>0.5090277777777777</x:v>
      </x:c>
      <x:c r="K271" s="10" t="str">
        <x:v>8A</x:v>
      </x:c>
      <x:c r="L271" s="2" t="str">
        <x:v>direct_meal</x:v>
      </x:c>
      <x:c r="M271" s="8" t="str">
        <x:f>IF(P271=1,ROUND((H271-G271)*1440,6),"")</x:f>
      </x:c>
      <x:c r="N271" s="8" t="str">
        <x:f>IF(R271=1,M271,"")</x:f>
      </x:c>
      <x:c r="O271" s="8" t="n">
        <x:f>IF(S271=1,ROUND((J271-I271)*1440,6),"")</x:f>
        <x:v>217</x:v>
      </x:c>
      <x:c r="P271" s="11" t="n">
        <x:v>0</x:v>
      </x:c>
      <x:c r="Q271" s="11" t="n">
        <x:v>0</x:v>
      </x:c>
      <x:c r="R271" s="11" t="n">
        <x:v>0</x:v>
      </x:c>
      <x:c r="S271" s="11" t="n">
        <x:v>1</x:v>
      </x:c>
      <x:c r="T271" s="11" t="n">
        <x:v>1</x:v>
      </x:c>
      <x:c r="U271" s="2" t="str">
        <x:v>documented</x:v>
      </x:c>
      <x:c r="V271" s="2" t="str">
        <x:v>8A</x:v>
      </x:c>
      <x:c r="W271" s="11" t="n">
        <x:v>0</x:v>
      </x:c>
      <x:c r="X271" s="13"/>
    </x:row>
    <x:row r="272" ht="24" customHeight="1">
      <x:c r="A272" s="2" t="str">
        <x:v>173_47</x:v>
      </x:c>
      <x:c r="B272" s="10" t="str">
        <x:v>173</x:v>
      </x:c>
      <x:c r="C272" s="11" t="n">
        <x:v>48</x:v>
      </x:c>
      <x:c r="D272" s="11" t="n">
        <x:v>47</x:v>
      </x:c>
      <x:c r="E272" s="2" t="str">
        <x:v>In house</x:v>
      </x:c>
      <x:c r="F272" s="11" t="n">
        <x:v>2</x:v>
      </x:c>
      <x:c r="G272" s="12"/>
      <x:c r="H272" s="12"/>
      <x:c r="I272" s="12" t="n">
        <x:v>0.40347222222222223</x:v>
      </x:c>
      <x:c r="J272" s="12" t="n">
        <x:v>0.42083333333333334</x:v>
      </x:c>
      <x:c r="K272" s="10" t="str">
        <x:v>2</x:v>
      </x:c>
      <x:c r="L272" s="2" t="str">
        <x:v>direct_meal</x:v>
      </x:c>
      <x:c r="M272" s="8" t="str">
        <x:f>IF(P272=1,ROUND((H272-G272)*1440,6),"")</x:f>
      </x:c>
      <x:c r="N272" s="8" t="str">
        <x:f>IF(R272=1,M272,"")</x:f>
      </x:c>
      <x:c r="O272" s="8" t="n">
        <x:f>IF(S272=1,ROUND((J272-I272)*1440,6),"")</x:f>
        <x:v>25</x:v>
      </x:c>
      <x:c r="P272" s="11" t="n">
        <x:v>0</x:v>
      </x:c>
      <x:c r="Q272" s="11" t="n">
        <x:v>0</x:v>
      </x:c>
      <x:c r="R272" s="11" t="n">
        <x:v>0</x:v>
      </x:c>
      <x:c r="S272" s="11" t="n">
        <x:v>1</x:v>
      </x:c>
      <x:c r="T272" s="11" t="n">
        <x:v>1</x:v>
      </x:c>
      <x:c r="U272" s="2" t="str">
        <x:v>needs_mapping</x:v>
      </x:c>
      <x:c r="V272" s="2"/>
      <x:c r="W272" s="11" t="n">
        <x:v>1</x:v>
      </x:c>
      <x:c r="X272" s="13" t="str">
        <x:v>รหัสโต๊ะต้องยืนยัน</x:v>
      </x:c>
    </x:row>
    <x:row r="273" ht="24" customHeight="1">
      <x:c r="A273" s="2" t="str">
        <x:v>173_48</x:v>
      </x:c>
      <x:c r="B273" s="10" t="str">
        <x:v>173</x:v>
      </x:c>
      <x:c r="C273" s="11" t="n">
        <x:v>49</x:v>
      </x:c>
      <x:c r="D273" s="11" t="n">
        <x:v>48</x:v>
      </x:c>
      <x:c r="E273" s="2" t="str">
        <x:v>In house</x:v>
      </x:c>
      <x:c r="F273" s="11" t="n">
        <x:v>2</x:v>
      </x:c>
      <x:c r="G273" s="12"/>
      <x:c r="H273" s="12"/>
      <x:c r="I273" s="12" t="n">
        <x:v>0.40625</x:v>
      </x:c>
      <x:c r="J273" s="12" t="n">
        <x:v>0.42916666666666664</x:v>
      </x:c>
      <x:c r="K273" s="10" t="str">
        <x:v>16</x:v>
      </x:c>
      <x:c r="L273" s="2" t="str">
        <x:v>direct_meal</x:v>
      </x:c>
      <x:c r="M273" s="8" t="str">
        <x:f>IF(P273=1,ROUND((H273-G273)*1440,6),"")</x:f>
      </x:c>
      <x:c r="N273" s="8" t="str">
        <x:f>IF(R273=1,M273,"")</x:f>
      </x:c>
      <x:c r="O273" s="8" t="n">
        <x:f>IF(S273=1,ROUND((J273-I273)*1440,6),"")</x:f>
        <x:v>33</x:v>
      </x:c>
      <x:c r="P273" s="11" t="n">
        <x:v>0</x:v>
      </x:c>
      <x:c r="Q273" s="11" t="n">
        <x:v>0</x:v>
      </x:c>
      <x:c r="R273" s="11" t="n">
        <x:v>0</x:v>
      </x:c>
      <x:c r="S273" s="11" t="n">
        <x:v>1</x:v>
      </x:c>
      <x:c r="T273" s="11" t="n">
        <x:v>1</x:v>
      </x:c>
      <x:c r="U273" s="2" t="str">
        <x:v>needs_mapping</x:v>
      </x:c>
      <x:c r="V273" s="2"/>
      <x:c r="W273" s="11" t="n">
        <x:v>1</x:v>
      </x:c>
      <x:c r="X273" s="13" t="str">
        <x:v>รหัสโต๊ะต้องยืนยัน</x:v>
      </x:c>
    </x:row>
    <x:row r="274" ht="24" customHeight="1">
      <x:c r="A274" s="2" t="str">
        <x:v>173_49</x:v>
      </x:c>
      <x:c r="B274" s="10" t="str">
        <x:v>173</x:v>
      </x:c>
      <x:c r="C274" s="11" t="n">
        <x:v>50</x:v>
      </x:c>
      <x:c r="D274" s="11" t="n">
        <x:v>49</x:v>
      </x:c>
      <x:c r="E274" s="2" t="str">
        <x:v>Walk in</x:v>
      </x:c>
      <x:c r="F274" s="11" t="n">
        <x:v>2</x:v>
      </x:c>
      <x:c r="G274" s="12"/>
      <x:c r="H274" s="12"/>
      <x:c r="I274" s="12" t="n">
        <x:v>0.4097222222222222</x:v>
      </x:c>
      <x:c r="J274" s="12" t="n">
        <x:v>0.49375</x:v>
      </x:c>
      <x:c r="K274" s="10" t="str">
        <x:v>4</x:v>
      </x:c>
      <x:c r="L274" s="2" t="str">
        <x:v>direct_meal</x:v>
      </x:c>
      <x:c r="M274" s="8" t="str">
        <x:f>IF(P274=1,ROUND((H274-G274)*1440,6),"")</x:f>
      </x:c>
      <x:c r="N274" s="8" t="str">
        <x:f>IF(R274=1,M274,"")</x:f>
      </x:c>
      <x:c r="O274" s="8" t="n">
        <x:f>IF(S274=1,ROUND((J274-I274)*1440,6),"")</x:f>
        <x:v>121</x:v>
      </x:c>
      <x:c r="P274" s="11" t="n">
        <x:v>0</x:v>
      </x:c>
      <x:c r="Q274" s="11" t="n">
        <x:v>0</x:v>
      </x:c>
      <x:c r="R274" s="11" t="n">
        <x:v>0</x:v>
      </x:c>
      <x:c r="S274" s="11" t="n">
        <x:v>1</x:v>
      </x:c>
      <x:c r="T274" s="11" t="n">
        <x:v>1</x:v>
      </x:c>
      <x:c r="U274" s="2" t="str">
        <x:v>needs_mapping</x:v>
      </x:c>
      <x:c r="V274" s="2"/>
      <x:c r="W274" s="11" t="n">
        <x:v>1</x:v>
      </x:c>
      <x:c r="X274" s="13" t="str">
        <x:v>รหัสโต๊ะต้องยืนยัน</x:v>
      </x:c>
    </x:row>
    <x:row r="275" ht="24" customHeight="1">
      <x:c r="A275" s="2" t="str">
        <x:v>173_50</x:v>
      </x:c>
      <x:c r="B275" s="10" t="str">
        <x:v>173</x:v>
      </x:c>
      <x:c r="C275" s="11" t="n">
        <x:v>51</x:v>
      </x:c>
      <x:c r="D275" s="11" t="n">
        <x:v>50</x:v>
      </x:c>
      <x:c r="E275" s="2" t="str">
        <x:v>Walk in</x:v>
      </x:c>
      <x:c r="F275" s="11" t="n">
        <x:v>2</x:v>
      </x:c>
      <x:c r="G275" s="12"/>
      <x:c r="H275" s="12"/>
      <x:c r="I275" s="12" t="n">
        <x:v>0.4111111111111111</x:v>
      </x:c>
      <x:c r="J275" s="12" t="n">
        <x:v>0.4583333333333333</x:v>
      </x:c>
      <x:c r="K275" s="10" t="str">
        <x:v>7A</x:v>
      </x:c>
      <x:c r="L275" s="2" t="str">
        <x:v>direct_meal</x:v>
      </x:c>
      <x:c r="M275" s="8" t="str">
        <x:f>IF(P275=1,ROUND((H275-G275)*1440,6),"")</x:f>
      </x:c>
      <x:c r="N275" s="8" t="str">
        <x:f>IF(R275=1,M275,"")</x:f>
      </x:c>
      <x:c r="O275" s="8" t="n">
        <x:f>IF(S275=1,ROUND((J275-I275)*1440,6),"")</x:f>
        <x:v>68</x:v>
      </x:c>
      <x:c r="P275" s="11" t="n">
        <x:v>0</x:v>
      </x:c>
      <x:c r="Q275" s="11" t="n">
        <x:v>0</x:v>
      </x:c>
      <x:c r="R275" s="11" t="n">
        <x:v>0</x:v>
      </x:c>
      <x:c r="S275" s="11" t="n">
        <x:v>1</x:v>
      </x:c>
      <x:c r="T275" s="11" t="n">
        <x:v>1</x:v>
      </x:c>
      <x:c r="U275" s="2" t="str">
        <x:v>documented</x:v>
      </x:c>
      <x:c r="V275" s="2" t="str">
        <x:v>7A</x:v>
      </x:c>
      <x:c r="W275" s="11" t="n">
        <x:v>0</x:v>
      </x:c>
      <x:c r="X275" s="13"/>
    </x:row>
    <x:row r="276" ht="24" customHeight="1">
      <x:c r="A276" s="2" t="str">
        <x:v>173_51</x:v>
      </x:c>
      <x:c r="B276" s="10" t="str">
        <x:v>173</x:v>
      </x:c>
      <x:c r="C276" s="11" t="n">
        <x:v>52</x:v>
      </x:c>
      <x:c r="D276" s="11" t="n">
        <x:v>51</x:v>
      </x:c>
      <x:c r="E276" s="2" t="str">
        <x:v>In house</x:v>
      </x:c>
      <x:c r="F276" s="11" t="n">
        <x:v>2</x:v>
      </x:c>
      <x:c r="G276" s="12"/>
      <x:c r="H276" s="12"/>
      <x:c r="I276" s="12" t="n">
        <x:v>0.4125</x:v>
      </x:c>
      <x:c r="J276" s="12" t="n">
        <x:v>0.45416666666666666</x:v>
      </x:c>
      <x:c r="K276" s="10" t="str">
        <x:v>5B</x:v>
      </x:c>
      <x:c r="L276" s="2" t="str">
        <x:v>direct_meal</x:v>
      </x:c>
      <x:c r="M276" s="8" t="str">
        <x:f>IF(P276=1,ROUND((H276-G276)*1440,6),"")</x:f>
      </x:c>
      <x:c r="N276" s="8" t="str">
        <x:f>IF(R276=1,M276,"")</x:f>
      </x:c>
      <x:c r="O276" s="8" t="n">
        <x:f>IF(S276=1,ROUND((J276-I276)*1440,6),"")</x:f>
        <x:v>60</x:v>
      </x:c>
      <x:c r="P276" s="11" t="n">
        <x:v>0</x:v>
      </x:c>
      <x:c r="Q276" s="11" t="n">
        <x:v>0</x:v>
      </x:c>
      <x:c r="R276" s="11" t="n">
        <x:v>0</x:v>
      </x:c>
      <x:c r="S276" s="11" t="n">
        <x:v>1</x:v>
      </x:c>
      <x:c r="T276" s="11" t="n">
        <x:v>1</x:v>
      </x:c>
      <x:c r="U276" s="2" t="str">
        <x:v>documented</x:v>
      </x:c>
      <x:c r="V276" s="2" t="str">
        <x:v>5B</x:v>
      </x:c>
      <x:c r="W276" s="11" t="n">
        <x:v>0</x:v>
      </x:c>
      <x:c r="X276" s="13"/>
    </x:row>
    <x:row r="277" ht="24" customHeight="1">
      <x:c r="A277" s="2" t="str">
        <x:v>173_52</x:v>
      </x:c>
      <x:c r="B277" s="10" t="str">
        <x:v>173</x:v>
      </x:c>
      <x:c r="C277" s="11" t="n">
        <x:v>53</x:v>
      </x:c>
      <x:c r="D277" s="11" t="n">
        <x:v>52</x:v>
      </x:c>
      <x:c r="E277" s="2" t="str">
        <x:v>In house</x:v>
      </x:c>
      <x:c r="F277" s="11" t="n">
        <x:v>1</x:v>
      </x:c>
      <x:c r="G277" s="12"/>
      <x:c r="H277" s="12"/>
      <x:c r="I277" s="12" t="n">
        <x:v>0.37083333333333335</x:v>
      </x:c>
      <x:c r="J277" s="12" t="n">
        <x:v>0.45694444444444443</x:v>
      </x:c>
      <x:c r="K277" s="10" t="str">
        <x:v>5A</x:v>
      </x:c>
      <x:c r="L277" s="2" t="str">
        <x:v>direct_meal</x:v>
      </x:c>
      <x:c r="M277" s="8" t="str">
        <x:f>IF(P277=1,ROUND((H277-G277)*1440,6),"")</x:f>
      </x:c>
      <x:c r="N277" s="8" t="str">
        <x:f>IF(R277=1,M277,"")</x:f>
      </x:c>
      <x:c r="O277" s="8" t="n">
        <x:f>IF(S277=1,ROUND((J277-I277)*1440,6),"")</x:f>
        <x:v>124</x:v>
      </x:c>
      <x:c r="P277" s="11" t="n">
        <x:v>0</x:v>
      </x:c>
      <x:c r="Q277" s="11" t="n">
        <x:v>0</x:v>
      </x:c>
      <x:c r="R277" s="11" t="n">
        <x:v>0</x:v>
      </x:c>
      <x:c r="S277" s="11" t="n">
        <x:v>1</x:v>
      </x:c>
      <x:c r="T277" s="11" t="n">
        <x:v>1</x:v>
      </x:c>
      <x:c r="U277" s="2" t="str">
        <x:v>documented</x:v>
      </x:c>
      <x:c r="V277" s="2" t="str">
        <x:v>5A</x:v>
      </x:c>
      <x:c r="W277" s="11" t="n">
        <x:v>0</x:v>
      </x:c>
      <x:c r="X277" s="13"/>
    </x:row>
    <x:row r="278" ht="24" customHeight="1">
      <x:c r="A278" s="2" t="str">
        <x:v>173_53</x:v>
      </x:c>
      <x:c r="B278" s="10" t="str">
        <x:v>173</x:v>
      </x:c>
      <x:c r="C278" s="11" t="n">
        <x:v>54</x:v>
      </x:c>
      <x:c r="D278" s="11" t="n">
        <x:v>53</x:v>
      </x:c>
      <x:c r="E278" s="2" t="str">
        <x:v>Walk in</x:v>
      </x:c>
      <x:c r="F278" s="11" t="n">
        <x:v>1</x:v>
      </x:c>
      <x:c r="G278" s="12"/>
      <x:c r="H278" s="12"/>
      <x:c r="I278" s="12" t="n">
        <x:v>0.42291666666666666</x:v>
      </x:c>
      <x:c r="J278" s="12" t="n">
        <x:v>0.4340277777777778</x:v>
      </x:c>
      <x:c r="K278" s="10" t="str">
        <x:v>12</x:v>
      </x:c>
      <x:c r="L278" s="2" t="str">
        <x:v>direct_meal</x:v>
      </x:c>
      <x:c r="M278" s="8" t="str">
        <x:f>IF(P278=1,ROUND((H278-G278)*1440,6),"")</x:f>
      </x:c>
      <x:c r="N278" s="8" t="str">
        <x:f>IF(R278=1,M278,"")</x:f>
      </x:c>
      <x:c r="O278" s="8" t="n">
        <x:f>IF(S278=1,ROUND((J278-I278)*1440,6),"")</x:f>
        <x:v>16</x:v>
      </x:c>
      <x:c r="P278" s="11" t="n">
        <x:v>0</x:v>
      </x:c>
      <x:c r="Q278" s="11" t="n">
        <x:v>0</x:v>
      </x:c>
      <x:c r="R278" s="11" t="n">
        <x:v>0</x:v>
      </x:c>
      <x:c r="S278" s="11" t="n">
        <x:v>1</x:v>
      </x:c>
      <x:c r="T278" s="11" t="n">
        <x:v>1</x:v>
      </x:c>
      <x:c r="U278" s="2" t="str">
        <x:v>documented</x:v>
      </x:c>
      <x:c r="V278" s="2" t="str">
        <x:v>12</x:v>
      </x:c>
      <x:c r="W278" s="11" t="n">
        <x:v>0</x:v>
      </x:c>
      <x:c r="X278" s="13"/>
    </x:row>
    <x:row r="279" ht="24" customHeight="1">
      <x:c r="A279" s="2" t="str">
        <x:v>173_54</x:v>
      </x:c>
      <x:c r="B279" s="10" t="str">
        <x:v>173</x:v>
      </x:c>
      <x:c r="C279" s="11" t="n">
        <x:v>55</x:v>
      </x:c>
      <x:c r="D279" s="11" t="n">
        <x:v>54</x:v>
      </x:c>
      <x:c r="E279" s="2" t="str">
        <x:v>In house</x:v>
      </x:c>
      <x:c r="F279" s="11" t="n">
        <x:v>1</x:v>
      </x:c>
      <x:c r="G279" s="12"/>
      <x:c r="H279" s="12"/>
      <x:c r="I279" s="12" t="n">
        <x:v>0.4236111111111111</x:v>
      </x:c>
      <x:c r="J279" s="12" t="n">
        <x:v>0.475</x:v>
      </x:c>
      <x:c r="K279" s="10" t="str">
        <x:v>3</x:v>
      </x:c>
      <x:c r="L279" s="2" t="str">
        <x:v>direct_meal</x:v>
      </x:c>
      <x:c r="M279" s="8" t="str">
        <x:f>IF(P279=1,ROUND((H279-G279)*1440,6),"")</x:f>
      </x:c>
      <x:c r="N279" s="8" t="str">
        <x:f>IF(R279=1,M279,"")</x:f>
      </x:c>
      <x:c r="O279" s="8" t="n">
        <x:f>IF(S279=1,ROUND((J279-I279)*1440,6),"")</x:f>
        <x:v>74</x:v>
      </x:c>
      <x:c r="P279" s="11" t="n">
        <x:v>0</x:v>
      </x:c>
      <x:c r="Q279" s="11" t="n">
        <x:v>0</x:v>
      </x:c>
      <x:c r="R279" s="11" t="n">
        <x:v>0</x:v>
      </x:c>
      <x:c r="S279" s="11" t="n">
        <x:v>1</x:v>
      </x:c>
      <x:c r="T279" s="11" t="n">
        <x:v>1</x:v>
      </x:c>
      <x:c r="U279" s="2" t="str">
        <x:v>needs_mapping</x:v>
      </x:c>
      <x:c r="V279" s="2"/>
      <x:c r="W279" s="11" t="n">
        <x:v>1</x:v>
      </x:c>
      <x:c r="X279" s="13" t="str">
        <x:v>รหัสโต๊ะต้องยืนยัน</x:v>
      </x:c>
    </x:row>
    <x:row r="280" ht="24" customHeight="1">
      <x:c r="A280" s="2" t="str">
        <x:v>173_55</x:v>
      </x:c>
      <x:c r="B280" s="10" t="str">
        <x:v>173</x:v>
      </x:c>
      <x:c r="C280" s="11" t="n">
        <x:v>56</x:v>
      </x:c>
      <x:c r="D280" s="11" t="n">
        <x:v>55</x:v>
      </x:c>
      <x:c r="E280" s="2" t="str">
        <x:v>Walk in</x:v>
      </x:c>
      <x:c r="F280" s="11" t="n">
        <x:v>2</x:v>
      </x:c>
      <x:c r="G280" s="12"/>
      <x:c r="H280" s="12"/>
      <x:c r="I280" s="12" t="n">
        <x:v>0.42430555555555555</x:v>
      </x:c>
      <x:c r="J280" s="12" t="n">
        <x:v>0.4465277777777778</x:v>
      </x:c>
      <x:c r="K280" s="10" t="str">
        <x:v>9</x:v>
      </x:c>
      <x:c r="L280" s="2" t="str">
        <x:v>direct_meal</x:v>
      </x:c>
      <x:c r="M280" s="8" t="str">
        <x:f>IF(P280=1,ROUND((H280-G280)*1440,6),"")</x:f>
      </x:c>
      <x:c r="N280" s="8" t="str">
        <x:f>IF(R280=1,M280,"")</x:f>
      </x:c>
      <x:c r="O280" s="8" t="n">
        <x:f>IF(S280=1,ROUND((J280-I280)*1440,6),"")</x:f>
        <x:v>32</x:v>
      </x:c>
      <x:c r="P280" s="11" t="n">
        <x:v>0</x:v>
      </x:c>
      <x:c r="Q280" s="11" t="n">
        <x:v>0</x:v>
      </x:c>
      <x:c r="R280" s="11" t="n">
        <x:v>0</x:v>
      </x:c>
      <x:c r="S280" s="11" t="n">
        <x:v>1</x:v>
      </x:c>
      <x:c r="T280" s="11" t="n">
        <x:v>1</x:v>
      </x:c>
      <x:c r="U280" s="2" t="str">
        <x:v>needs_mapping</x:v>
      </x:c>
      <x:c r="V280" s="2"/>
      <x:c r="W280" s="11" t="n">
        <x:v>1</x:v>
      </x:c>
      <x:c r="X280" s="13" t="str">
        <x:v>รหัสโต๊ะต้องยืนยัน</x:v>
      </x:c>
    </x:row>
    <x:row r="281" ht="24" customHeight="1">
      <x:c r="A281" s="2" t="str">
        <x:v>173_56</x:v>
      </x:c>
      <x:c r="B281" s="10" t="str">
        <x:v>173</x:v>
      </x:c>
      <x:c r="C281" s="11" t="n">
        <x:v>57</x:v>
      </x:c>
      <x:c r="D281" s="11" t="n">
        <x:v>56</x:v>
      </x:c>
      <x:c r="E281" s="2" t="str">
        <x:v>Walk in</x:v>
      </x:c>
      <x:c r="F281" s="11" t="n">
        <x:v>2</x:v>
      </x:c>
      <x:c r="G281" s="12"/>
      <x:c r="H281" s="12"/>
      <x:c r="I281" s="12" t="n">
        <x:v>0.4305555555555556</x:v>
      </x:c>
      <x:c r="J281" s="12" t="n">
        <x:v>0.5104166666666666</x:v>
      </x:c>
      <x:c r="K281" s="10" t="str">
        <x:v>2</x:v>
      </x:c>
      <x:c r="L281" s="2" t="str">
        <x:v>direct_meal</x:v>
      </x:c>
      <x:c r="M281" s="8" t="str">
        <x:f>IF(P281=1,ROUND((H281-G281)*1440,6),"")</x:f>
      </x:c>
      <x:c r="N281" s="8" t="str">
        <x:f>IF(R281=1,M281,"")</x:f>
      </x:c>
      <x:c r="O281" s="8" t="n">
        <x:f>IF(S281=1,ROUND((J281-I281)*1440,6),"")</x:f>
        <x:v>115</x:v>
      </x:c>
      <x:c r="P281" s="11" t="n">
        <x:v>0</x:v>
      </x:c>
      <x:c r="Q281" s="11" t="n">
        <x:v>0</x:v>
      </x:c>
      <x:c r="R281" s="11" t="n">
        <x:v>0</x:v>
      </x:c>
      <x:c r="S281" s="11" t="n">
        <x:v>1</x:v>
      </x:c>
      <x:c r="T281" s="11" t="n">
        <x:v>1</x:v>
      </x:c>
      <x:c r="U281" s="2" t="str">
        <x:v>needs_mapping</x:v>
      </x:c>
      <x:c r="V281" s="2"/>
      <x:c r="W281" s="11" t="n">
        <x:v>1</x:v>
      </x:c>
      <x:c r="X281" s="13" t="str">
        <x:v>รหัสโต๊ะต้องยืนยัน</x:v>
      </x:c>
    </x:row>
    <x:row r="282" ht="24" customHeight="1">
      <x:c r="A282" s="2" t="str">
        <x:v>173_57</x:v>
      </x:c>
      <x:c r="B282" s="10" t="str">
        <x:v>173</x:v>
      </x:c>
      <x:c r="C282" s="11" t="n">
        <x:v>58</x:v>
      </x:c>
      <x:c r="D282" s="11" t="n">
        <x:v>57</x:v>
      </x:c>
      <x:c r="E282" s="2" t="str">
        <x:v>Walk in</x:v>
      </x:c>
      <x:c r="F282" s="11" t="n">
        <x:v>1</x:v>
      </x:c>
      <x:c r="G282" s="12"/>
      <x:c r="H282" s="12"/>
      <x:c r="I282" s="12" t="n">
        <x:v>0.4361111111111111</x:v>
      </x:c>
      <x:c r="J282" s="12" t="n">
        <x:v>0.4638888888888889</x:v>
      </x:c>
      <x:c r="K282" s="10" t="str">
        <x:v>1A</x:v>
      </x:c>
      <x:c r="L282" s="2" t="str">
        <x:v>direct_meal</x:v>
      </x:c>
      <x:c r="M282" s="8" t="str">
        <x:f>IF(P282=1,ROUND((H282-G282)*1440,6),"")</x:f>
      </x:c>
      <x:c r="N282" s="8" t="str">
        <x:f>IF(R282=1,M282,"")</x:f>
      </x:c>
      <x:c r="O282" s="8" t="n">
        <x:f>IF(S282=1,ROUND((J282-I282)*1440,6),"")</x:f>
        <x:v>40</x:v>
      </x:c>
      <x:c r="P282" s="11" t="n">
        <x:v>0</x:v>
      </x:c>
      <x:c r="Q282" s="11" t="n">
        <x:v>0</x:v>
      </x:c>
      <x:c r="R282" s="11" t="n">
        <x:v>0</x:v>
      </x:c>
      <x:c r="S282" s="11" t="n">
        <x:v>1</x:v>
      </x:c>
      <x:c r="T282" s="11" t="n">
        <x:v>1</x:v>
      </x:c>
      <x:c r="U282" s="2" t="str">
        <x:v>documented</x:v>
      </x:c>
      <x:c r="V282" s="2" t="str">
        <x:v>1A</x:v>
      </x:c>
      <x:c r="W282" s="11" t="n">
        <x:v>0</x:v>
      </x:c>
      <x:c r="X282" s="13"/>
    </x:row>
    <x:row r="283" ht="24" customHeight="1">
      <x:c r="A283" s="2" t="str">
        <x:v>173_58</x:v>
      </x:c>
      <x:c r="B283" s="10" t="str">
        <x:v>173</x:v>
      </x:c>
      <x:c r="C283" s="11" t="n">
        <x:v>59</x:v>
      </x:c>
      <x:c r="D283" s="11" t="n">
        <x:v>58</x:v>
      </x:c>
      <x:c r="E283" s="2" t="str">
        <x:v>In house</x:v>
      </x:c>
      <x:c r="F283" s="11" t="n">
        <x:v>3</x:v>
      </x:c>
      <x:c r="G283" s="12"/>
      <x:c r="H283" s="12"/>
      <x:c r="I283" s="12" t="n">
        <x:v>0.4409722222222222</x:v>
      </x:c>
      <x:c r="J283" s="12" t="n">
        <x:v>0.47430555555555554</x:v>
      </x:c>
      <x:c r="K283" s="10" t="str">
        <x:v>7B/7A</x:v>
      </x:c>
      <x:c r="L283" s="2" t="str">
        <x:v>direct_meal</x:v>
      </x:c>
      <x:c r="M283" s="8" t="str">
        <x:f>IF(P283=1,ROUND((H283-G283)*1440,6),"")</x:f>
      </x:c>
      <x:c r="N283" s="8" t="str">
        <x:f>IF(R283=1,M283,"")</x:f>
      </x:c>
      <x:c r="O283" s="8" t="n">
        <x:f>IF(S283=1,ROUND((J283-I283)*1440,6),"")</x:f>
        <x:v>48</x:v>
      </x:c>
      <x:c r="P283" s="11" t="n">
        <x:v>0</x:v>
      </x:c>
      <x:c r="Q283" s="11" t="n">
        <x:v>0</x:v>
      </x:c>
      <x:c r="R283" s="11" t="n">
        <x:v>0</x:v>
      </x:c>
      <x:c r="S283" s="11" t="n">
        <x:v>1</x:v>
      </x:c>
      <x:c r="T283" s="11" t="n">
        <x:v>1</x:v>
      </x:c>
      <x:c r="U283" s="2" t="str">
        <x:v>slash_needs_confirmation</x:v>
      </x:c>
      <x:c r="V283" s="2"/>
      <x:c r="W283" s="11" t="n">
        <x:v>1</x:v>
      </x:c>
      <x:c r="X283" s="13" t="str">
        <x:v>รหัสโต๊ะต้องยืนยัน</x:v>
      </x:c>
    </x:row>
    <x:row r="284" ht="24" customHeight="1">
      <x:c r="A284" s="2" t="str">
        <x:v>173_59</x:v>
      </x:c>
      <x:c r="B284" s="10" t="str">
        <x:v>173</x:v>
      </x:c>
      <x:c r="C284" s="11" t="n">
        <x:v>60</x:v>
      </x:c>
      <x:c r="D284" s="11" t="n">
        <x:v>59</x:v>
      </x:c>
      <x:c r="E284" s="2" t="str">
        <x:v>Walk in</x:v>
      </x:c>
      <x:c r="F284" s="11" t="n">
        <x:v>2</x:v>
      </x:c>
      <x:c r="G284" s="12"/>
      <x:c r="H284" s="12"/>
      <x:c r="I284" s="12" t="n">
        <x:v>0.4423611111111111</x:v>
      </x:c>
      <x:c r="J284" s="12" t="n">
        <x:v>0.46458333333333335</x:v>
      </x:c>
      <x:c r="K284" s="10" t="str">
        <x:v>10</x:v>
      </x:c>
      <x:c r="L284" s="2" t="str">
        <x:v>direct_meal</x:v>
      </x:c>
      <x:c r="M284" s="8" t="str">
        <x:f>IF(P284=1,ROUND((H284-G284)*1440,6),"")</x:f>
      </x:c>
      <x:c r="N284" s="8" t="str">
        <x:f>IF(R284=1,M284,"")</x:f>
      </x:c>
      <x:c r="O284" s="8" t="n">
        <x:f>IF(S284=1,ROUND((J284-I284)*1440,6),"")</x:f>
        <x:v>32</x:v>
      </x:c>
      <x:c r="P284" s="11" t="n">
        <x:v>0</x:v>
      </x:c>
      <x:c r="Q284" s="11" t="n">
        <x:v>0</x:v>
      </x:c>
      <x:c r="R284" s="11" t="n">
        <x:v>0</x:v>
      </x:c>
      <x:c r="S284" s="11" t="n">
        <x:v>1</x:v>
      </x:c>
      <x:c r="T284" s="11" t="n">
        <x:v>1</x:v>
      </x:c>
      <x:c r="U284" s="2" t="str">
        <x:v>needs_mapping</x:v>
      </x:c>
      <x:c r="V284" s="2"/>
      <x:c r="W284" s="11" t="n">
        <x:v>1</x:v>
      </x:c>
      <x:c r="X284" s="13" t="str">
        <x:v>รหัสโต๊ะต้องยืนยัน</x:v>
      </x:c>
    </x:row>
    <x:row r="285" ht="24" customHeight="1">
      <x:c r="A285" s="2" t="str">
        <x:v>173_60</x:v>
      </x:c>
      <x:c r="B285" s="10" t="str">
        <x:v>173</x:v>
      </x:c>
      <x:c r="C285" s="11" t="n">
        <x:v>61</x:v>
      </x:c>
      <x:c r="D285" s="11" t="n">
        <x:v>60</x:v>
      </x:c>
      <x:c r="E285" s="2" t="str">
        <x:v>Walk in</x:v>
      </x:c>
      <x:c r="F285" s="11" t="n">
        <x:v>3</x:v>
      </x:c>
      <x:c r="G285" s="12"/>
      <x:c r="H285" s="12"/>
      <x:c r="I285" s="12" t="n">
        <x:v>0.44375</x:v>
      </x:c>
      <x:c r="J285" s="12" t="n">
        <x:v>0.5076388888888889</x:v>
      </x:c>
      <x:c r="K285" s="10" t="str">
        <x:v>15</x:v>
      </x:c>
      <x:c r="L285" s="2" t="str">
        <x:v>direct_meal</x:v>
      </x:c>
      <x:c r="M285" s="8" t="str">
        <x:f>IF(P285=1,ROUND((H285-G285)*1440,6),"")</x:f>
      </x:c>
      <x:c r="N285" s="8" t="str">
        <x:f>IF(R285=1,M285,"")</x:f>
      </x:c>
      <x:c r="O285" s="8" t="n">
        <x:f>IF(S285=1,ROUND((J285-I285)*1440,6),"")</x:f>
        <x:v>92</x:v>
      </x:c>
      <x:c r="P285" s="11" t="n">
        <x:v>0</x:v>
      </x:c>
      <x:c r="Q285" s="11" t="n">
        <x:v>0</x:v>
      </x:c>
      <x:c r="R285" s="11" t="n">
        <x:v>0</x:v>
      </x:c>
      <x:c r="S285" s="11" t="n">
        <x:v>1</x:v>
      </x:c>
      <x:c r="T285" s="11" t="n">
        <x:v>1</x:v>
      </x:c>
      <x:c r="U285" s="2" t="str">
        <x:v>documented</x:v>
      </x:c>
      <x:c r="V285" s="2" t="str">
        <x:v>15</x:v>
      </x:c>
      <x:c r="W285" s="11" t="n">
        <x:v>0</x:v>
      </x:c>
      <x:c r="X285" s="13"/>
    </x:row>
    <x:row r="286" ht="24" customHeight="1">
      <x:c r="A286" s="2" t="str">
        <x:v>173_61</x:v>
      </x:c>
      <x:c r="B286" s="10" t="str">
        <x:v>173</x:v>
      </x:c>
      <x:c r="C286" s="11" t="n">
        <x:v>62</x:v>
      </x:c>
      <x:c r="D286" s="11" t="n">
        <x:v>61</x:v>
      </x:c>
      <x:c r="E286" s="2" t="str">
        <x:v>In house</x:v>
      </x:c>
      <x:c r="F286" s="11" t="n">
        <x:v>2</x:v>
      </x:c>
      <x:c r="G286" s="12"/>
      <x:c r="H286" s="12"/>
      <x:c r="I286" s="12" t="n">
        <x:v>0.4444444444444444</x:v>
      </x:c>
      <x:c r="J286" s="12" t="n">
        <x:v>0.475</x:v>
      </x:c>
      <x:c r="K286" s="10" t="str">
        <x:v>14</x:v>
      </x:c>
      <x:c r="L286" s="2" t="str">
        <x:v>direct_meal</x:v>
      </x:c>
      <x:c r="M286" s="8" t="str">
        <x:f>IF(P286=1,ROUND((H286-G286)*1440,6),"")</x:f>
      </x:c>
      <x:c r="N286" s="8" t="str">
        <x:f>IF(R286=1,M286,"")</x:f>
      </x:c>
      <x:c r="O286" s="8" t="n">
        <x:f>IF(S286=1,ROUND((J286-I286)*1440,6),"")</x:f>
        <x:v>44</x:v>
      </x:c>
      <x:c r="P286" s="11" t="n">
        <x:v>0</x:v>
      </x:c>
      <x:c r="Q286" s="11" t="n">
        <x:v>0</x:v>
      </x:c>
      <x:c r="R286" s="11" t="n">
        <x:v>0</x:v>
      </x:c>
      <x:c r="S286" s="11" t="n">
        <x:v>1</x:v>
      </x:c>
      <x:c r="T286" s="11" t="n">
        <x:v>1</x:v>
      </x:c>
      <x:c r="U286" s="2" t="str">
        <x:v>documented</x:v>
      </x:c>
      <x:c r="V286" s="2" t="str">
        <x:v>14</x:v>
      </x:c>
      <x:c r="W286" s="11" t="n">
        <x:v>0</x:v>
      </x:c>
      <x:c r="X286" s="13"/>
    </x:row>
    <x:row r="287" ht="24" customHeight="1">
      <x:c r="A287" s="2" t="str">
        <x:v>173_62</x:v>
      </x:c>
      <x:c r="B287" s="10" t="str">
        <x:v>173</x:v>
      </x:c>
      <x:c r="C287" s="11" t="n">
        <x:v>63</x:v>
      </x:c>
      <x:c r="D287" s="11" t="n">
        <x:v>62</x:v>
      </x:c>
      <x:c r="E287" s="2" t="str">
        <x:v>Walk in</x:v>
      </x:c>
      <x:c r="F287" s="11" t="n">
        <x:v>2</x:v>
      </x:c>
      <x:c r="G287" s="12"/>
      <x:c r="H287" s="12"/>
      <x:c r="I287" s="12" t="n">
        <x:v>0.44722222222222224</x:v>
      </x:c>
      <x:c r="J287" s="12" t="n">
        <x:v>0.4861111111111111</x:v>
      </x:c>
      <x:c r="K287" s="10" t="str">
        <x:v>16</x:v>
      </x:c>
      <x:c r="L287" s="2" t="str">
        <x:v>direct_meal</x:v>
      </x:c>
      <x:c r="M287" s="8" t="str">
        <x:f>IF(P287=1,ROUND((H287-G287)*1440,6),"")</x:f>
      </x:c>
      <x:c r="N287" s="8" t="str">
        <x:f>IF(R287=1,M287,"")</x:f>
      </x:c>
      <x:c r="O287" s="8" t="n">
        <x:f>IF(S287=1,ROUND((J287-I287)*1440,6),"")</x:f>
        <x:v>56</x:v>
      </x:c>
      <x:c r="P287" s="11" t="n">
        <x:v>0</x:v>
      </x:c>
      <x:c r="Q287" s="11" t="n">
        <x:v>0</x:v>
      </x:c>
      <x:c r="R287" s="11" t="n">
        <x:v>0</x:v>
      </x:c>
      <x:c r="S287" s="11" t="n">
        <x:v>1</x:v>
      </x:c>
      <x:c r="T287" s="11" t="n">
        <x:v>1</x:v>
      </x:c>
      <x:c r="U287" s="2" t="str">
        <x:v>needs_mapping</x:v>
      </x:c>
      <x:c r="V287" s="2"/>
      <x:c r="W287" s="11" t="n">
        <x:v>1</x:v>
      </x:c>
      <x:c r="X287" s="13" t="str">
        <x:v>รหัสโต๊ะต้องยืนยัน</x:v>
      </x:c>
    </x:row>
    <x:row r="288" ht="24" customHeight="1">
      <x:c r="A288" s="2" t="str">
        <x:v>173_63</x:v>
      </x:c>
      <x:c r="B288" s="10" t="str">
        <x:v>173</x:v>
      </x:c>
      <x:c r="C288" s="11" t="n">
        <x:v>64</x:v>
      </x:c>
      <x:c r="D288" s="11" t="n">
        <x:v>63</x:v>
      </x:c>
      <x:c r="E288" s="2" t="str">
        <x:v>In house</x:v>
      </x:c>
      <x:c r="F288" s="11" t="n">
        <x:v>1</x:v>
      </x:c>
      <x:c r="G288" s="12"/>
      <x:c r="H288" s="12"/>
      <x:c r="I288" s="12" t="n">
        <x:v>0.4513888888888889</x:v>
      </x:c>
      <x:c r="J288" s="12" t="n">
        <x:v>0.4791666666666667</x:v>
      </x:c>
      <x:c r="K288" s="10" t="str">
        <x:v>8C</x:v>
      </x:c>
      <x:c r="L288" s="2" t="str">
        <x:v>direct_meal</x:v>
      </x:c>
      <x:c r="M288" s="8" t="str">
        <x:f>IF(P288=1,ROUND((H288-G288)*1440,6),"")</x:f>
      </x:c>
      <x:c r="N288" s="8" t="str">
        <x:f>IF(R288=1,M288,"")</x:f>
      </x:c>
      <x:c r="O288" s="8" t="n">
        <x:f>IF(S288=1,ROUND((J288-I288)*1440,6),"")</x:f>
        <x:v>40</x:v>
      </x:c>
      <x:c r="P288" s="11" t="n">
        <x:v>0</x:v>
      </x:c>
      <x:c r="Q288" s="11" t="n">
        <x:v>0</x:v>
      </x:c>
      <x:c r="R288" s="11" t="n">
        <x:v>0</x:v>
      </x:c>
      <x:c r="S288" s="11" t="n">
        <x:v>1</x:v>
      </x:c>
      <x:c r="T288" s="11" t="n">
        <x:v>1</x:v>
      </x:c>
      <x:c r="U288" s="2" t="str">
        <x:v>documented</x:v>
      </x:c>
      <x:c r="V288" s="2" t="str">
        <x:v>8C</x:v>
      </x:c>
      <x:c r="W288" s="11" t="n">
        <x:v>0</x:v>
      </x:c>
      <x:c r="X288" s="13"/>
    </x:row>
    <x:row r="289" ht="24" customHeight="1">
      <x:c r="A289" s="2" t="str">
        <x:v>173_64</x:v>
      </x:c>
      <x:c r="B289" s="10" t="str">
        <x:v>173</x:v>
      </x:c>
      <x:c r="C289" s="11" t="n">
        <x:v>65</x:v>
      </x:c>
      <x:c r="D289" s="11" t="n">
        <x:v>64</x:v>
      </x:c>
      <x:c r="E289" s="2" t="str">
        <x:v>Walk in</x:v>
      </x:c>
      <x:c r="F289" s="11" t="n">
        <x:v>2</x:v>
      </x:c>
      <x:c r="G289" s="12"/>
      <x:c r="H289" s="12"/>
      <x:c r="I289" s="12" t="n">
        <x:v>0.46111111111111114</x:v>
      </x:c>
      <x:c r="J289" s="12" t="n">
        <x:v>0.5013888888888889</x:v>
      </x:c>
      <x:c r="K289" s="10" t="str">
        <x:v>5</x:v>
      </x:c>
      <x:c r="L289" s="2" t="str">
        <x:v>direct_meal</x:v>
      </x:c>
      <x:c r="M289" s="8" t="str">
        <x:f>IF(P289=1,ROUND((H289-G289)*1440,6),"")</x:f>
      </x:c>
      <x:c r="N289" s="8" t="str">
        <x:f>IF(R289=1,M289,"")</x:f>
      </x:c>
      <x:c r="O289" s="8" t="n">
        <x:f>IF(S289=1,ROUND((J289-I289)*1440,6),"")</x:f>
        <x:v>58</x:v>
      </x:c>
      <x:c r="P289" s="11" t="n">
        <x:v>0</x:v>
      </x:c>
      <x:c r="Q289" s="11" t="n">
        <x:v>0</x:v>
      </x:c>
      <x:c r="R289" s="11" t="n">
        <x:v>0</x:v>
      </x:c>
      <x:c r="S289" s="11" t="n">
        <x:v>1</x:v>
      </x:c>
      <x:c r="T289" s="11" t="n">
        <x:v>1</x:v>
      </x:c>
      <x:c r="U289" s="2" t="str">
        <x:v>needs_mapping</x:v>
      </x:c>
      <x:c r="V289" s="2"/>
      <x:c r="W289" s="11" t="n">
        <x:v>1</x:v>
      </x:c>
      <x:c r="X289" s="13" t="str">
        <x:v>รหัสโต๊ะต้องยืนยัน</x:v>
      </x:c>
    </x:row>
    <x:row r="290" ht="24" customHeight="1">
      <x:c r="A290" s="2" t="str">
        <x:v>173_65</x:v>
      </x:c>
      <x:c r="B290" s="10" t="str">
        <x:v>173</x:v>
      </x:c>
      <x:c r="C290" s="11" t="n">
        <x:v>66</x:v>
      </x:c>
      <x:c r="D290" s="11" t="n">
        <x:v>65</x:v>
      </x:c>
      <x:c r="E290" s="2" t="str">
        <x:v>Walk in</x:v>
      </x:c>
      <x:c r="F290" s="11" t="n">
        <x:v>1</x:v>
      </x:c>
      <x:c r="G290" s="12"/>
      <x:c r="H290" s="12"/>
      <x:c r="I290" s="12" t="n">
        <x:v>0.4618055555555556</x:v>
      </x:c>
      <x:c r="J290" s="12" t="n">
        <x:v>0.4756944444444444</x:v>
      </x:c>
      <x:c r="K290" s="10" t="str">
        <x:v>6B</x:v>
      </x:c>
      <x:c r="L290" s="2" t="str">
        <x:v>direct_meal</x:v>
      </x:c>
      <x:c r="M290" s="8" t="str">
        <x:f>IF(P290=1,ROUND((H290-G290)*1440,6),"")</x:f>
      </x:c>
      <x:c r="N290" s="8" t="str">
        <x:f>IF(R290=1,M290,"")</x:f>
      </x:c>
      <x:c r="O290" s="8" t="n">
        <x:f>IF(S290=1,ROUND((J290-I290)*1440,6),"")</x:f>
        <x:v>20</x:v>
      </x:c>
      <x:c r="P290" s="11" t="n">
        <x:v>0</x:v>
      </x:c>
      <x:c r="Q290" s="11" t="n">
        <x:v>0</x:v>
      </x:c>
      <x:c r="R290" s="11" t="n">
        <x:v>0</x:v>
      </x:c>
      <x:c r="S290" s="11" t="n">
        <x:v>1</x:v>
      </x:c>
      <x:c r="T290" s="11" t="n">
        <x:v>1</x:v>
      </x:c>
      <x:c r="U290" s="2" t="str">
        <x:v>documented</x:v>
      </x:c>
      <x:c r="V290" s="2" t="str">
        <x:v>6B</x:v>
      </x:c>
      <x:c r="W290" s="11" t="n">
        <x:v>0</x:v>
      </x:c>
      <x:c r="X290" s="13"/>
    </x:row>
    <x:row r="291" ht="24" customHeight="1">
      <x:c r="A291" s="2" t="str">
        <x:v>173_66</x:v>
      </x:c>
      <x:c r="B291" s="10" t="str">
        <x:v>173</x:v>
      </x:c>
      <x:c r="C291" s="11" t="n">
        <x:v>67</x:v>
      </x:c>
      <x:c r="D291" s="11" t="n">
        <x:v>66</x:v>
      </x:c>
      <x:c r="E291" s="2" t="str">
        <x:v>Walk in</x:v>
      </x:c>
      <x:c r="F291" s="11" t="n">
        <x:v>1</x:v>
      </x:c>
      <x:c r="G291" s="12"/>
      <x:c r="H291" s="12"/>
      <x:c r="I291" s="12" t="n">
        <x:v>0.47291666666666665</x:v>
      </x:c>
      <x:c r="J291" s="12" t="n">
        <x:v>0.48541666666666666</x:v>
      </x:c>
      <x:c r="K291" s="10" t="str">
        <x:v>7A</x:v>
      </x:c>
      <x:c r="L291" s="2" t="str">
        <x:v>direct_meal</x:v>
      </x:c>
      <x:c r="M291" s="8" t="str">
        <x:f>IF(P291=1,ROUND((H291-G291)*1440,6),"")</x:f>
      </x:c>
      <x:c r="N291" s="8" t="str">
        <x:f>IF(R291=1,M291,"")</x:f>
      </x:c>
      <x:c r="O291" s="8" t="n">
        <x:f>IF(S291=1,ROUND((J291-I291)*1440,6),"")</x:f>
        <x:v>18</x:v>
      </x:c>
      <x:c r="P291" s="11" t="n">
        <x:v>0</x:v>
      </x:c>
      <x:c r="Q291" s="11" t="n">
        <x:v>0</x:v>
      </x:c>
      <x:c r="R291" s="11" t="n">
        <x:v>0</x:v>
      </x:c>
      <x:c r="S291" s="11" t="n">
        <x:v>1</x:v>
      </x:c>
      <x:c r="T291" s="11" t="n">
        <x:v>1</x:v>
      </x:c>
      <x:c r="U291" s="2" t="str">
        <x:v>documented</x:v>
      </x:c>
      <x:c r="V291" s="2" t="str">
        <x:v>7A</x:v>
      </x:c>
      <x:c r="W291" s="11" t="n">
        <x:v>0</x:v>
      </x:c>
      <x:c r="X291" s="13"/>
    </x:row>
    <x:row r="292" ht="24" customHeight="1">
      <x:c r="A292" s="2" t="str">
        <x:v>173_67</x:v>
      </x:c>
      <x:c r="B292" s="10" t="str">
        <x:v>173</x:v>
      </x:c>
      <x:c r="C292" s="11" t="n">
        <x:v>68</x:v>
      </x:c>
      <x:c r="D292" s="11" t="n">
        <x:v>67</x:v>
      </x:c>
      <x:c r="E292" s="2" t="str">
        <x:v>In house</x:v>
      </x:c>
      <x:c r="F292" s="11" t="n">
        <x:v>2</x:v>
      </x:c>
      <x:c r="G292" s="12"/>
      <x:c r="H292" s="12"/>
      <x:c r="I292" s="12" t="n">
        <x:v>0.475</x:v>
      </x:c>
      <x:c r="J292" s="12" t="n">
        <x:v>0.49166666666666664</x:v>
      </x:c>
      <x:c r="K292" s="10" t="str">
        <x:v>9</x:v>
      </x:c>
      <x:c r="L292" s="2" t="str">
        <x:v>direct_meal</x:v>
      </x:c>
      <x:c r="M292" s="8" t="str">
        <x:f>IF(P292=1,ROUND((H292-G292)*1440,6),"")</x:f>
      </x:c>
      <x:c r="N292" s="8" t="str">
        <x:f>IF(R292=1,M292,"")</x:f>
      </x:c>
      <x:c r="O292" s="8" t="n">
        <x:f>IF(S292=1,ROUND((J292-I292)*1440,6),"")</x:f>
        <x:v>24</x:v>
      </x:c>
      <x:c r="P292" s="11" t="n">
        <x:v>0</x:v>
      </x:c>
      <x:c r="Q292" s="11" t="n">
        <x:v>0</x:v>
      </x:c>
      <x:c r="R292" s="11" t="n">
        <x:v>0</x:v>
      </x:c>
      <x:c r="S292" s="11" t="n">
        <x:v>1</x:v>
      </x:c>
      <x:c r="T292" s="11" t="n">
        <x:v>1</x:v>
      </x:c>
      <x:c r="U292" s="2" t="str">
        <x:v>needs_mapping</x:v>
      </x:c>
      <x:c r="V292" s="2"/>
      <x:c r="W292" s="11" t="n">
        <x:v>1</x:v>
      </x:c>
      <x:c r="X292" s="13" t="str">
        <x:v>รหัสโต๊ะต้องยืนยัน</x:v>
      </x:c>
    </x:row>
    <x:row r="293" ht="24" customHeight="1">
      <x:c r="A293" s="2" t="str">
        <x:v>173_68</x:v>
      </x:c>
      <x:c r="B293" s="10" t="str">
        <x:v>173</x:v>
      </x:c>
      <x:c r="C293" s="11" t="n">
        <x:v>69</x:v>
      </x:c>
      <x:c r="D293" s="11" t="n">
        <x:v>68</x:v>
      </x:c>
      <x:c r="E293" s="2" t="str">
        <x:v>Walk in</x:v>
      </x:c>
      <x:c r="F293" s="11" t="n">
        <x:v>1</x:v>
      </x:c>
      <x:c r="G293" s="12"/>
      <x:c r="H293" s="12"/>
      <x:c r="I293" s="12" t="n">
        <x:v>0.47430555555555554</x:v>
      </x:c>
      <x:c r="J293" s="12" t="n">
        <x:v>0.5013888888888889</x:v>
      </x:c>
      <x:c r="K293" s="10" t="str">
        <x:v>1</x:v>
      </x:c>
      <x:c r="L293" s="2" t="str">
        <x:v>direct_meal</x:v>
      </x:c>
      <x:c r="M293" s="8" t="str">
        <x:f>IF(P293=1,ROUND((H293-G293)*1440,6),"")</x:f>
      </x:c>
      <x:c r="N293" s="8" t="str">
        <x:f>IF(R293=1,M293,"")</x:f>
      </x:c>
      <x:c r="O293" s="8" t="n">
        <x:f>IF(S293=1,ROUND((J293-I293)*1440,6),"")</x:f>
        <x:v>39</x:v>
      </x:c>
      <x:c r="P293" s="11" t="n">
        <x:v>0</x:v>
      </x:c>
      <x:c r="Q293" s="11" t="n">
        <x:v>0</x:v>
      </x:c>
      <x:c r="R293" s="11" t="n">
        <x:v>0</x:v>
      </x:c>
      <x:c r="S293" s="11" t="n">
        <x:v>1</x:v>
      </x:c>
      <x:c r="T293" s="11" t="n">
        <x:v>1</x:v>
      </x:c>
      <x:c r="U293" s="2" t="str">
        <x:v>needs_mapping</x:v>
      </x:c>
      <x:c r="V293" s="2"/>
      <x:c r="W293" s="11" t="n">
        <x:v>1</x:v>
      </x:c>
      <x:c r="X293" s="13" t="str">
        <x:v>รหัสโต๊ะต้องยืนยัน</x:v>
      </x:c>
    </x:row>
    <x:row r="294" ht="24" customHeight="1">
      <x:c r="A294" s="2" t="str">
        <x:v>173_69</x:v>
      </x:c>
      <x:c r="B294" s="10" t="str">
        <x:v>173</x:v>
      </x:c>
      <x:c r="C294" s="11" t="n">
        <x:v>70</x:v>
      </x:c>
      <x:c r="D294" s="11" t="n">
        <x:v>69</x:v>
      </x:c>
      <x:c r="E294" s="2" t="str">
        <x:v>In house</x:v>
      </x:c>
      <x:c r="F294" s="11" t="n">
        <x:v>1</x:v>
      </x:c>
      <x:c r="G294" s="12"/>
      <x:c r="H294" s="12"/>
      <x:c r="I294" s="12" t="n">
        <x:v>0.48819444444444443</x:v>
      </x:c>
      <x:c r="J294" s="12" t="n">
        <x:v>0.5027777777777778</x:v>
      </x:c>
      <x:c r="K294" s="10" t="str">
        <x:v>7B</x:v>
      </x:c>
      <x:c r="L294" s="2" t="str">
        <x:v>direct_meal</x:v>
      </x:c>
      <x:c r="M294" s="8" t="str">
        <x:f>IF(P294=1,ROUND((H294-G294)*1440,6),"")</x:f>
      </x:c>
      <x:c r="N294" s="8" t="str">
        <x:f>IF(R294=1,M294,"")</x:f>
      </x:c>
      <x:c r="O294" s="8" t="n">
        <x:f>IF(S294=1,ROUND((J294-I294)*1440,6),"")</x:f>
        <x:v>21</x:v>
      </x:c>
      <x:c r="P294" s="11" t="n">
        <x:v>0</x:v>
      </x:c>
      <x:c r="Q294" s="11" t="n">
        <x:v>0</x:v>
      </x:c>
      <x:c r="R294" s="11" t="n">
        <x:v>0</x:v>
      </x:c>
      <x:c r="S294" s="11" t="n">
        <x:v>1</x:v>
      </x:c>
      <x:c r="T294" s="11" t="n">
        <x:v>1</x:v>
      </x:c>
      <x:c r="U294" s="2" t="str">
        <x:v>documented</x:v>
      </x:c>
      <x:c r="V294" s="2" t="str">
        <x:v>7B</x:v>
      </x:c>
      <x:c r="W294" s="11" t="n">
        <x:v>0</x:v>
      </x:c>
      <x:c r="X294" s="13"/>
    </x:row>
    <x:row r="295" ht="24" customHeight="1">
      <x:c r="A295" s="2" t="str">
        <x:v>183_1</x:v>
      </x:c>
      <x:c r="B295" s="10" t="str">
        <x:v>183</x:v>
      </x:c>
      <x:c r="C295" s="11" t="n">
        <x:v>2</x:v>
      </x:c>
      <x:c r="D295" s="11" t="n">
        <x:v>1</x:v>
      </x:c>
      <x:c r="E295" s="2" t="str">
        <x:v>Walk in</x:v>
      </x:c>
      <x:c r="F295" s="11" t="n">
        <x:v>1</x:v>
      </x:c>
      <x:c r="G295" s="12"/>
      <x:c r="H295" s="12"/>
      <x:c r="I295" s="12" t="n">
        <x:v>0.26805555555555555</x:v>
      </x:c>
      <x:c r="J295" s="12" t="n">
        <x:v>0.3625</x:v>
      </x:c>
      <x:c r="K295" s="10" t="str">
        <x:v>4A</x:v>
      </x:c>
      <x:c r="L295" s="2" t="str">
        <x:v>direct_meal</x:v>
      </x:c>
      <x:c r="M295" s="8" t="str">
        <x:f>IF(P295=1,ROUND((H295-G295)*1440,6),"")</x:f>
      </x:c>
      <x:c r="N295" s="8" t="str">
        <x:f>IF(R295=1,M295,"")</x:f>
      </x:c>
      <x:c r="O295" s="8" t="n">
        <x:f>IF(S295=1,ROUND((J295-I295)*1440,6),"")</x:f>
        <x:v>136</x:v>
      </x:c>
      <x:c r="P295" s="11" t="n">
        <x:v>0</x:v>
      </x:c>
      <x:c r="Q295" s="11" t="n">
        <x:v>0</x:v>
      </x:c>
      <x:c r="R295" s="11" t="n">
        <x:v>0</x:v>
      </x:c>
      <x:c r="S295" s="11" t="n">
        <x:v>1</x:v>
      </x:c>
      <x:c r="T295" s="11" t="n">
        <x:v>1</x:v>
      </x:c>
      <x:c r="U295" s="2" t="str">
        <x:v>documented</x:v>
      </x:c>
      <x:c r="V295" s="2" t="str">
        <x:v>4A</x:v>
      </x:c>
      <x:c r="W295" s="11" t="n">
        <x:v>0</x:v>
      </x:c>
      <x:c r="X295" s="13"/>
    </x:row>
    <x:row r="296" ht="24" customHeight="1">
      <x:c r="A296" s="2" t="str">
        <x:v>183_2</x:v>
      </x:c>
      <x:c r="B296" s="10" t="str">
        <x:v>183</x:v>
      </x:c>
      <x:c r="C296" s="11" t="n">
        <x:v>3</x:v>
      </x:c>
      <x:c r="D296" s="11" t="n">
        <x:v>2</x:v>
      </x:c>
      <x:c r="E296" s="2" t="str">
        <x:v>Walk in</x:v>
      </x:c>
      <x:c r="F296" s="11" t="n">
        <x:v>2</x:v>
      </x:c>
      <x:c r="G296" s="12"/>
      <x:c r="H296" s="12"/>
      <x:c r="I296" s="12" t="n">
        <x:v>0.28055555555555556</x:v>
      </x:c>
      <x:c r="J296" s="12" t="n">
        <x:v>0.32222222222222224</x:v>
      </x:c>
      <x:c r="K296" s="10" t="str">
        <x:v>11</x:v>
      </x:c>
      <x:c r="L296" s="2" t="str">
        <x:v>direct_meal</x:v>
      </x:c>
      <x:c r="M296" s="8" t="str">
        <x:f>IF(P296=1,ROUND((H296-G296)*1440,6),"")</x:f>
      </x:c>
      <x:c r="N296" s="8" t="str">
        <x:f>IF(R296=1,M296,"")</x:f>
      </x:c>
      <x:c r="O296" s="8" t="n">
        <x:f>IF(S296=1,ROUND((J296-I296)*1440,6),"")</x:f>
        <x:v>60</x:v>
      </x:c>
      <x:c r="P296" s="11" t="n">
        <x:v>0</x:v>
      </x:c>
      <x:c r="Q296" s="11" t="n">
        <x:v>0</x:v>
      </x:c>
      <x:c r="R296" s="11" t="n">
        <x:v>0</x:v>
      </x:c>
      <x:c r="S296" s="11" t="n">
        <x:v>1</x:v>
      </x:c>
      <x:c r="T296" s="11" t="n">
        <x:v>1</x:v>
      </x:c>
      <x:c r="U296" s="2" t="str">
        <x:v>needs_mapping</x:v>
      </x:c>
      <x:c r="V296" s="2"/>
      <x:c r="W296" s="11" t="n">
        <x:v>1</x:v>
      </x:c>
      <x:c r="X296" s="13" t="str">
        <x:v>รหัสโต๊ะต้องยืนยัน</x:v>
      </x:c>
    </x:row>
    <x:row r="297" ht="24" customHeight="1">
      <x:c r="A297" s="2" t="str">
        <x:v>183_3</x:v>
      </x:c>
      <x:c r="B297" s="10" t="str">
        <x:v>183</x:v>
      </x:c>
      <x:c r="C297" s="11" t="n">
        <x:v>4</x:v>
      </x:c>
      <x:c r="D297" s="11" t="n">
        <x:v>3</x:v>
      </x:c>
      <x:c r="E297" s="2" t="str">
        <x:v>Walk in</x:v>
      </x:c>
      <x:c r="F297" s="11" t="n">
        <x:v>1</x:v>
      </x:c>
      <x:c r="G297" s="12"/>
      <x:c r="H297" s="12"/>
      <x:c r="I297" s="12" t="n">
        <x:v>0.2902777777777778</x:v>
      </x:c>
      <x:c r="J297" s="12" t="n">
        <x:v>0.36527777777777776</x:v>
      </x:c>
      <x:c r="K297" s="10" t="str">
        <x:v>7A</x:v>
      </x:c>
      <x:c r="L297" s="2" t="str">
        <x:v>direct_meal</x:v>
      </x:c>
      <x:c r="M297" s="8" t="str">
        <x:f>IF(P297=1,ROUND((H297-G297)*1440,6),"")</x:f>
      </x:c>
      <x:c r="N297" s="8" t="str">
        <x:f>IF(R297=1,M297,"")</x:f>
      </x:c>
      <x:c r="O297" s="8" t="n">
        <x:f>IF(S297=1,ROUND((J297-I297)*1440,6),"")</x:f>
        <x:v>108</x:v>
      </x:c>
      <x:c r="P297" s="11" t="n">
        <x:v>0</x:v>
      </x:c>
      <x:c r="Q297" s="11" t="n">
        <x:v>0</x:v>
      </x:c>
      <x:c r="R297" s="11" t="n">
        <x:v>0</x:v>
      </x:c>
      <x:c r="S297" s="11" t="n">
        <x:v>1</x:v>
      </x:c>
      <x:c r="T297" s="11" t="n">
        <x:v>1</x:v>
      </x:c>
      <x:c r="U297" s="2" t="str">
        <x:v>documented</x:v>
      </x:c>
      <x:c r="V297" s="2" t="str">
        <x:v>7A</x:v>
      </x:c>
      <x:c r="W297" s="11" t="n">
        <x:v>0</x:v>
      </x:c>
      <x:c r="X297" s="13"/>
    </x:row>
    <x:row r="298" ht="24" customHeight="1">
      <x:c r="A298" s="2" t="str">
        <x:v>183_4</x:v>
      </x:c>
      <x:c r="B298" s="10" t="str">
        <x:v>183</x:v>
      </x:c>
      <x:c r="C298" s="11" t="n">
        <x:v>5</x:v>
      </x:c>
      <x:c r="D298" s="11" t="n">
        <x:v>4</x:v>
      </x:c>
      <x:c r="E298" s="2" t="str">
        <x:v>In house</x:v>
      </x:c>
      <x:c r="F298" s="11" t="n">
        <x:v>2</x:v>
      </x:c>
      <x:c r="G298" s="12"/>
      <x:c r="H298" s="12"/>
      <x:c r="I298" s="12" t="n">
        <x:v>0.2965277777777778</x:v>
      </x:c>
      <x:c r="J298" s="12" t="n">
        <x:v>0.3284722222222222</x:v>
      </x:c>
      <x:c r="K298" s="10" t="str">
        <x:v>16</x:v>
      </x:c>
      <x:c r="L298" s="2" t="str">
        <x:v>direct_meal</x:v>
      </x:c>
      <x:c r="M298" s="8" t="str">
        <x:f>IF(P298=1,ROUND((H298-G298)*1440,6),"")</x:f>
      </x:c>
      <x:c r="N298" s="8" t="str">
        <x:f>IF(R298=1,M298,"")</x:f>
      </x:c>
      <x:c r="O298" s="8" t="n">
        <x:f>IF(S298=1,ROUND((J298-I298)*1440,6),"")</x:f>
        <x:v>46</x:v>
      </x:c>
      <x:c r="P298" s="11" t="n">
        <x:v>0</x:v>
      </x:c>
      <x:c r="Q298" s="11" t="n">
        <x:v>0</x:v>
      </x:c>
      <x:c r="R298" s="11" t="n">
        <x:v>0</x:v>
      </x:c>
      <x:c r="S298" s="11" t="n">
        <x:v>1</x:v>
      </x:c>
      <x:c r="T298" s="11" t="n">
        <x:v>1</x:v>
      </x:c>
      <x:c r="U298" s="2" t="str">
        <x:v>needs_mapping</x:v>
      </x:c>
      <x:c r="V298" s="2"/>
      <x:c r="W298" s="11" t="n">
        <x:v>1</x:v>
      </x:c>
      <x:c r="X298" s="13" t="str">
        <x:v>รหัสโต๊ะต้องยืนยัน</x:v>
      </x:c>
    </x:row>
    <x:row r="299" ht="24" customHeight="1">
      <x:c r="A299" s="2" t="str">
        <x:v>183_5</x:v>
      </x:c>
      <x:c r="B299" s="10" t="str">
        <x:v>183</x:v>
      </x:c>
      <x:c r="C299" s="11" t="n">
        <x:v>6</x:v>
      </x:c>
      <x:c r="D299" s="11" t="n">
        <x:v>5</x:v>
      </x:c>
      <x:c r="E299" s="2" t="str">
        <x:v>In house</x:v>
      </x:c>
      <x:c r="F299" s="11" t="n">
        <x:v>1</x:v>
      </x:c>
      <x:c r="G299" s="12"/>
      <x:c r="H299" s="12"/>
      <x:c r="I299" s="12"/>
      <x:c r="J299" s="12"/>
      <x:c r="K299" s="10" t="str">
        <x:v>8A</x:v>
      </x:c>
      <x:c r="L299" s="2" t="str">
        <x:v>direct_meal</x:v>
      </x:c>
      <x:c r="M299" s="8" t="str">
        <x:f>IF(P299=1,ROUND((H299-G299)*1440,6),"")</x:f>
      </x:c>
      <x:c r="N299" s="8" t="str">
        <x:f>IF(R299=1,M299,"")</x:f>
      </x:c>
      <x:c r="O299" s="8" t="str">
        <x:f>IF(S299=1,ROUND((J299-I299)*1440,6),"")</x:f>
      </x:c>
      <x:c r="P299" s="11" t="n">
        <x:v>0</x:v>
      </x:c>
      <x:c r="Q299" s="11" t="n">
        <x:v>0</x:v>
      </x:c>
      <x:c r="R299" s="11" t="n">
        <x:v>0</x:v>
      </x:c>
      <x:c r="S299" s="11" t="n">
        <x:v>0</x:v>
      </x:c>
      <x:c r="T299" s="11" t="n">
        <x:v>1</x:v>
      </x:c>
      <x:c r="U299" s="2" t="str">
        <x:v>documented</x:v>
      </x:c>
      <x:c r="V299" s="2" t="str">
        <x:v>8A</x:v>
      </x:c>
      <x:c r="W299" s="11" t="n">
        <x:v>1</x:v>
      </x:c>
      <x:c r="X299" s="13" t="str">
        <x:v>เวลาเริ่มกินก่อน 06:00 ต้องยืนยัน</x:v>
      </x:c>
    </x:row>
    <x:row r="300" ht="24" customHeight="1">
      <x:c r="A300" s="2" t="str">
        <x:v>183_6</x:v>
      </x:c>
      <x:c r="B300" s="10" t="str">
        <x:v>183</x:v>
      </x:c>
      <x:c r="C300" s="11" t="n">
        <x:v>7</x:v>
      </x:c>
      <x:c r="D300" s="11" t="n">
        <x:v>6</x:v>
      </x:c>
      <x:c r="E300" s="2" t="str">
        <x:v>In house</x:v>
      </x:c>
      <x:c r="F300" s="11" t="n">
        <x:v>1</x:v>
      </x:c>
      <x:c r="G300" s="12"/>
      <x:c r="H300" s="12"/>
      <x:c r="I300" s="12" t="n">
        <x:v>0.31527777777777777</x:v>
      </x:c>
      <x:c r="J300" s="12" t="n">
        <x:v>0.32430555555555557</x:v>
      </x:c>
      <x:c r="K300" s="10" t="str">
        <x:v>8C</x:v>
      </x:c>
      <x:c r="L300" s="2" t="str">
        <x:v>direct_meal</x:v>
      </x:c>
      <x:c r="M300" s="8" t="str">
        <x:f>IF(P300=1,ROUND((H300-G300)*1440,6),"")</x:f>
      </x:c>
      <x:c r="N300" s="8" t="str">
        <x:f>IF(R300=1,M300,"")</x:f>
      </x:c>
      <x:c r="O300" s="8" t="n">
        <x:f>IF(S300=1,ROUND((J300-I300)*1440,6),"")</x:f>
        <x:v>13</x:v>
      </x:c>
      <x:c r="P300" s="11" t="n">
        <x:v>0</x:v>
      </x:c>
      <x:c r="Q300" s="11" t="n">
        <x:v>0</x:v>
      </x:c>
      <x:c r="R300" s="11" t="n">
        <x:v>0</x:v>
      </x:c>
      <x:c r="S300" s="11" t="n">
        <x:v>1</x:v>
      </x:c>
      <x:c r="T300" s="11" t="n">
        <x:v>1</x:v>
      </x:c>
      <x:c r="U300" s="2" t="str">
        <x:v>documented</x:v>
      </x:c>
      <x:c r="V300" s="2" t="str">
        <x:v>8C</x:v>
      </x:c>
      <x:c r="W300" s="11" t="n">
        <x:v>0</x:v>
      </x:c>
      <x:c r="X300" s="13"/>
    </x:row>
    <x:row r="301" ht="24" customHeight="1">
      <x:c r="A301" s="2" t="str">
        <x:v>183_7</x:v>
      </x:c>
      <x:c r="B301" s="10" t="str">
        <x:v>183</x:v>
      </x:c>
      <x:c r="C301" s="11" t="n">
        <x:v>8</x:v>
      </x:c>
      <x:c r="D301" s="11" t="n">
        <x:v>7</x:v>
      </x:c>
      <x:c r="E301" s="2" t="str">
        <x:v>In house</x:v>
      </x:c>
      <x:c r="F301" s="11" t="n">
        <x:v>1</x:v>
      </x:c>
      <x:c r="G301" s="12"/>
      <x:c r="H301" s="12"/>
      <x:c r="I301" s="12" t="n">
        <x:v>0.3159722222222222</x:v>
      </x:c>
      <x:c r="J301" s="12" t="n">
        <x:v>0.3229166666666667</x:v>
      </x:c>
      <x:c r="K301" s="10" t="str">
        <x:v>6</x:v>
      </x:c>
      <x:c r="L301" s="2" t="str">
        <x:v>direct_meal</x:v>
      </x:c>
      <x:c r="M301" s="8" t="str">
        <x:f>IF(P301=1,ROUND((H301-G301)*1440,6),"")</x:f>
      </x:c>
      <x:c r="N301" s="8" t="str">
        <x:f>IF(R301=1,M301,"")</x:f>
      </x:c>
      <x:c r="O301" s="8" t="n">
        <x:f>IF(S301=1,ROUND((J301-I301)*1440,6),"")</x:f>
        <x:v>10</x:v>
      </x:c>
      <x:c r="P301" s="11" t="n">
        <x:v>0</x:v>
      </x:c>
      <x:c r="Q301" s="11" t="n">
        <x:v>0</x:v>
      </x:c>
      <x:c r="R301" s="11" t="n">
        <x:v>0</x:v>
      </x:c>
      <x:c r="S301" s="11" t="n">
        <x:v>1</x:v>
      </x:c>
      <x:c r="T301" s="11" t="n">
        <x:v>1</x:v>
      </x:c>
      <x:c r="U301" s="2" t="str">
        <x:v>needs_mapping</x:v>
      </x:c>
      <x:c r="V301" s="2"/>
      <x:c r="W301" s="11" t="n">
        <x:v>1</x:v>
      </x:c>
      <x:c r="X301" s="13" t="str">
        <x:v>รหัสโต๊ะต้องยืนยัน</x:v>
      </x:c>
    </x:row>
    <x:row r="302" ht="24" customHeight="1">
      <x:c r="A302" s="2" t="str">
        <x:v>183_8</x:v>
      </x:c>
      <x:c r="B302" s="10" t="str">
        <x:v>183</x:v>
      </x:c>
      <x:c r="C302" s="11" t="n">
        <x:v>9</x:v>
      </x:c>
      <x:c r="D302" s="11" t="n">
        <x:v>8</x:v>
      </x:c>
      <x:c r="E302" s="2" t="str">
        <x:v>In house</x:v>
      </x:c>
      <x:c r="F302" s="11" t="n">
        <x:v>1</x:v>
      </x:c>
      <x:c r="G302" s="12"/>
      <x:c r="H302" s="12"/>
      <x:c r="I302" s="12" t="n">
        <x:v>0.32222222222222224</x:v>
      </x:c>
      <x:c r="J302" s="12" t="n">
        <x:v>0.3326388888888889</x:v>
      </x:c>
      <x:c r="K302" s="10" t="str">
        <x:v>10B</x:v>
      </x:c>
      <x:c r="L302" s="2" t="str">
        <x:v>direct_meal</x:v>
      </x:c>
      <x:c r="M302" s="8" t="str">
        <x:f>IF(P302=1,ROUND((H302-G302)*1440,6),"")</x:f>
      </x:c>
      <x:c r="N302" s="8" t="str">
        <x:f>IF(R302=1,M302,"")</x:f>
      </x:c>
      <x:c r="O302" s="8" t="n">
        <x:f>IF(S302=1,ROUND((J302-I302)*1440,6),"")</x:f>
        <x:v>15</x:v>
      </x:c>
      <x:c r="P302" s="11" t="n">
        <x:v>0</x:v>
      </x:c>
      <x:c r="Q302" s="11" t="n">
        <x:v>0</x:v>
      </x:c>
      <x:c r="R302" s="11" t="n">
        <x:v>0</x:v>
      </x:c>
      <x:c r="S302" s="11" t="n">
        <x:v>1</x:v>
      </x:c>
      <x:c r="T302" s="11" t="n">
        <x:v>1</x:v>
      </x:c>
      <x:c r="U302" s="2" t="str">
        <x:v>documented</x:v>
      </x:c>
      <x:c r="V302" s="2" t="str">
        <x:v>10B</x:v>
      </x:c>
      <x:c r="W302" s="11" t="n">
        <x:v>0</x:v>
      </x:c>
      <x:c r="X302" s="13"/>
    </x:row>
    <x:row r="303" ht="24" customHeight="1">
      <x:c r="A303" s="2" t="str">
        <x:v>183_9</x:v>
      </x:c>
      <x:c r="B303" s="10" t="str">
        <x:v>183</x:v>
      </x:c>
      <x:c r="C303" s="11" t="n">
        <x:v>10</x:v>
      </x:c>
      <x:c r="D303" s="11" t="n">
        <x:v>9</x:v>
      </x:c>
      <x:c r="E303" s="2" t="str">
        <x:v>In house</x:v>
      </x:c>
      <x:c r="F303" s="11" t="n">
        <x:v>2</x:v>
      </x:c>
      <x:c r="G303" s="12"/>
      <x:c r="H303" s="12"/>
      <x:c r="I303" s="12" t="n">
        <x:v>0.3229166666666667</x:v>
      </x:c>
      <x:c r="J303" s="12" t="n">
        <x:v>0.33819444444444446</x:v>
      </x:c>
      <x:c r="K303" s="10" t="str">
        <x:v>1</x:v>
      </x:c>
      <x:c r="L303" s="2" t="str">
        <x:v>direct_meal</x:v>
      </x:c>
      <x:c r="M303" s="8" t="str">
        <x:f>IF(P303=1,ROUND((H303-G303)*1440,6),"")</x:f>
      </x:c>
      <x:c r="N303" s="8" t="str">
        <x:f>IF(R303=1,M303,"")</x:f>
      </x:c>
      <x:c r="O303" s="8" t="n">
        <x:f>IF(S303=1,ROUND((J303-I303)*1440,6),"")</x:f>
        <x:v>22</x:v>
      </x:c>
      <x:c r="P303" s="11" t="n">
        <x:v>0</x:v>
      </x:c>
      <x:c r="Q303" s="11" t="n">
        <x:v>0</x:v>
      </x:c>
      <x:c r="R303" s="11" t="n">
        <x:v>0</x:v>
      </x:c>
      <x:c r="S303" s="11" t="n">
        <x:v>1</x:v>
      </x:c>
      <x:c r="T303" s="11" t="n">
        <x:v>1</x:v>
      </x:c>
      <x:c r="U303" s="2" t="str">
        <x:v>needs_mapping</x:v>
      </x:c>
      <x:c r="V303" s="2"/>
      <x:c r="W303" s="11" t="n">
        <x:v>1</x:v>
      </x:c>
      <x:c r="X303" s="13" t="str">
        <x:v>รหัสโต๊ะต้องยืนยัน</x:v>
      </x:c>
    </x:row>
    <x:row r="304" ht="24" customHeight="1">
      <x:c r="A304" s="2" t="str">
        <x:v>183_10</x:v>
      </x:c>
      <x:c r="B304" s="10" t="str">
        <x:v>183</x:v>
      </x:c>
      <x:c r="C304" s="11" t="n">
        <x:v>11</x:v>
      </x:c>
      <x:c r="D304" s="11" t="n">
        <x:v>10</x:v>
      </x:c>
      <x:c r="E304" s="2" t="str">
        <x:v>In house</x:v>
      </x:c>
      <x:c r="F304" s="11" t="n">
        <x:v>2</x:v>
      </x:c>
      <x:c r="G304" s="12"/>
      <x:c r="H304" s="12"/>
      <x:c r="I304" s="12" t="n">
        <x:v>0.3236111111111111</x:v>
      </x:c>
      <x:c r="J304" s="12" t="n">
        <x:v>0.39375</x:v>
      </x:c>
      <x:c r="K304" s="10" t="str">
        <x:v>6</x:v>
      </x:c>
      <x:c r="L304" s="2" t="str">
        <x:v>direct_meal</x:v>
      </x:c>
      <x:c r="M304" s="8" t="str">
        <x:f>IF(P304=1,ROUND((H304-G304)*1440,6),"")</x:f>
      </x:c>
      <x:c r="N304" s="8" t="str">
        <x:f>IF(R304=1,M304,"")</x:f>
      </x:c>
      <x:c r="O304" s="8" t="n">
        <x:f>IF(S304=1,ROUND((J304-I304)*1440,6),"")</x:f>
        <x:v>101</x:v>
      </x:c>
      <x:c r="P304" s="11" t="n">
        <x:v>0</x:v>
      </x:c>
      <x:c r="Q304" s="11" t="n">
        <x:v>0</x:v>
      </x:c>
      <x:c r="R304" s="11" t="n">
        <x:v>0</x:v>
      </x:c>
      <x:c r="S304" s="11" t="n">
        <x:v>1</x:v>
      </x:c>
      <x:c r="T304" s="11" t="n">
        <x:v>1</x:v>
      </x:c>
      <x:c r="U304" s="2" t="str">
        <x:v>needs_mapping</x:v>
      </x:c>
      <x:c r="V304" s="2"/>
      <x:c r="W304" s="11" t="n">
        <x:v>1</x:v>
      </x:c>
      <x:c r="X304" s="13" t="str">
        <x:v>รหัสโต๊ะต้องยืนยัน</x:v>
      </x:c>
    </x:row>
    <x:row r="305" ht="24" customHeight="1">
      <x:c r="A305" s="2" t="str">
        <x:v>183_11</x:v>
      </x:c>
      <x:c r="B305" s="10" t="str">
        <x:v>183</x:v>
      </x:c>
      <x:c r="C305" s="11" t="n">
        <x:v>12</x:v>
      </x:c>
      <x:c r="D305" s="11" t="n">
        <x:v>11</x:v>
      </x:c>
      <x:c r="E305" s="2" t="str">
        <x:v>In house</x:v>
      </x:c>
      <x:c r="F305" s="11" t="n">
        <x:v>1</x:v>
      </x:c>
      <x:c r="G305" s="12"/>
      <x:c r="H305" s="12"/>
      <x:c r="I305" s="12" t="n">
        <x:v>0.32569444444444445</x:v>
      </x:c>
      <x:c r="J305" s="12" t="n">
        <x:v>0.3423611111111111</x:v>
      </x:c>
      <x:c r="K305" s="10" t="str">
        <x:v>7B</x:v>
      </x:c>
      <x:c r="L305" s="2" t="str">
        <x:v>direct_meal</x:v>
      </x:c>
      <x:c r="M305" s="8" t="str">
        <x:f>IF(P305=1,ROUND((H305-G305)*1440,6),"")</x:f>
      </x:c>
      <x:c r="N305" s="8" t="str">
        <x:f>IF(R305=1,M305,"")</x:f>
      </x:c>
      <x:c r="O305" s="8" t="n">
        <x:f>IF(S305=1,ROUND((J305-I305)*1440,6),"")</x:f>
        <x:v>24</x:v>
      </x:c>
      <x:c r="P305" s="11" t="n">
        <x:v>0</x:v>
      </x:c>
      <x:c r="Q305" s="11" t="n">
        <x:v>0</x:v>
      </x:c>
      <x:c r="R305" s="11" t="n">
        <x:v>0</x:v>
      </x:c>
      <x:c r="S305" s="11" t="n">
        <x:v>1</x:v>
      </x:c>
      <x:c r="T305" s="11" t="n">
        <x:v>1</x:v>
      </x:c>
      <x:c r="U305" s="2" t="str">
        <x:v>documented</x:v>
      </x:c>
      <x:c r="V305" s="2" t="str">
        <x:v>7B</x:v>
      </x:c>
      <x:c r="W305" s="11" t="n">
        <x:v>0</x:v>
      </x:c>
      <x:c r="X305" s="13"/>
    </x:row>
    <x:row r="306" ht="24" customHeight="1">
      <x:c r="A306" s="2" t="str">
        <x:v>183_12</x:v>
      </x:c>
      <x:c r="B306" s="10" t="str">
        <x:v>183</x:v>
      </x:c>
      <x:c r="C306" s="11" t="n">
        <x:v>13</x:v>
      </x:c>
      <x:c r="D306" s="11" t="n">
        <x:v>12</x:v>
      </x:c>
      <x:c r="E306" s="2" t="str">
        <x:v>Walk in</x:v>
      </x:c>
      <x:c r="F306" s="11" t="n">
        <x:v>1</x:v>
      </x:c>
      <x:c r="G306" s="12"/>
      <x:c r="H306" s="12"/>
      <x:c r="I306" s="12" t="n">
        <x:v>0.3298611111111111</x:v>
      </x:c>
      <x:c r="J306" s="12" t="n">
        <x:v>0.38958333333333334</x:v>
      </x:c>
      <x:c r="K306" s="10" t="str">
        <x:v>8A</x:v>
      </x:c>
      <x:c r="L306" s="2" t="str">
        <x:v>direct_meal</x:v>
      </x:c>
      <x:c r="M306" s="8" t="str">
        <x:f>IF(P306=1,ROUND((H306-G306)*1440,6),"")</x:f>
      </x:c>
      <x:c r="N306" s="8" t="str">
        <x:f>IF(R306=1,M306,"")</x:f>
      </x:c>
      <x:c r="O306" s="8" t="n">
        <x:f>IF(S306=1,ROUND((J306-I306)*1440,6),"")</x:f>
        <x:v>86</x:v>
      </x:c>
      <x:c r="P306" s="11" t="n">
        <x:v>0</x:v>
      </x:c>
      <x:c r="Q306" s="11" t="n">
        <x:v>0</x:v>
      </x:c>
      <x:c r="R306" s="11" t="n">
        <x:v>0</x:v>
      </x:c>
      <x:c r="S306" s="11" t="n">
        <x:v>1</x:v>
      </x:c>
      <x:c r="T306" s="11" t="n">
        <x:v>1</x:v>
      </x:c>
      <x:c r="U306" s="2" t="str">
        <x:v>documented</x:v>
      </x:c>
      <x:c r="V306" s="2" t="str">
        <x:v>8A</x:v>
      </x:c>
      <x:c r="W306" s="11" t="n">
        <x:v>0</x:v>
      </x:c>
      <x:c r="X306" s="13"/>
    </x:row>
    <x:row r="307" ht="24" customHeight="1">
      <x:c r="A307" s="2" t="str">
        <x:v>183_13</x:v>
      </x:c>
      <x:c r="B307" s="10" t="str">
        <x:v>183</x:v>
      </x:c>
      <x:c r="C307" s="11" t="n">
        <x:v>14</x:v>
      </x:c>
      <x:c r="D307" s="11" t="n">
        <x:v>13</x:v>
      </x:c>
      <x:c r="E307" s="2" t="str">
        <x:v>Walk in</x:v>
      </x:c>
      <x:c r="F307" s="11" t="n">
        <x:v>1</x:v>
      </x:c>
      <x:c r="G307" s="12"/>
      <x:c r="H307" s="12"/>
      <x:c r="I307" s="12" t="n">
        <x:v>0.33194444444444443</x:v>
      </x:c>
      <x:c r="J307" s="12" t="n">
        <x:v>0.37430555555555556</x:v>
      </x:c>
      <x:c r="K307" s="10" t="str">
        <x:v>4B</x:v>
      </x:c>
      <x:c r="L307" s="2" t="str">
        <x:v>direct_meal</x:v>
      </x:c>
      <x:c r="M307" s="8" t="str">
        <x:f>IF(P307=1,ROUND((H307-G307)*1440,6),"")</x:f>
      </x:c>
      <x:c r="N307" s="8" t="str">
        <x:f>IF(R307=1,M307,"")</x:f>
      </x:c>
      <x:c r="O307" s="8" t="n">
        <x:f>IF(S307=1,ROUND((J307-I307)*1440,6),"")</x:f>
        <x:v>61</x:v>
      </x:c>
      <x:c r="P307" s="11" t="n">
        <x:v>0</x:v>
      </x:c>
      <x:c r="Q307" s="11" t="n">
        <x:v>0</x:v>
      </x:c>
      <x:c r="R307" s="11" t="n">
        <x:v>0</x:v>
      </x:c>
      <x:c r="S307" s="11" t="n">
        <x:v>1</x:v>
      </x:c>
      <x:c r="T307" s="11" t="n">
        <x:v>1</x:v>
      </x:c>
      <x:c r="U307" s="2" t="str">
        <x:v>documented</x:v>
      </x:c>
      <x:c r="V307" s="2" t="str">
        <x:v>4B</x:v>
      </x:c>
      <x:c r="W307" s="11" t="n">
        <x:v>0</x:v>
      </x:c>
      <x:c r="X307" s="13"/>
    </x:row>
    <x:row r="308" ht="24" customHeight="1">
      <x:c r="A308" s="2" t="str">
        <x:v>183_14</x:v>
      </x:c>
      <x:c r="B308" s="10" t="str">
        <x:v>183</x:v>
      </x:c>
      <x:c r="C308" s="11" t="n">
        <x:v>15</x:v>
      </x:c>
      <x:c r="D308" s="11" t="n">
        <x:v>14</x:v>
      </x:c>
      <x:c r="E308" s="2" t="str">
        <x:v>Walk in</x:v>
      </x:c>
      <x:c r="F308" s="11" t="n">
        <x:v>2</x:v>
      </x:c>
      <x:c r="G308" s="12"/>
      <x:c r="H308" s="12"/>
      <x:c r="I308" s="12" t="n">
        <x:v>0.33541666666666664</x:v>
      </x:c>
      <x:c r="J308" s="12" t="n">
        <x:v>0.3576388888888889</x:v>
      </x:c>
      <x:c r="K308" s="10" t="str">
        <x:v>16</x:v>
      </x:c>
      <x:c r="L308" s="2" t="str">
        <x:v>direct_meal</x:v>
      </x:c>
      <x:c r="M308" s="8" t="str">
        <x:f>IF(P308=1,ROUND((H308-G308)*1440,6),"")</x:f>
      </x:c>
      <x:c r="N308" s="8" t="str">
        <x:f>IF(R308=1,M308,"")</x:f>
      </x:c>
      <x:c r="O308" s="8" t="n">
        <x:f>IF(S308=1,ROUND((J308-I308)*1440,6),"")</x:f>
        <x:v>32</x:v>
      </x:c>
      <x:c r="P308" s="11" t="n">
        <x:v>0</x:v>
      </x:c>
      <x:c r="Q308" s="11" t="n">
        <x:v>0</x:v>
      </x:c>
      <x:c r="R308" s="11" t="n">
        <x:v>0</x:v>
      </x:c>
      <x:c r="S308" s="11" t="n">
        <x:v>1</x:v>
      </x:c>
      <x:c r="T308" s="11" t="n">
        <x:v>1</x:v>
      </x:c>
      <x:c r="U308" s="2" t="str">
        <x:v>needs_mapping</x:v>
      </x:c>
      <x:c r="V308" s="2"/>
      <x:c r="W308" s="11" t="n">
        <x:v>1</x:v>
      </x:c>
      <x:c r="X308" s="13" t="str">
        <x:v>รหัสโต๊ะต้องยืนยัน</x:v>
      </x:c>
    </x:row>
    <x:row r="309" ht="24" customHeight="1">
      <x:c r="A309" s="2" t="str">
        <x:v>183_15</x:v>
      </x:c>
      <x:c r="B309" s="10" t="str">
        <x:v>183</x:v>
      </x:c>
      <x:c r="C309" s="11" t="n">
        <x:v>16</x:v>
      </x:c>
      <x:c r="D309" s="11" t="n">
        <x:v>15</x:v>
      </x:c>
      <x:c r="E309" s="2" t="str">
        <x:v>In house</x:v>
      </x:c>
      <x:c r="F309" s="11" t="n">
        <x:v>2</x:v>
      </x:c>
      <x:c r="G309" s="12"/>
      <x:c r="H309" s="12"/>
      <x:c r="I309" s="12" t="n">
        <x:v>0.3368055555555556</x:v>
      </x:c>
      <x:c r="J309" s="12" t="n">
        <x:v>0.3680555555555556</x:v>
      </x:c>
      <x:c r="K309" s="10" t="str">
        <x:v>10B</x:v>
      </x:c>
      <x:c r="L309" s="2" t="str">
        <x:v>direct_meal</x:v>
      </x:c>
      <x:c r="M309" s="8" t="str">
        <x:f>IF(P309=1,ROUND((H309-G309)*1440,6),"")</x:f>
      </x:c>
      <x:c r="N309" s="8" t="str">
        <x:f>IF(R309=1,M309,"")</x:f>
      </x:c>
      <x:c r="O309" s="8" t="n">
        <x:f>IF(S309=1,ROUND((J309-I309)*1440,6),"")</x:f>
        <x:v>45</x:v>
      </x:c>
      <x:c r="P309" s="11" t="n">
        <x:v>0</x:v>
      </x:c>
      <x:c r="Q309" s="11" t="n">
        <x:v>0</x:v>
      </x:c>
      <x:c r="R309" s="11" t="n">
        <x:v>0</x:v>
      </x:c>
      <x:c r="S309" s="11" t="n">
        <x:v>1</x:v>
      </x:c>
      <x:c r="T309" s="11" t="n">
        <x:v>1</x:v>
      </x:c>
      <x:c r="U309" s="2" t="str">
        <x:v>documented</x:v>
      </x:c>
      <x:c r="V309" s="2" t="str">
        <x:v>10B</x:v>
      </x:c>
      <x:c r="W309" s="11" t="n">
        <x:v>0</x:v>
      </x:c>
      <x:c r="X309" s="13"/>
    </x:row>
    <x:row r="310" ht="24" customHeight="1">
      <x:c r="A310" s="2" t="str">
        <x:v>183_16</x:v>
      </x:c>
      <x:c r="B310" s="10" t="str">
        <x:v>183</x:v>
      </x:c>
      <x:c r="C310" s="11" t="n">
        <x:v>17</x:v>
      </x:c>
      <x:c r="D310" s="11" t="n">
        <x:v>16</x:v>
      </x:c>
      <x:c r="E310" s="2" t="str">
        <x:v>In house</x:v>
      </x:c>
      <x:c r="F310" s="11" t="n">
        <x:v>2</x:v>
      </x:c>
      <x:c r="G310" s="12"/>
      <x:c r="H310" s="12"/>
      <x:c r="I310" s="12" t="n">
        <x:v>0.3375</x:v>
      </x:c>
      <x:c r="J310" s="12" t="n">
        <x:v>0.35833333333333334</x:v>
      </x:c>
      <x:c r="K310" s="10" t="str">
        <x:v>11A</x:v>
      </x:c>
      <x:c r="L310" s="2" t="str">
        <x:v>direct_meal</x:v>
      </x:c>
      <x:c r="M310" s="8" t="str">
        <x:f>IF(P310=1,ROUND((H310-G310)*1440,6),"")</x:f>
      </x:c>
      <x:c r="N310" s="8" t="str">
        <x:f>IF(R310=1,M310,"")</x:f>
      </x:c>
      <x:c r="O310" s="8" t="n">
        <x:f>IF(S310=1,ROUND((J310-I310)*1440,6),"")</x:f>
        <x:v>30</x:v>
      </x:c>
      <x:c r="P310" s="11" t="n">
        <x:v>0</x:v>
      </x:c>
      <x:c r="Q310" s="11" t="n">
        <x:v>0</x:v>
      </x:c>
      <x:c r="R310" s="11" t="n">
        <x:v>0</x:v>
      </x:c>
      <x:c r="S310" s="11" t="n">
        <x:v>1</x:v>
      </x:c>
      <x:c r="T310" s="11" t="n">
        <x:v>1</x:v>
      </x:c>
      <x:c r="U310" s="2" t="str">
        <x:v>documented</x:v>
      </x:c>
      <x:c r="V310" s="2" t="str">
        <x:v>11A</x:v>
      </x:c>
      <x:c r="W310" s="11" t="n">
        <x:v>0</x:v>
      </x:c>
      <x:c r="X310" s="13"/>
    </x:row>
    <x:row r="311" ht="24" customHeight="1">
      <x:c r="A311" s="2" t="str">
        <x:v>183_17</x:v>
      </x:c>
      <x:c r="B311" s="10" t="str">
        <x:v>183</x:v>
      </x:c>
      <x:c r="C311" s="11" t="n">
        <x:v>18</x:v>
      </x:c>
      <x:c r="D311" s="11" t="n">
        <x:v>17</x:v>
      </x:c>
      <x:c r="E311" s="2" t="str">
        <x:v>Walk in</x:v>
      </x:c>
      <x:c r="F311" s="11" t="n">
        <x:v>1</x:v>
      </x:c>
      <x:c r="G311" s="12"/>
      <x:c r="H311" s="12"/>
      <x:c r="I311" s="12" t="n">
        <x:v>0.34375</x:v>
      </x:c>
      <x:c r="J311" s="12" t="n">
        <x:v>0.375</x:v>
      </x:c>
      <x:c r="K311" s="10" t="str">
        <x:v>1A</x:v>
      </x:c>
      <x:c r="L311" s="2" t="str">
        <x:v>direct_meal</x:v>
      </x:c>
      <x:c r="M311" s="8" t="str">
        <x:f>IF(P311=1,ROUND((H311-G311)*1440,6),"")</x:f>
      </x:c>
      <x:c r="N311" s="8" t="str">
        <x:f>IF(R311=1,M311,"")</x:f>
      </x:c>
      <x:c r="O311" s="8" t="n">
        <x:f>IF(S311=1,ROUND((J311-I311)*1440,6),"")</x:f>
        <x:v>45</x:v>
      </x:c>
      <x:c r="P311" s="11" t="n">
        <x:v>0</x:v>
      </x:c>
      <x:c r="Q311" s="11" t="n">
        <x:v>0</x:v>
      </x:c>
      <x:c r="R311" s="11" t="n">
        <x:v>0</x:v>
      </x:c>
      <x:c r="S311" s="11" t="n">
        <x:v>1</x:v>
      </x:c>
      <x:c r="T311" s="11" t="n">
        <x:v>1</x:v>
      </x:c>
      <x:c r="U311" s="2" t="str">
        <x:v>documented</x:v>
      </x:c>
      <x:c r="V311" s="2" t="str">
        <x:v>1A</x:v>
      </x:c>
      <x:c r="W311" s="11" t="n">
        <x:v>0</x:v>
      </x:c>
      <x:c r="X311" s="13"/>
    </x:row>
    <x:row r="312" ht="24" customHeight="1">
      <x:c r="A312" s="2" t="str">
        <x:v>183_18</x:v>
      </x:c>
      <x:c r="B312" s="10" t="str">
        <x:v>183</x:v>
      </x:c>
      <x:c r="C312" s="11" t="n">
        <x:v>19</x:v>
      </x:c>
      <x:c r="D312" s="11" t="n">
        <x:v>18</x:v>
      </x:c>
      <x:c r="E312" s="2" t="str">
        <x:v>Walk in</x:v>
      </x:c>
      <x:c r="F312" s="11" t="n">
        <x:v>1</x:v>
      </x:c>
      <x:c r="G312" s="12"/>
      <x:c r="H312" s="12"/>
      <x:c r="I312" s="12" t="n">
        <x:v>0.34444444444444444</x:v>
      </x:c>
      <x:c r="J312" s="12" t="n">
        <x:v>0.4125</x:v>
      </x:c>
      <x:c r="K312" s="10" t="str">
        <x:v>1B</x:v>
      </x:c>
      <x:c r="L312" s="2" t="str">
        <x:v>direct_meal</x:v>
      </x:c>
      <x:c r="M312" s="8" t="str">
        <x:f>IF(P312=1,ROUND((H312-G312)*1440,6),"")</x:f>
      </x:c>
      <x:c r="N312" s="8" t="str">
        <x:f>IF(R312=1,M312,"")</x:f>
      </x:c>
      <x:c r="O312" s="8" t="n">
        <x:f>IF(S312=1,ROUND((J312-I312)*1440,6),"")</x:f>
        <x:v>98</x:v>
      </x:c>
      <x:c r="P312" s="11" t="n">
        <x:v>0</x:v>
      </x:c>
      <x:c r="Q312" s="11" t="n">
        <x:v>0</x:v>
      </x:c>
      <x:c r="R312" s="11" t="n">
        <x:v>0</x:v>
      </x:c>
      <x:c r="S312" s="11" t="n">
        <x:v>1</x:v>
      </x:c>
      <x:c r="T312" s="11" t="n">
        <x:v>1</x:v>
      </x:c>
      <x:c r="U312" s="2" t="str">
        <x:v>documented</x:v>
      </x:c>
      <x:c r="V312" s="2" t="str">
        <x:v>1B</x:v>
      </x:c>
      <x:c r="W312" s="11" t="n">
        <x:v>0</x:v>
      </x:c>
      <x:c r="X312" s="13"/>
    </x:row>
    <x:row r="313" ht="24" customHeight="1">
      <x:c r="A313" s="2" t="str">
        <x:v>183_19</x:v>
      </x:c>
      <x:c r="B313" s="10" t="str">
        <x:v>183</x:v>
      </x:c>
      <x:c r="C313" s="11" t="n">
        <x:v>20</x:v>
      </x:c>
      <x:c r="D313" s="11" t="n">
        <x:v>19</x:v>
      </x:c>
      <x:c r="E313" s="2" t="str">
        <x:v>Walk in</x:v>
      </x:c>
      <x:c r="F313" s="11" t="n">
        <x:v>1</x:v>
      </x:c>
      <x:c r="G313" s="12"/>
      <x:c r="H313" s="12"/>
      <x:c r="I313" s="12" t="n">
        <x:v>0.3458333333333333</x:v>
      </x:c>
      <x:c r="J313" s="12" t="n">
        <x:v>0.40069444444444446</x:v>
      </x:c>
      <x:c r="K313" s="10" t="str">
        <x:v>7B</x:v>
      </x:c>
      <x:c r="L313" s="2" t="str">
        <x:v>direct_meal</x:v>
      </x:c>
      <x:c r="M313" s="8" t="str">
        <x:f>IF(P313=1,ROUND((H313-G313)*1440,6),"")</x:f>
      </x:c>
      <x:c r="N313" s="8" t="str">
        <x:f>IF(R313=1,M313,"")</x:f>
      </x:c>
      <x:c r="O313" s="8" t="n">
        <x:f>IF(S313=1,ROUND((J313-I313)*1440,6),"")</x:f>
        <x:v>79</x:v>
      </x:c>
      <x:c r="P313" s="11" t="n">
        <x:v>0</x:v>
      </x:c>
      <x:c r="Q313" s="11" t="n">
        <x:v>0</x:v>
      </x:c>
      <x:c r="R313" s="11" t="n">
        <x:v>0</x:v>
      </x:c>
      <x:c r="S313" s="11" t="n">
        <x:v>1</x:v>
      </x:c>
      <x:c r="T313" s="11" t="n">
        <x:v>1</x:v>
      </x:c>
      <x:c r="U313" s="2" t="str">
        <x:v>documented</x:v>
      </x:c>
      <x:c r="V313" s="2" t="str">
        <x:v>7B</x:v>
      </x:c>
      <x:c r="W313" s="11" t="n">
        <x:v>0</x:v>
      </x:c>
      <x:c r="X313" s="13"/>
    </x:row>
    <x:row r="314" ht="24" customHeight="1">
      <x:c r="A314" s="2" t="str">
        <x:v>183_20</x:v>
      </x:c>
      <x:c r="B314" s="10" t="str">
        <x:v>183</x:v>
      </x:c>
      <x:c r="C314" s="11" t="n">
        <x:v>21</x:v>
      </x:c>
      <x:c r="D314" s="11" t="n">
        <x:v>20</x:v>
      </x:c>
      <x:c r="E314" s="2" t="str">
        <x:v>In house</x:v>
      </x:c>
      <x:c r="F314" s="11" t="n">
        <x:v>2</x:v>
      </x:c>
      <x:c r="G314" s="12"/>
      <x:c r="H314" s="12"/>
      <x:c r="I314" s="12" t="n">
        <x:v>0.3506944444444444</x:v>
      </x:c>
      <x:c r="J314" s="12" t="n">
        <x:v>0.3784722222222222</x:v>
      </x:c>
      <x:c r="K314" s="10" t="str">
        <x:v>3</x:v>
      </x:c>
      <x:c r="L314" s="2" t="str">
        <x:v>direct_meal</x:v>
      </x:c>
      <x:c r="M314" s="8" t="str">
        <x:f>IF(P314=1,ROUND((H314-G314)*1440,6),"")</x:f>
      </x:c>
      <x:c r="N314" s="8" t="str">
        <x:f>IF(R314=1,M314,"")</x:f>
      </x:c>
      <x:c r="O314" s="8" t="n">
        <x:f>IF(S314=1,ROUND((J314-I314)*1440,6),"")</x:f>
        <x:v>40</x:v>
      </x:c>
      <x:c r="P314" s="11" t="n">
        <x:v>0</x:v>
      </x:c>
      <x:c r="Q314" s="11" t="n">
        <x:v>0</x:v>
      </x:c>
      <x:c r="R314" s="11" t="n">
        <x:v>0</x:v>
      </x:c>
      <x:c r="S314" s="11" t="n">
        <x:v>1</x:v>
      </x:c>
      <x:c r="T314" s="11" t="n">
        <x:v>1</x:v>
      </x:c>
      <x:c r="U314" s="2" t="str">
        <x:v>needs_mapping</x:v>
      </x:c>
      <x:c r="V314" s="2"/>
      <x:c r="W314" s="11" t="n">
        <x:v>1</x:v>
      </x:c>
      <x:c r="X314" s="13" t="str">
        <x:v>รหัสโต๊ะต้องยืนยัน</x:v>
      </x:c>
    </x:row>
    <x:row r="315" ht="24" customHeight="1">
      <x:c r="A315" s="2" t="str">
        <x:v>183_21</x:v>
      </x:c>
      <x:c r="B315" s="10" t="str">
        <x:v>183</x:v>
      </x:c>
      <x:c r="C315" s="11" t="n">
        <x:v>22</x:v>
      </x:c>
      <x:c r="D315" s="11" t="n">
        <x:v>21</x:v>
      </x:c>
      <x:c r="E315" s="2" t="str">
        <x:v>In house</x:v>
      </x:c>
      <x:c r="F315" s="11" t="n">
        <x:v>2</x:v>
      </x:c>
      <x:c r="G315" s="12"/>
      <x:c r="H315" s="12"/>
      <x:c r="I315" s="12" t="n">
        <x:v>0.3527777777777778</x:v>
      </x:c>
      <x:c r="J315" s="12" t="n">
        <x:v>0.37916666666666665</x:v>
      </x:c>
      <x:c r="K315" s="10" t="str">
        <x:v>8B</x:v>
      </x:c>
      <x:c r="L315" s="2" t="str">
        <x:v>direct_meal</x:v>
      </x:c>
      <x:c r="M315" s="8" t="str">
        <x:f>IF(P315=1,ROUND((H315-G315)*1440,6),"")</x:f>
      </x:c>
      <x:c r="N315" s="8" t="str">
        <x:f>IF(R315=1,M315,"")</x:f>
      </x:c>
      <x:c r="O315" s="8" t="n">
        <x:f>IF(S315=1,ROUND((J315-I315)*1440,6),"")</x:f>
        <x:v>38</x:v>
      </x:c>
      <x:c r="P315" s="11" t="n">
        <x:v>0</x:v>
      </x:c>
      <x:c r="Q315" s="11" t="n">
        <x:v>0</x:v>
      </x:c>
      <x:c r="R315" s="11" t="n">
        <x:v>0</x:v>
      </x:c>
      <x:c r="S315" s="11" t="n">
        <x:v>1</x:v>
      </x:c>
      <x:c r="T315" s="11" t="n">
        <x:v>1</x:v>
      </x:c>
      <x:c r="U315" s="2" t="str">
        <x:v>documented</x:v>
      </x:c>
      <x:c r="V315" s="2" t="str">
        <x:v>8B</x:v>
      </x:c>
      <x:c r="W315" s="11" t="n">
        <x:v>0</x:v>
      </x:c>
      <x:c r="X315" s="13"/>
    </x:row>
    <x:row r="316" ht="24" customHeight="1">
      <x:c r="A316" s="2" t="str">
        <x:v>183_22</x:v>
      </x:c>
      <x:c r="B316" s="10" t="str">
        <x:v>183</x:v>
      </x:c>
      <x:c r="C316" s="11" t="n">
        <x:v>23</x:v>
      </x:c>
      <x:c r="D316" s="11" t="n">
        <x:v>22</x:v>
      </x:c>
      <x:c r="E316" s="2" t="str">
        <x:v>Walk in</x:v>
      </x:c>
      <x:c r="F316" s="11" t="n">
        <x:v>2</x:v>
      </x:c>
      <x:c r="G316" s="12"/>
      <x:c r="H316" s="12"/>
      <x:c r="I316" s="12" t="n">
        <x:v>0.35347222222222224</x:v>
      </x:c>
      <x:c r="J316" s="12" t="n">
        <x:v>0.38819444444444445</x:v>
      </x:c>
      <x:c r="K316" s="10" t="str">
        <x:v>15</x:v>
      </x:c>
      <x:c r="L316" s="2" t="str">
        <x:v>direct_meal</x:v>
      </x:c>
      <x:c r="M316" s="8" t="str">
        <x:f>IF(P316=1,ROUND((H316-G316)*1440,6),"")</x:f>
      </x:c>
      <x:c r="N316" s="8" t="str">
        <x:f>IF(R316=1,M316,"")</x:f>
      </x:c>
      <x:c r="O316" s="8" t="n">
        <x:f>IF(S316=1,ROUND((J316-I316)*1440,6),"")</x:f>
        <x:v>50</x:v>
      </x:c>
      <x:c r="P316" s="11" t="n">
        <x:v>0</x:v>
      </x:c>
      <x:c r="Q316" s="11" t="n">
        <x:v>0</x:v>
      </x:c>
      <x:c r="R316" s="11" t="n">
        <x:v>0</x:v>
      </x:c>
      <x:c r="S316" s="11" t="n">
        <x:v>1</x:v>
      </x:c>
      <x:c r="T316" s="11" t="n">
        <x:v>1</x:v>
      </x:c>
      <x:c r="U316" s="2" t="str">
        <x:v>documented</x:v>
      </x:c>
      <x:c r="V316" s="2" t="str">
        <x:v>15</x:v>
      </x:c>
      <x:c r="W316" s="11" t="n">
        <x:v>0</x:v>
      </x:c>
      <x:c r="X316" s="13"/>
    </x:row>
    <x:row r="317" ht="24" customHeight="1">
      <x:c r="A317" s="2" t="str">
        <x:v>183_23</x:v>
      </x:c>
      <x:c r="B317" s="10" t="str">
        <x:v>183</x:v>
      </x:c>
      <x:c r="C317" s="11" t="n">
        <x:v>24</x:v>
      </x:c>
      <x:c r="D317" s="11" t="n">
        <x:v>23</x:v>
      </x:c>
      <x:c r="E317" s="2" t="str">
        <x:v>In house</x:v>
      </x:c>
      <x:c r="F317" s="11" t="n">
        <x:v>4</x:v>
      </x:c>
      <x:c r="G317" s="12"/>
      <x:c r="H317" s="12"/>
      <x:c r="I317" s="12" t="n">
        <x:v>0.3541666666666667</x:v>
      </x:c>
      <x:c r="J317" s="12" t="n">
        <x:v>0.3819444444444444</x:v>
      </x:c>
      <x:c r="K317" s="10" t="str">
        <x:v>2</x:v>
      </x:c>
      <x:c r="L317" s="2" t="str">
        <x:v>direct_meal</x:v>
      </x:c>
      <x:c r="M317" s="8" t="str">
        <x:f>IF(P317=1,ROUND((H317-G317)*1440,6),"")</x:f>
      </x:c>
      <x:c r="N317" s="8" t="str">
        <x:f>IF(R317=1,M317,"")</x:f>
      </x:c>
      <x:c r="O317" s="8" t="n">
        <x:f>IF(S317=1,ROUND((J317-I317)*1440,6),"")</x:f>
        <x:v>40</x:v>
      </x:c>
      <x:c r="P317" s="11" t="n">
        <x:v>0</x:v>
      </x:c>
      <x:c r="Q317" s="11" t="n">
        <x:v>0</x:v>
      </x:c>
      <x:c r="R317" s="11" t="n">
        <x:v>0</x:v>
      </x:c>
      <x:c r="S317" s="11" t="n">
        <x:v>1</x:v>
      </x:c>
      <x:c r="T317" s="11" t="n">
        <x:v>1</x:v>
      </x:c>
      <x:c r="U317" s="2" t="str">
        <x:v>needs_mapping</x:v>
      </x:c>
      <x:c r="V317" s="2"/>
      <x:c r="W317" s="11" t="n">
        <x:v>1</x:v>
      </x:c>
      <x:c r="X317" s="13" t="str">
        <x:v>รหัสโต๊ะต้องยืนยัน</x:v>
      </x:c>
    </x:row>
    <x:row r="318" ht="24" customHeight="1">
      <x:c r="A318" s="2" t="str">
        <x:v>183_24</x:v>
      </x:c>
      <x:c r="B318" s="10" t="str">
        <x:v>183</x:v>
      </x:c>
      <x:c r="C318" s="11" t="n">
        <x:v>25</x:v>
      </x:c>
      <x:c r="D318" s="11" t="n">
        <x:v>24</x:v>
      </x:c>
      <x:c r="E318" s="2" t="str">
        <x:v>Walk in</x:v>
      </x:c>
      <x:c r="F318" s="11" t="n">
        <x:v>1</x:v>
      </x:c>
      <x:c r="G318" s="12"/>
      <x:c r="H318" s="12"/>
      <x:c r="I318" s="12" t="n">
        <x:v>0.3611111111111111</x:v>
      </x:c>
      <x:c r="J318" s="12" t="n">
        <x:v>0.3951388888888889</x:v>
      </x:c>
      <x:c r="K318" s="10" t="str">
        <x:v>16</x:v>
      </x:c>
      <x:c r="L318" s="2" t="str">
        <x:v>direct_meal</x:v>
      </x:c>
      <x:c r="M318" s="8" t="str">
        <x:f>IF(P318=1,ROUND((H318-G318)*1440,6),"")</x:f>
      </x:c>
      <x:c r="N318" s="8" t="str">
        <x:f>IF(R318=1,M318,"")</x:f>
      </x:c>
      <x:c r="O318" s="8" t="n">
        <x:f>IF(S318=1,ROUND((J318-I318)*1440,6),"")</x:f>
        <x:v>49</x:v>
      </x:c>
      <x:c r="P318" s="11" t="n">
        <x:v>0</x:v>
      </x:c>
      <x:c r="Q318" s="11" t="n">
        <x:v>0</x:v>
      </x:c>
      <x:c r="R318" s="11" t="n">
        <x:v>0</x:v>
      </x:c>
      <x:c r="S318" s="11" t="n">
        <x:v>1</x:v>
      </x:c>
      <x:c r="T318" s="11" t="n">
        <x:v>1</x:v>
      </x:c>
      <x:c r="U318" s="2" t="str">
        <x:v>needs_mapping</x:v>
      </x:c>
      <x:c r="V318" s="2"/>
      <x:c r="W318" s="11" t="n">
        <x:v>1</x:v>
      </x:c>
      <x:c r="X318" s="13" t="str">
        <x:v>รหัสโต๊ะต้องยืนยัน</x:v>
      </x:c>
    </x:row>
    <x:row r="319" ht="24" customHeight="1">
      <x:c r="A319" s="2" t="str">
        <x:v>183_25</x:v>
      </x:c>
      <x:c r="B319" s="10" t="str">
        <x:v>183</x:v>
      </x:c>
      <x:c r="C319" s="11" t="n">
        <x:v>26</x:v>
      </x:c>
      <x:c r="D319" s="11" t="n">
        <x:v>25</x:v>
      </x:c>
      <x:c r="E319" s="2" t="str">
        <x:v>In house</x:v>
      </x:c>
      <x:c r="F319" s="11" t="n">
        <x:v>2</x:v>
      </x:c>
      <x:c r="G319" s="12"/>
      <x:c r="H319" s="12"/>
      <x:c r="I319" s="12" t="n">
        <x:v>0.3625</x:v>
      </x:c>
      <x:c r="J319" s="12" t="n">
        <x:v>0.3993055555555556</x:v>
      </x:c>
      <x:c r="K319" s="10" t="str">
        <x:v>11B</x:v>
      </x:c>
      <x:c r="L319" s="2" t="str">
        <x:v>direct_meal</x:v>
      </x:c>
      <x:c r="M319" s="8" t="str">
        <x:f>IF(P319=1,ROUND((H319-G319)*1440,6),"")</x:f>
      </x:c>
      <x:c r="N319" s="8" t="str">
        <x:f>IF(R319=1,M319,"")</x:f>
      </x:c>
      <x:c r="O319" s="8" t="n">
        <x:f>IF(S319=1,ROUND((J319-I319)*1440,6),"")</x:f>
        <x:v>53</x:v>
      </x:c>
      <x:c r="P319" s="11" t="n">
        <x:v>0</x:v>
      </x:c>
      <x:c r="Q319" s="11" t="n">
        <x:v>0</x:v>
      </x:c>
      <x:c r="R319" s="11" t="n">
        <x:v>0</x:v>
      </x:c>
      <x:c r="S319" s="11" t="n">
        <x:v>1</x:v>
      </x:c>
      <x:c r="T319" s="11" t="n">
        <x:v>1</x:v>
      </x:c>
      <x:c r="U319" s="2" t="str">
        <x:v>documented</x:v>
      </x:c>
      <x:c r="V319" s="2" t="str">
        <x:v>11B</x:v>
      </x:c>
      <x:c r="W319" s="11" t="n">
        <x:v>0</x:v>
      </x:c>
      <x:c r="X319" s="13"/>
    </x:row>
    <x:row r="320" ht="24" customHeight="1">
      <x:c r="A320" s="2" t="str">
        <x:v>183_26</x:v>
      </x:c>
      <x:c r="B320" s="10" t="str">
        <x:v>183</x:v>
      </x:c>
      <x:c r="C320" s="11" t="n">
        <x:v>27</x:v>
      </x:c>
      <x:c r="D320" s="11" t="n">
        <x:v>26</x:v>
      </x:c>
      <x:c r="E320" s="2" t="str">
        <x:v>In house</x:v>
      </x:c>
      <x:c r="F320" s="11" t="n">
        <x:v>3</x:v>
      </x:c>
      <x:c r="G320" s="12"/>
      <x:c r="H320" s="12"/>
      <x:c r="I320" s="12" t="n">
        <x:v>0.36319444444444443</x:v>
      </x:c>
      <x:c r="J320" s="12" t="n">
        <x:v>0.3736111111111111</x:v>
      </x:c>
      <x:c r="K320" s="10" t="str">
        <x:v>5</x:v>
      </x:c>
      <x:c r="L320" s="2" t="str">
        <x:v>direct_meal</x:v>
      </x:c>
      <x:c r="M320" s="8" t="str">
        <x:f>IF(P320=1,ROUND((H320-G320)*1440,6),"")</x:f>
      </x:c>
      <x:c r="N320" s="8" t="str">
        <x:f>IF(R320=1,M320,"")</x:f>
      </x:c>
      <x:c r="O320" s="8" t="n">
        <x:f>IF(S320=1,ROUND((J320-I320)*1440,6),"")</x:f>
        <x:v>15</x:v>
      </x:c>
      <x:c r="P320" s="11" t="n">
        <x:v>0</x:v>
      </x:c>
      <x:c r="Q320" s="11" t="n">
        <x:v>0</x:v>
      </x:c>
      <x:c r="R320" s="11" t="n">
        <x:v>0</x:v>
      </x:c>
      <x:c r="S320" s="11" t="n">
        <x:v>1</x:v>
      </x:c>
      <x:c r="T320" s="11" t="n">
        <x:v>1</x:v>
      </x:c>
      <x:c r="U320" s="2" t="str">
        <x:v>needs_mapping</x:v>
      </x:c>
      <x:c r="V320" s="2"/>
      <x:c r="W320" s="11" t="n">
        <x:v>1</x:v>
      </x:c>
      <x:c r="X320" s="13" t="str">
        <x:v>รหัสโต๊ะต้องยืนยัน</x:v>
      </x:c>
    </x:row>
    <x:row r="321" ht="24" customHeight="1">
      <x:c r="A321" s="2" t="str">
        <x:v>183_27</x:v>
      </x:c>
      <x:c r="B321" s="10" t="str">
        <x:v>183</x:v>
      </x:c>
      <x:c r="C321" s="11" t="n">
        <x:v>28</x:v>
      </x:c>
      <x:c r="D321" s="11" t="n">
        <x:v>27</x:v>
      </x:c>
      <x:c r="E321" s="2" t="str">
        <x:v>In house</x:v>
      </x:c>
      <x:c r="F321" s="11" t="n">
        <x:v>1</x:v>
      </x:c>
      <x:c r="G321" s="12"/>
      <x:c r="H321" s="12"/>
      <x:c r="I321" s="12" t="n">
        <x:v>0.3638888888888889</x:v>
      </x:c>
      <x:c r="J321" s="12" t="n">
        <x:v>0.3840277777777778</x:v>
      </x:c>
      <x:c r="K321" s="10" t="str">
        <x:v>7B</x:v>
      </x:c>
      <x:c r="L321" s="2" t="str">
        <x:v>direct_meal</x:v>
      </x:c>
      <x:c r="M321" s="8" t="str">
        <x:f>IF(P321=1,ROUND((H321-G321)*1440,6),"")</x:f>
      </x:c>
      <x:c r="N321" s="8" t="str">
        <x:f>IF(R321=1,M321,"")</x:f>
      </x:c>
      <x:c r="O321" s="8" t="n">
        <x:f>IF(S321=1,ROUND((J321-I321)*1440,6),"")</x:f>
        <x:v>29</x:v>
      </x:c>
      <x:c r="P321" s="11" t="n">
        <x:v>0</x:v>
      </x:c>
      <x:c r="Q321" s="11" t="n">
        <x:v>0</x:v>
      </x:c>
      <x:c r="R321" s="11" t="n">
        <x:v>0</x:v>
      </x:c>
      <x:c r="S321" s="11" t="n">
        <x:v>1</x:v>
      </x:c>
      <x:c r="T321" s="11" t="n">
        <x:v>1</x:v>
      </x:c>
      <x:c r="U321" s="2" t="str">
        <x:v>documented</x:v>
      </x:c>
      <x:c r="V321" s="2" t="str">
        <x:v>7B</x:v>
      </x:c>
      <x:c r="W321" s="11" t="n">
        <x:v>0</x:v>
      </x:c>
      <x:c r="X321" s="13"/>
    </x:row>
    <x:row r="322" ht="24" customHeight="1">
      <x:c r="A322" s="2" t="str">
        <x:v>183_28</x:v>
      </x:c>
      <x:c r="B322" s="10" t="str">
        <x:v>183</x:v>
      </x:c>
      <x:c r="C322" s="11" t="n">
        <x:v>29</x:v>
      </x:c>
      <x:c r="D322" s="11" t="n">
        <x:v>28</x:v>
      </x:c>
      <x:c r="E322" s="2" t="str">
        <x:v>Walk in</x:v>
      </x:c>
      <x:c r="F322" s="11" t="n">
        <x:v>5</x:v>
      </x:c>
      <x:c r="G322" s="12"/>
      <x:c r="H322" s="12"/>
      <x:c r="I322" s="12" t="n">
        <x:v>0.3659722222222222</x:v>
      </x:c>
      <x:c r="J322" s="12" t="n">
        <x:v>0.43472222222222223</x:v>
      </x:c>
      <x:c r="K322" s="10" t="str">
        <x:v>12/13</x:v>
      </x:c>
      <x:c r="L322" s="2" t="str">
        <x:v>direct_meal</x:v>
      </x:c>
      <x:c r="M322" s="8" t="str">
        <x:f>IF(P322=1,ROUND((H322-G322)*1440,6),"")</x:f>
      </x:c>
      <x:c r="N322" s="8" t="str">
        <x:f>IF(R322=1,M322,"")</x:f>
      </x:c>
      <x:c r="O322" s="8" t="n">
        <x:f>IF(S322=1,ROUND((J322-I322)*1440,6),"")</x:f>
        <x:v>99</x:v>
      </x:c>
      <x:c r="P322" s="11" t="n">
        <x:v>0</x:v>
      </x:c>
      <x:c r="Q322" s="11" t="n">
        <x:v>0</x:v>
      </x:c>
      <x:c r="R322" s="11" t="n">
        <x:v>0</x:v>
      </x:c>
      <x:c r="S322" s="11" t="n">
        <x:v>1</x:v>
      </x:c>
      <x:c r="T322" s="11" t="n">
        <x:v>1</x:v>
      </x:c>
      <x:c r="U322" s="2" t="str">
        <x:v>slash_needs_confirmation</x:v>
      </x:c>
      <x:c r="V322" s="2"/>
      <x:c r="W322" s="11" t="n">
        <x:v>1</x:v>
      </x:c>
      <x:c r="X322" s="13" t="str">
        <x:v>รหัสโต๊ะต้องยืนยัน</x:v>
      </x:c>
    </x:row>
    <x:row r="323" ht="24" customHeight="1">
      <x:c r="A323" s="2" t="str">
        <x:v>183_29</x:v>
      </x:c>
      <x:c r="B323" s="10" t="str">
        <x:v>183</x:v>
      </x:c>
      <x:c r="C323" s="11" t="n">
        <x:v>30</x:v>
      </x:c>
      <x:c r="D323" s="11" t="n">
        <x:v>29</x:v>
      </x:c>
      <x:c r="E323" s="2" t="str">
        <x:v>Walk in</x:v>
      </x:c>
      <x:c r="F323" s="11" t="n">
        <x:v>1</x:v>
      </x:c>
      <x:c r="G323" s="12"/>
      <x:c r="H323" s="12"/>
      <x:c r="I323" s="12" t="n">
        <x:v>0.36736111111111114</x:v>
      </x:c>
      <x:c r="J323" s="12" t="n">
        <x:v>0.3923611111111111</x:v>
      </x:c>
      <x:c r="K323" s="10" t="str">
        <x:v>4A</x:v>
      </x:c>
      <x:c r="L323" s="2" t="str">
        <x:v>direct_meal</x:v>
      </x:c>
      <x:c r="M323" s="8" t="str">
        <x:f>IF(P323=1,ROUND((H323-G323)*1440,6),"")</x:f>
      </x:c>
      <x:c r="N323" s="8" t="str">
        <x:f>IF(R323=1,M323,"")</x:f>
      </x:c>
      <x:c r="O323" s="8" t="n">
        <x:f>IF(S323=1,ROUND((J323-I323)*1440,6),"")</x:f>
        <x:v>36</x:v>
      </x:c>
      <x:c r="P323" s="11" t="n">
        <x:v>0</x:v>
      </x:c>
      <x:c r="Q323" s="11" t="n">
        <x:v>0</x:v>
      </x:c>
      <x:c r="R323" s="11" t="n">
        <x:v>0</x:v>
      </x:c>
      <x:c r="S323" s="11" t="n">
        <x:v>1</x:v>
      </x:c>
      <x:c r="T323" s="11" t="n">
        <x:v>1</x:v>
      </x:c>
      <x:c r="U323" s="2" t="str">
        <x:v>documented</x:v>
      </x:c>
      <x:c r="V323" s="2" t="str">
        <x:v>4A</x:v>
      </x:c>
      <x:c r="W323" s="11" t="n">
        <x:v>0</x:v>
      </x:c>
      <x:c r="X323" s="13"/>
    </x:row>
    <x:row r="324" ht="24" customHeight="1">
      <x:c r="A324" s="2" t="str">
        <x:v>183_30</x:v>
      </x:c>
      <x:c r="B324" s="10" t="str">
        <x:v>183</x:v>
      </x:c>
      <x:c r="C324" s="11" t="n">
        <x:v>31</x:v>
      </x:c>
      <x:c r="D324" s="11" t="n">
        <x:v>30</x:v>
      </x:c>
      <x:c r="E324" s="2" t="str">
        <x:v>In house</x:v>
      </x:c>
      <x:c r="F324" s="11" t="n">
        <x:v>1</x:v>
      </x:c>
      <x:c r="G324" s="12"/>
      <x:c r="H324" s="12"/>
      <x:c r="I324" s="12" t="n">
        <x:v>0.36736111111111114</x:v>
      </x:c>
      <x:c r="J324" s="12" t="n">
        <x:v>0.4548611111111111</x:v>
      </x:c>
      <x:c r="K324" s="10" t="str">
        <x:v>7A</x:v>
      </x:c>
      <x:c r="L324" s="2" t="str">
        <x:v>direct_meal</x:v>
      </x:c>
      <x:c r="M324" s="8" t="str">
        <x:f>IF(P324=1,ROUND((H324-G324)*1440,6),"")</x:f>
      </x:c>
      <x:c r="N324" s="8" t="str">
        <x:f>IF(R324=1,M324,"")</x:f>
      </x:c>
      <x:c r="O324" s="8" t="n">
        <x:f>IF(S324=1,ROUND((J324-I324)*1440,6),"")</x:f>
        <x:v>126</x:v>
      </x:c>
      <x:c r="P324" s="11" t="n">
        <x:v>0</x:v>
      </x:c>
      <x:c r="Q324" s="11" t="n">
        <x:v>0</x:v>
      </x:c>
      <x:c r="R324" s="11" t="n">
        <x:v>0</x:v>
      </x:c>
      <x:c r="S324" s="11" t="n">
        <x:v>1</x:v>
      </x:c>
      <x:c r="T324" s="11" t="n">
        <x:v>1</x:v>
      </x:c>
      <x:c r="U324" s="2" t="str">
        <x:v>documented</x:v>
      </x:c>
      <x:c r="V324" s="2" t="str">
        <x:v>7A</x:v>
      </x:c>
      <x:c r="W324" s="11" t="n">
        <x:v>0</x:v>
      </x:c>
      <x:c r="X324" s="13"/>
    </x:row>
    <x:row r="325" ht="24" customHeight="1">
      <x:c r="A325" s="2" t="str">
        <x:v>183_31</x:v>
      </x:c>
      <x:c r="B325" s="10" t="str">
        <x:v>183</x:v>
      </x:c>
      <x:c r="C325" s="11" t="n">
        <x:v>32</x:v>
      </x:c>
      <x:c r="D325" s="11" t="n">
        <x:v>31</x:v>
      </x:c>
      <x:c r="E325" s="2" t="str">
        <x:v>In house</x:v>
      </x:c>
      <x:c r="F325" s="11" t="n">
        <x:v>1</x:v>
      </x:c>
      <x:c r="G325" s="12"/>
      <x:c r="H325" s="12"/>
      <x:c r="I325" s="12" t="n">
        <x:v>0.36319444444444443</x:v>
      </x:c>
      <x:c r="J325" s="12" t="n">
        <x:v>0.3993055555555556</x:v>
      </x:c>
      <x:c r="K325" s="10" t="str">
        <x:v>14</x:v>
      </x:c>
      <x:c r="L325" s="2" t="str">
        <x:v>direct_meal</x:v>
      </x:c>
      <x:c r="M325" s="8" t="str">
        <x:f>IF(P325=1,ROUND((H325-G325)*1440,6),"")</x:f>
      </x:c>
      <x:c r="N325" s="8" t="str">
        <x:f>IF(R325=1,M325,"")</x:f>
      </x:c>
      <x:c r="O325" s="8" t="n">
        <x:f>IF(S325=1,ROUND((J325-I325)*1440,6),"")</x:f>
        <x:v>52</x:v>
      </x:c>
      <x:c r="P325" s="11" t="n">
        <x:v>0</x:v>
      </x:c>
      <x:c r="Q325" s="11" t="n">
        <x:v>0</x:v>
      </x:c>
      <x:c r="R325" s="11" t="n">
        <x:v>0</x:v>
      </x:c>
      <x:c r="S325" s="11" t="n">
        <x:v>1</x:v>
      </x:c>
      <x:c r="T325" s="11" t="n">
        <x:v>1</x:v>
      </x:c>
      <x:c r="U325" s="2" t="str">
        <x:v>documented</x:v>
      </x:c>
      <x:c r="V325" s="2" t="str">
        <x:v>14</x:v>
      </x:c>
      <x:c r="W325" s="11" t="n">
        <x:v>0</x:v>
      </x:c>
      <x:c r="X325" s="13"/>
    </x:row>
    <x:row r="326" ht="24" customHeight="1">
      <x:c r="A326" s="2" t="str">
        <x:v>183_32</x:v>
      </x:c>
      <x:c r="B326" s="10" t="str">
        <x:v>183</x:v>
      </x:c>
      <x:c r="C326" s="11" t="n">
        <x:v>33</x:v>
      </x:c>
      <x:c r="D326" s="11" t="n">
        <x:v>32</x:v>
      </x:c>
      <x:c r="E326" s="2" t="str">
        <x:v>In house</x:v>
      </x:c>
      <x:c r="F326" s="11" t="n">
        <x:v>2</x:v>
      </x:c>
      <x:c r="G326" s="12"/>
      <x:c r="H326" s="12"/>
      <x:c r="I326" s="12" t="n">
        <x:v>0.375</x:v>
      </x:c>
      <x:c r="J326" s="12" t="n">
        <x:v>0.4166666666666667</x:v>
      </x:c>
      <x:c r="K326" s="10" t="str">
        <x:v>5B</x:v>
      </x:c>
      <x:c r="L326" s="2" t="str">
        <x:v>direct_meal</x:v>
      </x:c>
      <x:c r="M326" s="8" t="str">
        <x:f>IF(P326=1,ROUND((H326-G326)*1440,6),"")</x:f>
      </x:c>
      <x:c r="N326" s="8" t="str">
        <x:f>IF(R326=1,M326,"")</x:f>
      </x:c>
      <x:c r="O326" s="8" t="n">
        <x:f>IF(S326=1,ROUND((J326-I326)*1440,6),"")</x:f>
        <x:v>60</x:v>
      </x:c>
      <x:c r="P326" s="11" t="n">
        <x:v>0</x:v>
      </x:c>
      <x:c r="Q326" s="11" t="n">
        <x:v>0</x:v>
      </x:c>
      <x:c r="R326" s="11" t="n">
        <x:v>0</x:v>
      </x:c>
      <x:c r="S326" s="11" t="n">
        <x:v>1</x:v>
      </x:c>
      <x:c r="T326" s="11" t="n">
        <x:v>1</x:v>
      </x:c>
      <x:c r="U326" s="2" t="str">
        <x:v>documented</x:v>
      </x:c>
      <x:c r="V326" s="2" t="str">
        <x:v>5B</x:v>
      </x:c>
      <x:c r="W326" s="11" t="n">
        <x:v>0</x:v>
      </x:c>
      <x:c r="X326" s="13"/>
    </x:row>
    <x:row r="327" ht="24" customHeight="1">
      <x:c r="A327" s="2" t="str">
        <x:v>183_33</x:v>
      </x:c>
      <x:c r="B327" s="10" t="str">
        <x:v>183</x:v>
      </x:c>
      <x:c r="C327" s="11" t="n">
        <x:v>34</x:v>
      </x:c>
      <x:c r="D327" s="11" t="n">
        <x:v>33</x:v>
      </x:c>
      <x:c r="E327" s="2" t="str">
        <x:v>Walk in</x:v>
      </x:c>
      <x:c r="F327" s="11" t="n">
        <x:v>1</x:v>
      </x:c>
      <x:c r="G327" s="12"/>
      <x:c r="H327" s="12"/>
      <x:c r="I327" s="12" t="n">
        <x:v>0.38055555555555554</x:v>
      </x:c>
      <x:c r="J327" s="12" t="n">
        <x:v>0.41875</x:v>
      </x:c>
      <x:c r="K327" s="10" t="str">
        <x:v>8B</x:v>
      </x:c>
      <x:c r="L327" s="2" t="str">
        <x:v>direct_meal</x:v>
      </x:c>
      <x:c r="M327" s="8" t="str">
        <x:f>IF(P327=1,ROUND((H327-G327)*1440,6),"")</x:f>
      </x:c>
      <x:c r="N327" s="8" t="str">
        <x:f>IF(R327=1,M327,"")</x:f>
      </x:c>
      <x:c r="O327" s="8" t="n">
        <x:f>IF(S327=1,ROUND((J327-I327)*1440,6),"")</x:f>
        <x:v>55</x:v>
      </x:c>
      <x:c r="P327" s="11" t="n">
        <x:v>0</x:v>
      </x:c>
      <x:c r="Q327" s="11" t="n">
        <x:v>0</x:v>
      </x:c>
      <x:c r="R327" s="11" t="n">
        <x:v>0</x:v>
      </x:c>
      <x:c r="S327" s="11" t="n">
        <x:v>1</x:v>
      </x:c>
      <x:c r="T327" s="11" t="n">
        <x:v>1</x:v>
      </x:c>
      <x:c r="U327" s="2" t="str">
        <x:v>documented</x:v>
      </x:c>
      <x:c r="V327" s="2" t="str">
        <x:v>8B</x:v>
      </x:c>
      <x:c r="W327" s="11" t="n">
        <x:v>0</x:v>
      </x:c>
      <x:c r="X327" s="13"/>
    </x:row>
    <x:row r="328" ht="24" customHeight="1">
      <x:c r="A328" s="2" t="str">
        <x:v>183_34</x:v>
      </x:c>
      <x:c r="B328" s="10" t="str">
        <x:v>183</x:v>
      </x:c>
      <x:c r="C328" s="11" t="n">
        <x:v>35</x:v>
      </x:c>
      <x:c r="D328" s="11" t="n">
        <x:v>34</x:v>
      </x:c>
      <x:c r="E328" s="2" t="str">
        <x:v>In house</x:v>
      </x:c>
      <x:c r="F328" s="11" t="n">
        <x:v>2</x:v>
      </x:c>
      <x:c r="G328" s="12"/>
      <x:c r="H328" s="12"/>
      <x:c r="I328" s="12" t="n">
        <x:v>0.38263888888888886</x:v>
      </x:c>
      <x:c r="J328" s="12" t="n">
        <x:v>0.42430555555555555</x:v>
      </x:c>
      <x:c r="K328" s="10" t="str">
        <x:v>1A</x:v>
      </x:c>
      <x:c r="L328" s="2" t="str">
        <x:v>direct_meal</x:v>
      </x:c>
      <x:c r="M328" s="8" t="str">
        <x:f>IF(P328=1,ROUND((H328-G328)*1440,6),"")</x:f>
      </x:c>
      <x:c r="N328" s="8" t="str">
        <x:f>IF(R328=1,M328,"")</x:f>
      </x:c>
      <x:c r="O328" s="8" t="n">
        <x:f>IF(S328=1,ROUND((J328-I328)*1440,6),"")</x:f>
        <x:v>60</x:v>
      </x:c>
      <x:c r="P328" s="11" t="n">
        <x:v>0</x:v>
      </x:c>
      <x:c r="Q328" s="11" t="n">
        <x:v>0</x:v>
      </x:c>
      <x:c r="R328" s="11" t="n">
        <x:v>0</x:v>
      </x:c>
      <x:c r="S328" s="11" t="n">
        <x:v>1</x:v>
      </x:c>
      <x:c r="T328" s="11" t="n">
        <x:v>1</x:v>
      </x:c>
      <x:c r="U328" s="2" t="str">
        <x:v>documented</x:v>
      </x:c>
      <x:c r="V328" s="2" t="str">
        <x:v>1A</x:v>
      </x:c>
      <x:c r="W328" s="11" t="n">
        <x:v>0</x:v>
      </x:c>
      <x:c r="X328" s="13"/>
    </x:row>
    <x:row r="329" ht="24" customHeight="1">
      <x:c r="A329" s="2" t="str">
        <x:v>183_35</x:v>
      </x:c>
      <x:c r="B329" s="10" t="str">
        <x:v>183</x:v>
      </x:c>
      <x:c r="C329" s="11" t="n">
        <x:v>36</x:v>
      </x:c>
      <x:c r="D329" s="11" t="n">
        <x:v>35</x:v>
      </x:c>
      <x:c r="E329" s="2" t="str">
        <x:v>Walk in</x:v>
      </x:c>
      <x:c r="F329" s="11" t="n">
        <x:v>4</x:v>
      </x:c>
      <x:c r="G329" s="12"/>
      <x:c r="H329" s="12"/>
      <x:c r="I329" s="12" t="n">
        <x:v>0.38333333333333336</x:v>
      </x:c>
      <x:c r="J329" s="12" t="n">
        <x:v>0.4222222222222222</x:v>
      </x:c>
      <x:c r="K329" s="10" t="str">
        <x:v>9</x:v>
      </x:c>
      <x:c r="L329" s="2" t="str">
        <x:v>direct_meal</x:v>
      </x:c>
      <x:c r="M329" s="8" t="str">
        <x:f>IF(P329=1,ROUND((H329-G329)*1440,6),"")</x:f>
      </x:c>
      <x:c r="N329" s="8" t="str">
        <x:f>IF(R329=1,M329,"")</x:f>
      </x:c>
      <x:c r="O329" s="8" t="n">
        <x:f>IF(S329=1,ROUND((J329-I329)*1440,6),"")</x:f>
        <x:v>56</x:v>
      </x:c>
      <x:c r="P329" s="11" t="n">
        <x:v>0</x:v>
      </x:c>
      <x:c r="Q329" s="11" t="n">
        <x:v>0</x:v>
      </x:c>
      <x:c r="R329" s="11" t="n">
        <x:v>0</x:v>
      </x:c>
      <x:c r="S329" s="11" t="n">
        <x:v>1</x:v>
      </x:c>
      <x:c r="T329" s="11" t="n">
        <x:v>1</x:v>
      </x:c>
      <x:c r="U329" s="2" t="str">
        <x:v>needs_mapping</x:v>
      </x:c>
      <x:c r="V329" s="2"/>
      <x:c r="W329" s="11" t="n">
        <x:v>1</x:v>
      </x:c>
      <x:c r="X329" s="13" t="str">
        <x:v>รหัสโต๊ะต้องยืนยัน</x:v>
      </x:c>
    </x:row>
    <x:row r="330" ht="24" customHeight="1">
      <x:c r="A330" s="2" t="str">
        <x:v>183_36</x:v>
      </x:c>
      <x:c r="B330" s="10" t="str">
        <x:v>183</x:v>
      </x:c>
      <x:c r="C330" s="11" t="n">
        <x:v>37</x:v>
      </x:c>
      <x:c r="D330" s="11" t="n">
        <x:v>36</x:v>
      </x:c>
      <x:c r="E330" s="2" t="str">
        <x:v>Walk in</x:v>
      </x:c>
      <x:c r="F330" s="11" t="n">
        <x:v>2</x:v>
      </x:c>
      <x:c r="G330" s="12"/>
      <x:c r="H330" s="12"/>
      <x:c r="I330" s="12" t="n">
        <x:v>0.3840277777777778</x:v>
      </x:c>
      <x:c r="J330" s="12" t="n">
        <x:v>0.4201388888888889</x:v>
      </x:c>
      <x:c r="K330" s="10" t="str">
        <x:v>3</x:v>
      </x:c>
      <x:c r="L330" s="2" t="str">
        <x:v>direct_meal</x:v>
      </x:c>
      <x:c r="M330" s="8" t="str">
        <x:f>IF(P330=1,ROUND((H330-G330)*1440,6),"")</x:f>
      </x:c>
      <x:c r="N330" s="8" t="str">
        <x:f>IF(R330=1,M330,"")</x:f>
      </x:c>
      <x:c r="O330" s="8" t="n">
        <x:f>IF(S330=1,ROUND((J330-I330)*1440,6),"")</x:f>
        <x:v>52</x:v>
      </x:c>
      <x:c r="P330" s="11" t="n">
        <x:v>0</x:v>
      </x:c>
      <x:c r="Q330" s="11" t="n">
        <x:v>0</x:v>
      </x:c>
      <x:c r="R330" s="11" t="n">
        <x:v>0</x:v>
      </x:c>
      <x:c r="S330" s="11" t="n">
        <x:v>1</x:v>
      </x:c>
      <x:c r="T330" s="11" t="n">
        <x:v>1</x:v>
      </x:c>
      <x:c r="U330" s="2" t="str">
        <x:v>needs_mapping</x:v>
      </x:c>
      <x:c r="V330" s="2"/>
      <x:c r="W330" s="11" t="n">
        <x:v>1</x:v>
      </x:c>
      <x:c r="X330" s="13" t="str">
        <x:v>รหัสโต๊ะต้องยืนยัน</x:v>
      </x:c>
    </x:row>
    <x:row r="331" ht="24" customHeight="1">
      <x:c r="A331" s="2" t="str">
        <x:v>183_37</x:v>
      </x:c>
      <x:c r="B331" s="10" t="str">
        <x:v>183</x:v>
      </x:c>
      <x:c r="C331" s="11" t="n">
        <x:v>38</x:v>
      </x:c>
      <x:c r="D331" s="11" t="n">
        <x:v>37</x:v>
      </x:c>
      <x:c r="E331" s="2" t="str">
        <x:v>Walk in</x:v>
      </x:c>
      <x:c r="F331" s="11" t="n">
        <x:v>2</x:v>
      </x:c>
      <x:c r="G331" s="12"/>
      <x:c r="H331" s="12"/>
      <x:c r="I331" s="12" t="n">
        <x:v>0.3888888888888889</x:v>
      </x:c>
      <x:c r="J331" s="12" t="n">
        <x:v>0.4125</x:v>
      </x:c>
      <x:c r="K331" s="10" t="str">
        <x:v>4B/5A</x:v>
      </x:c>
      <x:c r="L331" s="2" t="str">
        <x:v>direct_meal</x:v>
      </x:c>
      <x:c r="M331" s="8" t="str">
        <x:f>IF(P331=1,ROUND((H331-G331)*1440,6),"")</x:f>
      </x:c>
      <x:c r="N331" s="8" t="str">
        <x:f>IF(R331=1,M331,"")</x:f>
      </x:c>
      <x:c r="O331" s="8" t="n">
        <x:f>IF(S331=1,ROUND((J331-I331)*1440,6),"")</x:f>
        <x:v>34</x:v>
      </x:c>
      <x:c r="P331" s="11" t="n">
        <x:v>0</x:v>
      </x:c>
      <x:c r="Q331" s="11" t="n">
        <x:v>0</x:v>
      </x:c>
      <x:c r="R331" s="11" t="n">
        <x:v>0</x:v>
      </x:c>
      <x:c r="S331" s="11" t="n">
        <x:v>1</x:v>
      </x:c>
      <x:c r="T331" s="11" t="n">
        <x:v>1</x:v>
      </x:c>
      <x:c r="U331" s="2" t="str">
        <x:v>slash_needs_confirmation</x:v>
      </x:c>
      <x:c r="V331" s="2"/>
      <x:c r="W331" s="11" t="n">
        <x:v>1</x:v>
      </x:c>
      <x:c r="X331" s="13" t="str">
        <x:v>รหัสโต๊ะต้องยืนยัน</x:v>
      </x:c>
    </x:row>
    <x:row r="332" ht="24" customHeight="1">
      <x:c r="A332" s="2" t="str">
        <x:v>183_38</x:v>
      </x:c>
      <x:c r="B332" s="10" t="str">
        <x:v>183</x:v>
      </x:c>
      <x:c r="C332" s="11" t="n">
        <x:v>39</x:v>
      </x:c>
      <x:c r="D332" s="11" t="n">
        <x:v>38</x:v>
      </x:c>
      <x:c r="E332" s="2" t="str">
        <x:v>Walk in</x:v>
      </x:c>
      <x:c r="F332" s="11" t="n">
        <x:v>2</x:v>
      </x:c>
      <x:c r="G332" s="12"/>
      <x:c r="H332" s="12"/>
      <x:c r="I332" s="12" t="n">
        <x:v>0.3902777777777778</x:v>
      </x:c>
      <x:c r="J332" s="12" t="n">
        <x:v>0.4270833333333333</x:v>
      </x:c>
      <x:c r="K332" s="10" t="str">
        <x:v>15</x:v>
      </x:c>
      <x:c r="L332" s="2" t="str">
        <x:v>direct_meal</x:v>
      </x:c>
      <x:c r="M332" s="8" t="str">
        <x:f>IF(P332=1,ROUND((H332-G332)*1440,6),"")</x:f>
      </x:c>
      <x:c r="N332" s="8" t="str">
        <x:f>IF(R332=1,M332,"")</x:f>
      </x:c>
      <x:c r="O332" s="8" t="n">
        <x:f>IF(S332=1,ROUND((J332-I332)*1440,6),"")</x:f>
        <x:v>53</x:v>
      </x:c>
      <x:c r="P332" s="11" t="n">
        <x:v>0</x:v>
      </x:c>
      <x:c r="Q332" s="11" t="n">
        <x:v>0</x:v>
      </x:c>
      <x:c r="R332" s="11" t="n">
        <x:v>0</x:v>
      </x:c>
      <x:c r="S332" s="11" t="n">
        <x:v>1</x:v>
      </x:c>
      <x:c r="T332" s="11" t="n">
        <x:v>1</x:v>
      </x:c>
      <x:c r="U332" s="2" t="str">
        <x:v>documented</x:v>
      </x:c>
      <x:c r="V332" s="2" t="str">
        <x:v>15</x:v>
      </x:c>
      <x:c r="W332" s="11" t="n">
        <x:v>0</x:v>
      </x:c>
      <x:c r="X332" s="13"/>
    </x:row>
    <x:row r="333" ht="24" customHeight="1">
      <x:c r="A333" s="2" t="str">
        <x:v>183_39</x:v>
      </x:c>
      <x:c r="B333" s="10" t="str">
        <x:v>183</x:v>
      </x:c>
      <x:c r="C333" s="11" t="n">
        <x:v>40</x:v>
      </x:c>
      <x:c r="D333" s="11" t="n">
        <x:v>39</x:v>
      </x:c>
      <x:c r="E333" s="2" t="str">
        <x:v>Walk in</x:v>
      </x:c>
      <x:c r="F333" s="11" t="n">
        <x:v>1</x:v>
      </x:c>
      <x:c r="G333" s="12"/>
      <x:c r="H333" s="12"/>
      <x:c r="I333" s="12" t="n">
        <x:v>0.40069444444444446</x:v>
      </x:c>
      <x:c r="J333" s="12" t="n">
        <x:v>0.4486111111111111</x:v>
      </x:c>
      <x:c r="K333" s="10" t="str">
        <x:v>4A</x:v>
      </x:c>
      <x:c r="L333" s="2" t="str">
        <x:v>direct_meal</x:v>
      </x:c>
      <x:c r="M333" s="8" t="str">
        <x:f>IF(P333=1,ROUND((H333-G333)*1440,6),"")</x:f>
      </x:c>
      <x:c r="N333" s="8" t="str">
        <x:f>IF(R333=1,M333,"")</x:f>
      </x:c>
      <x:c r="O333" s="8" t="n">
        <x:f>IF(S333=1,ROUND((J333-I333)*1440,6),"")</x:f>
        <x:v>69</x:v>
      </x:c>
      <x:c r="P333" s="11" t="n">
        <x:v>0</x:v>
      </x:c>
      <x:c r="Q333" s="11" t="n">
        <x:v>0</x:v>
      </x:c>
      <x:c r="R333" s="11" t="n">
        <x:v>0</x:v>
      </x:c>
      <x:c r="S333" s="11" t="n">
        <x:v>1</x:v>
      </x:c>
      <x:c r="T333" s="11" t="n">
        <x:v>1</x:v>
      </x:c>
      <x:c r="U333" s="2" t="str">
        <x:v>documented</x:v>
      </x:c>
      <x:c r="V333" s="2" t="str">
        <x:v>4A</x:v>
      </x:c>
      <x:c r="W333" s="11" t="n">
        <x:v>0</x:v>
      </x:c>
      <x:c r="X333" s="13"/>
    </x:row>
    <x:row r="334" ht="24" customHeight="1">
      <x:c r="A334" s="2" t="str">
        <x:v>183_40</x:v>
      </x:c>
      <x:c r="B334" s="10" t="str">
        <x:v>183</x:v>
      </x:c>
      <x:c r="C334" s="11" t="n">
        <x:v>41</x:v>
      </x:c>
      <x:c r="D334" s="11" t="n">
        <x:v>40</x:v>
      </x:c>
      <x:c r="E334" s="2" t="str">
        <x:v>Walk in</x:v>
      </x:c>
      <x:c r="F334" s="11" t="n">
        <x:v>1</x:v>
      </x:c>
      <x:c r="G334" s="12"/>
      <x:c r="H334" s="12"/>
      <x:c r="I334" s="12" t="n">
        <x:v>0.4076388888888889</x:v>
      </x:c>
      <x:c r="J334" s="12" t="n">
        <x:v>0.5069444444444444</x:v>
      </x:c>
      <x:c r="K334" s="10" t="str">
        <x:v>6B</x:v>
      </x:c>
      <x:c r="L334" s="2" t="str">
        <x:v>direct_meal</x:v>
      </x:c>
      <x:c r="M334" s="8" t="str">
        <x:f>IF(P334=1,ROUND((H334-G334)*1440,6),"")</x:f>
      </x:c>
      <x:c r="N334" s="8" t="str">
        <x:f>IF(R334=1,M334,"")</x:f>
      </x:c>
      <x:c r="O334" s="8" t="n">
        <x:f>IF(S334=1,ROUND((J334-I334)*1440,6),"")</x:f>
        <x:v>143</x:v>
      </x:c>
      <x:c r="P334" s="11" t="n">
        <x:v>0</x:v>
      </x:c>
      <x:c r="Q334" s="11" t="n">
        <x:v>0</x:v>
      </x:c>
      <x:c r="R334" s="11" t="n">
        <x:v>0</x:v>
      </x:c>
      <x:c r="S334" s="11" t="n">
        <x:v>1</x:v>
      </x:c>
      <x:c r="T334" s="11" t="n">
        <x:v>1</x:v>
      </x:c>
      <x:c r="U334" s="2" t="str">
        <x:v>documented</x:v>
      </x:c>
      <x:c r="V334" s="2" t="str">
        <x:v>6B</x:v>
      </x:c>
      <x:c r="W334" s="11" t="n">
        <x:v>0</x:v>
      </x:c>
      <x:c r="X334" s="13"/>
    </x:row>
    <x:row r="335" ht="24" customHeight="1">
      <x:c r="A335" s="2" t="str">
        <x:v>183_41</x:v>
      </x:c>
      <x:c r="B335" s="10" t="str">
        <x:v>183</x:v>
      </x:c>
      <x:c r="C335" s="11" t="n">
        <x:v>42</x:v>
      </x:c>
      <x:c r="D335" s="11" t="n">
        <x:v>41</x:v>
      </x:c>
      <x:c r="E335" s="2" t="str">
        <x:v>Walk in</x:v>
      </x:c>
      <x:c r="F335" s="11" t="n">
        <x:v>1</x:v>
      </x:c>
      <x:c r="G335" s="12"/>
      <x:c r="H335" s="12"/>
      <x:c r="I335" s="12" t="n">
        <x:v>0.4083333333333333</x:v>
      </x:c>
      <x:c r="J335" s="12" t="n">
        <x:v>0.4479166666666667</x:v>
      </x:c>
      <x:c r="K335" s="10" t="str">
        <x:v>6A</x:v>
      </x:c>
      <x:c r="L335" s="2" t="str">
        <x:v>direct_meal</x:v>
      </x:c>
      <x:c r="M335" s="8" t="str">
        <x:f>IF(P335=1,ROUND((H335-G335)*1440,6),"")</x:f>
      </x:c>
      <x:c r="N335" s="8" t="str">
        <x:f>IF(R335=1,M335,"")</x:f>
      </x:c>
      <x:c r="O335" s="8" t="n">
        <x:f>IF(S335=1,ROUND((J335-I335)*1440,6),"")</x:f>
        <x:v>57</x:v>
      </x:c>
      <x:c r="P335" s="11" t="n">
        <x:v>0</x:v>
      </x:c>
      <x:c r="Q335" s="11" t="n">
        <x:v>0</x:v>
      </x:c>
      <x:c r="R335" s="11" t="n">
        <x:v>0</x:v>
      </x:c>
      <x:c r="S335" s="11" t="n">
        <x:v>1</x:v>
      </x:c>
      <x:c r="T335" s="11" t="n">
        <x:v>1</x:v>
      </x:c>
      <x:c r="U335" s="2" t="str">
        <x:v>documented</x:v>
      </x:c>
      <x:c r="V335" s="2" t="str">
        <x:v>6A</x:v>
      </x:c>
      <x:c r="W335" s="11" t="n">
        <x:v>0</x:v>
      </x:c>
      <x:c r="X335" s="13"/>
    </x:row>
    <x:row r="336" ht="24" customHeight="1">
      <x:c r="A336" s="2" t="str">
        <x:v>183_42</x:v>
      </x:c>
      <x:c r="B336" s="10" t="str">
        <x:v>183</x:v>
      </x:c>
      <x:c r="C336" s="11" t="n">
        <x:v>43</x:v>
      </x:c>
      <x:c r="D336" s="11" t="n">
        <x:v>42</x:v>
      </x:c>
      <x:c r="E336" s="2" t="str">
        <x:v>Walk in</x:v>
      </x:c>
      <x:c r="F336" s="11" t="n">
        <x:v>4</x:v>
      </x:c>
      <x:c r="G336" s="12"/>
      <x:c r="H336" s="12"/>
      <x:c r="I336" s="12" t="n">
        <x:v>0.40902777777777777</x:v>
      </x:c>
      <x:c r="J336" s="12" t="n">
        <x:v>0.48680555555555555</x:v>
      </x:c>
      <x:c r="K336" s="10" t="str">
        <x:v>2</x:v>
      </x:c>
      <x:c r="L336" s="2" t="str">
        <x:v>direct_meal</x:v>
      </x:c>
      <x:c r="M336" s="8" t="str">
        <x:f>IF(P336=1,ROUND((H336-G336)*1440,6),"")</x:f>
      </x:c>
      <x:c r="N336" s="8" t="str">
        <x:f>IF(R336=1,M336,"")</x:f>
      </x:c>
      <x:c r="O336" s="8" t="n">
        <x:f>IF(S336=1,ROUND((J336-I336)*1440,6),"")</x:f>
        <x:v>112</x:v>
      </x:c>
      <x:c r="P336" s="11" t="n">
        <x:v>0</x:v>
      </x:c>
      <x:c r="Q336" s="11" t="n">
        <x:v>0</x:v>
      </x:c>
      <x:c r="R336" s="11" t="n">
        <x:v>0</x:v>
      </x:c>
      <x:c r="S336" s="11" t="n">
        <x:v>1</x:v>
      </x:c>
      <x:c r="T336" s="11" t="n">
        <x:v>1</x:v>
      </x:c>
      <x:c r="U336" s="2" t="str">
        <x:v>needs_mapping</x:v>
      </x:c>
      <x:c r="V336" s="2"/>
      <x:c r="W336" s="11" t="n">
        <x:v>1</x:v>
      </x:c>
      <x:c r="X336" s="13" t="str">
        <x:v>รหัสโต๊ะต้องยืนยัน</x:v>
      </x:c>
    </x:row>
    <x:row r="337" ht="24" customHeight="1">
      <x:c r="A337" s="2" t="str">
        <x:v>183_43</x:v>
      </x:c>
      <x:c r="B337" s="10" t="str">
        <x:v>183</x:v>
      </x:c>
      <x:c r="C337" s="11" t="n">
        <x:v>44</x:v>
      </x:c>
      <x:c r="D337" s="11" t="n">
        <x:v>43</x:v>
      </x:c>
      <x:c r="E337" s="2" t="str">
        <x:v>Walk in</x:v>
      </x:c>
      <x:c r="F337" s="11" t="n">
        <x:v>2</x:v>
      </x:c>
      <x:c r="G337" s="12"/>
      <x:c r="H337" s="12"/>
      <x:c r="I337" s="12" t="n">
        <x:v>0.41388888888888886</x:v>
      </x:c>
      <x:c r="J337" s="12" t="n">
        <x:v>0.4479166666666667</x:v>
      </x:c>
      <x:c r="K337" s="10" t="str">
        <x:v>16</x:v>
      </x:c>
      <x:c r="L337" s="2" t="str">
        <x:v>direct_meal</x:v>
      </x:c>
      <x:c r="M337" s="8" t="str">
        <x:f>IF(P337=1,ROUND((H337-G337)*1440,6),"")</x:f>
      </x:c>
      <x:c r="N337" s="8" t="str">
        <x:f>IF(R337=1,M337,"")</x:f>
      </x:c>
      <x:c r="O337" s="8" t="n">
        <x:f>IF(S337=1,ROUND((J337-I337)*1440,6),"")</x:f>
        <x:v>49</x:v>
      </x:c>
      <x:c r="P337" s="11" t="n">
        <x:v>0</x:v>
      </x:c>
      <x:c r="Q337" s="11" t="n">
        <x:v>0</x:v>
      </x:c>
      <x:c r="R337" s="11" t="n">
        <x:v>0</x:v>
      </x:c>
      <x:c r="S337" s="11" t="n">
        <x:v>1</x:v>
      </x:c>
      <x:c r="T337" s="11" t="n">
        <x:v>1</x:v>
      </x:c>
      <x:c r="U337" s="2" t="str">
        <x:v>needs_mapping</x:v>
      </x:c>
      <x:c r="V337" s="2"/>
      <x:c r="W337" s="11" t="n">
        <x:v>1</x:v>
      </x:c>
      <x:c r="X337" s="13" t="str">
        <x:v>รหัสโต๊ะต้องยืนยัน</x:v>
      </x:c>
    </x:row>
    <x:row r="338" ht="24" customHeight="1">
      <x:c r="A338" s="2" t="str">
        <x:v>183_44</x:v>
      </x:c>
      <x:c r="B338" s="10" t="str">
        <x:v>183</x:v>
      </x:c>
      <x:c r="C338" s="11" t="n">
        <x:v>45</x:v>
      </x:c>
      <x:c r="D338" s="11" t="n">
        <x:v>44</x:v>
      </x:c>
      <x:c r="E338" s="2" t="str">
        <x:v>In house</x:v>
      </x:c>
      <x:c r="F338" s="11" t="n">
        <x:v>2</x:v>
      </x:c>
      <x:c r="G338" s="12"/>
      <x:c r="H338" s="12"/>
      <x:c r="I338" s="12" t="n">
        <x:v>0.4152777777777778</x:v>
      </x:c>
      <x:c r="J338" s="12" t="n">
        <x:v>0.4284722222222222</x:v>
      </x:c>
      <x:c r="K338" s="10" t="str">
        <x:v>7B</x:v>
      </x:c>
      <x:c r="L338" s="2" t="str">
        <x:v>direct_meal</x:v>
      </x:c>
      <x:c r="M338" s="8" t="str">
        <x:f>IF(P338=1,ROUND((H338-G338)*1440,6),"")</x:f>
      </x:c>
      <x:c r="N338" s="8" t="str">
        <x:f>IF(R338=1,M338,"")</x:f>
      </x:c>
      <x:c r="O338" s="8" t="n">
        <x:f>IF(S338=1,ROUND((J338-I338)*1440,6),"")</x:f>
        <x:v>19</x:v>
      </x:c>
      <x:c r="P338" s="11" t="n">
        <x:v>0</x:v>
      </x:c>
      <x:c r="Q338" s="11" t="n">
        <x:v>0</x:v>
      </x:c>
      <x:c r="R338" s="11" t="n">
        <x:v>0</x:v>
      </x:c>
      <x:c r="S338" s="11" t="n">
        <x:v>1</x:v>
      </x:c>
      <x:c r="T338" s="11" t="n">
        <x:v>1</x:v>
      </x:c>
      <x:c r="U338" s="2" t="str">
        <x:v>documented</x:v>
      </x:c>
      <x:c r="V338" s="2" t="str">
        <x:v>7B</x:v>
      </x:c>
      <x:c r="W338" s="11" t="n">
        <x:v>0</x:v>
      </x:c>
      <x:c r="X338" s="13"/>
    </x:row>
    <x:row r="339" ht="24" customHeight="1">
      <x:c r="A339" s="2" t="str">
        <x:v>183_45</x:v>
      </x:c>
      <x:c r="B339" s="10" t="str">
        <x:v>183</x:v>
      </x:c>
      <x:c r="C339" s="11" t="n">
        <x:v>46</x:v>
      </x:c>
      <x:c r="D339" s="11" t="n">
        <x:v>45</x:v>
      </x:c>
      <x:c r="E339" s="2" t="str">
        <x:v>In house</x:v>
      </x:c>
      <x:c r="F339" s="11" t="n">
        <x:v>2</x:v>
      </x:c>
      <x:c r="G339" s="12"/>
      <x:c r="H339" s="12"/>
      <x:c r="I339" s="12" t="n">
        <x:v>0.41597222222222224</x:v>
      </x:c>
      <x:c r="J339" s="12" t="n">
        <x:v>0.4361111111111111</x:v>
      </x:c>
      <x:c r="K339" s="10" t="str">
        <x:v>14</x:v>
      </x:c>
      <x:c r="L339" s="2" t="str">
        <x:v>direct_meal</x:v>
      </x:c>
      <x:c r="M339" s="8" t="str">
        <x:f>IF(P339=1,ROUND((H339-G339)*1440,6),"")</x:f>
      </x:c>
      <x:c r="N339" s="8" t="str">
        <x:f>IF(R339=1,M339,"")</x:f>
      </x:c>
      <x:c r="O339" s="8" t="n">
        <x:f>IF(S339=1,ROUND((J339-I339)*1440,6),"")</x:f>
        <x:v>29</x:v>
      </x:c>
      <x:c r="P339" s="11" t="n">
        <x:v>0</x:v>
      </x:c>
      <x:c r="Q339" s="11" t="n">
        <x:v>0</x:v>
      </x:c>
      <x:c r="R339" s="11" t="n">
        <x:v>0</x:v>
      </x:c>
      <x:c r="S339" s="11" t="n">
        <x:v>1</x:v>
      </x:c>
      <x:c r="T339" s="11" t="n">
        <x:v>1</x:v>
      </x:c>
      <x:c r="U339" s="2" t="str">
        <x:v>documented</x:v>
      </x:c>
      <x:c r="V339" s="2" t="str">
        <x:v>14</x:v>
      </x:c>
      <x:c r="W339" s="11" t="n">
        <x:v>0</x:v>
      </x:c>
      <x:c r="X339" s="13"/>
    </x:row>
    <x:row r="340" ht="24" customHeight="1">
      <x:c r="A340" s="2" t="str">
        <x:v>183_46</x:v>
      </x:c>
      <x:c r="B340" s="10" t="str">
        <x:v>183</x:v>
      </x:c>
      <x:c r="C340" s="11" t="n">
        <x:v>47</x:v>
      </x:c>
      <x:c r="D340" s="11" t="n">
        <x:v>46</x:v>
      </x:c>
      <x:c r="E340" s="2" t="str">
        <x:v>In house</x:v>
      </x:c>
      <x:c r="F340" s="11" t="n">
        <x:v>2</x:v>
      </x:c>
      <x:c r="G340" s="12"/>
      <x:c r="H340" s="12"/>
      <x:c r="I340" s="12" t="n">
        <x:v>0.41875</x:v>
      </x:c>
      <x:c r="J340" s="12" t="n">
        <x:v>0.45069444444444445</x:v>
      </x:c>
      <x:c r="K340" s="10" t="str">
        <x:v>1B</x:v>
      </x:c>
      <x:c r="L340" s="2" t="str">
        <x:v>direct_meal</x:v>
      </x:c>
      <x:c r="M340" s="8" t="str">
        <x:f>IF(P340=1,ROUND((H340-G340)*1440,6),"")</x:f>
      </x:c>
      <x:c r="N340" s="8" t="str">
        <x:f>IF(R340=1,M340,"")</x:f>
      </x:c>
      <x:c r="O340" s="8" t="n">
        <x:f>IF(S340=1,ROUND((J340-I340)*1440,6),"")</x:f>
        <x:v>46</x:v>
      </x:c>
      <x:c r="P340" s="11" t="n">
        <x:v>0</x:v>
      </x:c>
      <x:c r="Q340" s="11" t="n">
        <x:v>0</x:v>
      </x:c>
      <x:c r="R340" s="11" t="n">
        <x:v>0</x:v>
      </x:c>
      <x:c r="S340" s="11" t="n">
        <x:v>1</x:v>
      </x:c>
      <x:c r="T340" s="11" t="n">
        <x:v>1</x:v>
      </x:c>
      <x:c r="U340" s="2" t="str">
        <x:v>documented</x:v>
      </x:c>
      <x:c r="V340" s="2" t="str">
        <x:v>1B</x:v>
      </x:c>
      <x:c r="W340" s="11" t="n">
        <x:v>0</x:v>
      </x:c>
      <x:c r="X340" s="13"/>
    </x:row>
    <x:row r="341" ht="24" customHeight="1">
      <x:c r="A341" s="2" t="str">
        <x:v>183_47</x:v>
      </x:c>
      <x:c r="B341" s="10" t="str">
        <x:v>183</x:v>
      </x:c>
      <x:c r="C341" s="11" t="n">
        <x:v>48</x:v>
      </x:c>
      <x:c r="D341" s="11" t="n">
        <x:v>47</x:v>
      </x:c>
      <x:c r="E341" s="2" t="str">
        <x:v>In house</x:v>
      </x:c>
      <x:c r="F341" s="11" t="n">
        <x:v>3</x:v>
      </x:c>
      <x:c r="G341" s="12"/>
      <x:c r="H341" s="12"/>
      <x:c r="I341" s="12" t="n">
        <x:v>0.4201388888888889</x:v>
      </x:c>
      <x:c r="J341" s="12" t="n">
        <x:v>0.4597222222222222</x:v>
      </x:c>
      <x:c r="K341" s="10" t="str">
        <x:v>4B/5A</x:v>
      </x:c>
      <x:c r="L341" s="2" t="str">
        <x:v>direct_meal</x:v>
      </x:c>
      <x:c r="M341" s="8" t="str">
        <x:f>IF(P341=1,ROUND((H341-G341)*1440,6),"")</x:f>
      </x:c>
      <x:c r="N341" s="8" t="str">
        <x:f>IF(R341=1,M341,"")</x:f>
      </x:c>
      <x:c r="O341" s="8" t="n">
        <x:f>IF(S341=1,ROUND((J341-I341)*1440,6),"")</x:f>
        <x:v>57</x:v>
      </x:c>
      <x:c r="P341" s="11" t="n">
        <x:v>0</x:v>
      </x:c>
      <x:c r="Q341" s="11" t="n">
        <x:v>0</x:v>
      </x:c>
      <x:c r="R341" s="11" t="n">
        <x:v>0</x:v>
      </x:c>
      <x:c r="S341" s="11" t="n">
        <x:v>1</x:v>
      </x:c>
      <x:c r="T341" s="11" t="n">
        <x:v>1</x:v>
      </x:c>
      <x:c r="U341" s="2" t="str">
        <x:v>slash_needs_confirmation</x:v>
      </x:c>
      <x:c r="V341" s="2"/>
      <x:c r="W341" s="11" t="n">
        <x:v>1</x:v>
      </x:c>
      <x:c r="X341" s="13" t="str">
        <x:v>รหัสโต๊ะต้องยืนยัน</x:v>
      </x:c>
    </x:row>
    <x:row r="342" ht="24" customHeight="1">
      <x:c r="A342" s="2" t="str">
        <x:v>183_48</x:v>
      </x:c>
      <x:c r="B342" s="10" t="str">
        <x:v>183</x:v>
      </x:c>
      <x:c r="C342" s="11" t="n">
        <x:v>49</x:v>
      </x:c>
      <x:c r="D342" s="11" t="n">
        <x:v>48</x:v>
      </x:c>
      <x:c r="E342" s="2" t="str">
        <x:v>In house</x:v>
      </x:c>
      <x:c r="F342" s="11" t="n">
        <x:v>2</x:v>
      </x:c>
      <x:c r="G342" s="12"/>
      <x:c r="H342" s="12"/>
      <x:c r="I342" s="12" t="n">
        <x:v>0.4236111111111111</x:v>
      </x:c>
      <x:c r="J342" s="12" t="n">
        <x:v>0.4527777777777778</x:v>
      </x:c>
      <x:c r="K342" s="10" t="str">
        <x:v>11A</x:v>
      </x:c>
      <x:c r="L342" s="2" t="str">
        <x:v>direct_meal</x:v>
      </x:c>
      <x:c r="M342" s="8" t="str">
        <x:f>IF(P342=1,ROUND((H342-G342)*1440,6),"")</x:f>
      </x:c>
      <x:c r="N342" s="8" t="str">
        <x:f>IF(R342=1,M342,"")</x:f>
      </x:c>
      <x:c r="O342" s="8" t="n">
        <x:f>IF(S342=1,ROUND((J342-I342)*1440,6),"")</x:f>
        <x:v>42</x:v>
      </x:c>
      <x:c r="P342" s="11" t="n">
        <x:v>0</x:v>
      </x:c>
      <x:c r="Q342" s="11" t="n">
        <x:v>0</x:v>
      </x:c>
      <x:c r="R342" s="11" t="n">
        <x:v>0</x:v>
      </x:c>
      <x:c r="S342" s="11" t="n">
        <x:v>1</x:v>
      </x:c>
      <x:c r="T342" s="11" t="n">
        <x:v>1</x:v>
      </x:c>
      <x:c r="U342" s="2" t="str">
        <x:v>documented</x:v>
      </x:c>
      <x:c r="V342" s="2" t="str">
        <x:v>11A</x:v>
      </x:c>
      <x:c r="W342" s="11" t="n">
        <x:v>0</x:v>
      </x:c>
      <x:c r="X342" s="13"/>
    </x:row>
    <x:row r="343" ht="24" customHeight="1">
      <x:c r="A343" s="2" t="str">
        <x:v>183_49</x:v>
      </x:c>
      <x:c r="B343" s="10" t="str">
        <x:v>183</x:v>
      </x:c>
      <x:c r="C343" s="11" t="n">
        <x:v>50</x:v>
      </x:c>
      <x:c r="D343" s="11" t="n">
        <x:v>49</x:v>
      </x:c>
      <x:c r="E343" s="2" t="str">
        <x:v>Walk in</x:v>
      </x:c>
      <x:c r="F343" s="11" t="n">
        <x:v>2</x:v>
      </x:c>
      <x:c r="G343" s="12"/>
      <x:c r="H343" s="12"/>
      <x:c r="I343" s="12" t="n">
        <x:v>0.42777777777777776</x:v>
      </x:c>
      <x:c r="J343" s="12" t="n">
        <x:v>0.4597222222222222</x:v>
      </x:c>
      <x:c r="K343" s="10" t="str">
        <x:v>8A</x:v>
      </x:c>
      <x:c r="L343" s="2" t="str">
        <x:v>direct_meal</x:v>
      </x:c>
      <x:c r="M343" s="8" t="str">
        <x:f>IF(P343=1,ROUND((H343-G343)*1440,6),"")</x:f>
      </x:c>
      <x:c r="N343" s="8" t="str">
        <x:f>IF(R343=1,M343,"")</x:f>
      </x:c>
      <x:c r="O343" s="8" t="n">
        <x:f>IF(S343=1,ROUND((J343-I343)*1440,6),"")</x:f>
        <x:v>46</x:v>
      </x:c>
      <x:c r="P343" s="11" t="n">
        <x:v>0</x:v>
      </x:c>
      <x:c r="Q343" s="11" t="n">
        <x:v>0</x:v>
      </x:c>
      <x:c r="R343" s="11" t="n">
        <x:v>0</x:v>
      </x:c>
      <x:c r="S343" s="11" t="n">
        <x:v>1</x:v>
      </x:c>
      <x:c r="T343" s="11" t="n">
        <x:v>1</x:v>
      </x:c>
      <x:c r="U343" s="2" t="str">
        <x:v>documented</x:v>
      </x:c>
      <x:c r="V343" s="2" t="str">
        <x:v>8A</x:v>
      </x:c>
      <x:c r="W343" s="11" t="n">
        <x:v>0</x:v>
      </x:c>
      <x:c r="X343" s="13"/>
    </x:row>
    <x:row r="344" ht="24" customHeight="1">
      <x:c r="A344" s="2" t="str">
        <x:v>183_50</x:v>
      </x:c>
      <x:c r="B344" s="10" t="str">
        <x:v>183</x:v>
      </x:c>
      <x:c r="C344" s="11" t="n">
        <x:v>51</x:v>
      </x:c>
      <x:c r="D344" s="11" t="n">
        <x:v>50</x:v>
      </x:c>
      <x:c r="E344" s="2" t="str">
        <x:v>Walk in</x:v>
      </x:c>
      <x:c r="F344" s="11" t="n">
        <x:v>1</x:v>
      </x:c>
      <x:c r="G344" s="12"/>
      <x:c r="H344" s="12"/>
      <x:c r="I344" s="12" t="n">
        <x:v>0.42986111111111114</x:v>
      </x:c>
      <x:c r="J344" s="12" t="n">
        <x:v>0.4791666666666667</x:v>
      </x:c>
      <x:c r="K344" s="10" t="str">
        <x:v>1A</x:v>
      </x:c>
      <x:c r="L344" s="2" t="str">
        <x:v>direct_meal</x:v>
      </x:c>
      <x:c r="M344" s="8" t="str">
        <x:f>IF(P344=1,ROUND((H344-G344)*1440,6),"")</x:f>
      </x:c>
      <x:c r="N344" s="8" t="str">
        <x:f>IF(R344=1,M344,"")</x:f>
      </x:c>
      <x:c r="O344" s="8" t="n">
        <x:f>IF(S344=1,ROUND((J344-I344)*1440,6),"")</x:f>
        <x:v>71</x:v>
      </x:c>
      <x:c r="P344" s="11" t="n">
        <x:v>0</x:v>
      </x:c>
      <x:c r="Q344" s="11" t="n">
        <x:v>0</x:v>
      </x:c>
      <x:c r="R344" s="11" t="n">
        <x:v>0</x:v>
      </x:c>
      <x:c r="S344" s="11" t="n">
        <x:v>1</x:v>
      </x:c>
      <x:c r="T344" s="11" t="n">
        <x:v>1</x:v>
      </x:c>
      <x:c r="U344" s="2" t="str">
        <x:v>documented</x:v>
      </x:c>
      <x:c r="V344" s="2" t="str">
        <x:v>1A</x:v>
      </x:c>
      <x:c r="W344" s="11" t="n">
        <x:v>0</x:v>
      </x:c>
      <x:c r="X344" s="13"/>
    </x:row>
    <x:row r="345" ht="24" customHeight="1">
      <x:c r="A345" s="2" t="str">
        <x:v>183_51</x:v>
      </x:c>
      <x:c r="B345" s="10" t="str">
        <x:v>183</x:v>
      </x:c>
      <x:c r="C345" s="11" t="n">
        <x:v>52</x:v>
      </x:c>
      <x:c r="D345" s="11" t="n">
        <x:v>51</x:v>
      </x:c>
      <x:c r="E345" s="2" t="str">
        <x:v>Walk in</x:v>
      </x:c>
      <x:c r="F345" s="11" t="n">
        <x:v>4</x:v>
      </x:c>
      <x:c r="G345" s="12"/>
      <x:c r="H345" s="12"/>
      <x:c r="I345" s="12" t="n">
        <x:v>0.4361111111111111</x:v>
      </x:c>
      <x:c r="J345" s="12" t="n">
        <x:v>0.5104166666666666</x:v>
      </x:c>
      <x:c r="K345" s="10" t="str">
        <x:v>9</x:v>
      </x:c>
      <x:c r="L345" s="2" t="str">
        <x:v>direct_meal</x:v>
      </x:c>
      <x:c r="M345" s="8" t="str">
        <x:f>IF(P345=1,ROUND((H345-G345)*1440,6),"")</x:f>
      </x:c>
      <x:c r="N345" s="8" t="str">
        <x:f>IF(R345=1,M345,"")</x:f>
      </x:c>
      <x:c r="O345" s="8" t="n">
        <x:f>IF(S345=1,ROUND((J345-I345)*1440,6),"")</x:f>
        <x:v>107</x:v>
      </x:c>
      <x:c r="P345" s="11" t="n">
        <x:v>0</x:v>
      </x:c>
      <x:c r="Q345" s="11" t="n">
        <x:v>0</x:v>
      </x:c>
      <x:c r="R345" s="11" t="n">
        <x:v>0</x:v>
      </x:c>
      <x:c r="S345" s="11" t="n">
        <x:v>1</x:v>
      </x:c>
      <x:c r="T345" s="11" t="n">
        <x:v>1</x:v>
      </x:c>
      <x:c r="U345" s="2" t="str">
        <x:v>needs_mapping</x:v>
      </x:c>
      <x:c r="V345" s="2"/>
      <x:c r="W345" s="11" t="n">
        <x:v>1</x:v>
      </x:c>
      <x:c r="X345" s="13" t="str">
        <x:v>รหัสโต๊ะต้องยืนยัน</x:v>
      </x:c>
    </x:row>
    <x:row r="346" ht="24" customHeight="1">
      <x:c r="A346" s="2" t="str">
        <x:v>183_52</x:v>
      </x:c>
      <x:c r="B346" s="10" t="str">
        <x:v>183</x:v>
      </x:c>
      <x:c r="C346" s="11" t="n">
        <x:v>53</x:v>
      </x:c>
      <x:c r="D346" s="11" t="n">
        <x:v>52</x:v>
      </x:c>
      <x:c r="E346" s="2" t="str">
        <x:v>In house</x:v>
      </x:c>
      <x:c r="F346" s="11" t="n">
        <x:v>1</x:v>
      </x:c>
      <x:c r="G346" s="12"/>
      <x:c r="H346" s="12"/>
      <x:c r="I346" s="12" t="n">
        <x:v>0.4375</x:v>
      </x:c>
      <x:c r="J346" s="12" t="n">
        <x:v>0.4777777777777778</x:v>
      </x:c>
      <x:c r="K346" s="10" t="str">
        <x:v>14</x:v>
      </x:c>
      <x:c r="L346" s="2" t="str">
        <x:v>direct_meal</x:v>
      </x:c>
      <x:c r="M346" s="8" t="str">
        <x:f>IF(P346=1,ROUND((H346-G346)*1440,6),"")</x:f>
      </x:c>
      <x:c r="N346" s="8" t="str">
        <x:f>IF(R346=1,M346,"")</x:f>
      </x:c>
      <x:c r="O346" s="8" t="n">
        <x:f>IF(S346=1,ROUND((J346-I346)*1440,6),"")</x:f>
        <x:v>58</x:v>
      </x:c>
      <x:c r="P346" s="11" t="n">
        <x:v>0</x:v>
      </x:c>
      <x:c r="Q346" s="11" t="n">
        <x:v>0</x:v>
      </x:c>
      <x:c r="R346" s="11" t="n">
        <x:v>0</x:v>
      </x:c>
      <x:c r="S346" s="11" t="n">
        <x:v>1</x:v>
      </x:c>
      <x:c r="T346" s="11" t="n">
        <x:v>1</x:v>
      </x:c>
      <x:c r="U346" s="2" t="str">
        <x:v>documented</x:v>
      </x:c>
      <x:c r="V346" s="2" t="str">
        <x:v>14</x:v>
      </x:c>
      <x:c r="W346" s="11" t="n">
        <x:v>0</x:v>
      </x:c>
      <x:c r="X346" s="13"/>
    </x:row>
    <x:row r="347" ht="24" customHeight="1">
      <x:c r="A347" s="2" t="str">
        <x:v>183_53</x:v>
      </x:c>
      <x:c r="B347" s="10" t="str">
        <x:v>183</x:v>
      </x:c>
      <x:c r="C347" s="11" t="n">
        <x:v>54</x:v>
      </x:c>
      <x:c r="D347" s="11" t="n">
        <x:v>53</x:v>
      </x:c>
      <x:c r="E347" s="2" t="str">
        <x:v>In house</x:v>
      </x:c>
      <x:c r="F347" s="11" t="n">
        <x:v>1</x:v>
      </x:c>
      <x:c r="G347" s="12"/>
      <x:c r="H347" s="12"/>
      <x:c r="I347" s="12" t="n">
        <x:v>0.4375</x:v>
      </x:c>
      <x:c r="J347" s="12" t="n">
        <x:v>0.4673611111111111</x:v>
      </x:c>
      <x:c r="K347" s="10" t="str">
        <x:v>8C</x:v>
      </x:c>
      <x:c r="L347" s="2" t="str">
        <x:v>direct_meal</x:v>
      </x:c>
      <x:c r="M347" s="8" t="str">
        <x:f>IF(P347=1,ROUND((H347-G347)*1440,6),"")</x:f>
      </x:c>
      <x:c r="N347" s="8" t="str">
        <x:f>IF(R347=1,M347,"")</x:f>
      </x:c>
      <x:c r="O347" s="8" t="n">
        <x:f>IF(S347=1,ROUND((J347-I347)*1440,6),"")</x:f>
        <x:v>43</x:v>
      </x:c>
      <x:c r="P347" s="11" t="n">
        <x:v>0</x:v>
      </x:c>
      <x:c r="Q347" s="11" t="n">
        <x:v>0</x:v>
      </x:c>
      <x:c r="R347" s="11" t="n">
        <x:v>0</x:v>
      </x:c>
      <x:c r="S347" s="11" t="n">
        <x:v>1</x:v>
      </x:c>
      <x:c r="T347" s="11" t="n">
        <x:v>1</x:v>
      </x:c>
      <x:c r="U347" s="2" t="str">
        <x:v>documented</x:v>
      </x:c>
      <x:c r="V347" s="2" t="str">
        <x:v>8C</x:v>
      </x:c>
      <x:c r="W347" s="11" t="n">
        <x:v>0</x:v>
      </x:c>
      <x:c r="X347" s="13"/>
    </x:row>
    <x:row r="348" ht="24" customHeight="1">
      <x:c r="A348" s="2" t="str">
        <x:v>183_54</x:v>
      </x:c>
      <x:c r="B348" s="10" t="str">
        <x:v>183</x:v>
      </x:c>
      <x:c r="C348" s="11" t="n">
        <x:v>55</x:v>
      </x:c>
      <x:c r="D348" s="11" t="n">
        <x:v>54</x:v>
      </x:c>
      <x:c r="E348" s="2" t="str">
        <x:v>Walk in</x:v>
      </x:c>
      <x:c r="F348" s="11" t="n">
        <x:v>2</x:v>
      </x:c>
      <x:c r="G348" s="12"/>
      <x:c r="H348" s="12"/>
      <x:c r="I348" s="12" t="n">
        <x:v>0.44166666666666665</x:v>
      </x:c>
      <x:c r="J348" s="12" t="n">
        <x:v>0.4930555555555556</x:v>
      </x:c>
      <x:c r="K348" s="10" t="str">
        <x:v>7B</x:v>
      </x:c>
      <x:c r="L348" s="2" t="str">
        <x:v>direct_meal</x:v>
      </x:c>
      <x:c r="M348" s="8" t="str">
        <x:f>IF(P348=1,ROUND((H348-G348)*1440,6),"")</x:f>
      </x:c>
      <x:c r="N348" s="8" t="str">
        <x:f>IF(R348=1,M348,"")</x:f>
      </x:c>
      <x:c r="O348" s="8" t="n">
        <x:f>IF(S348=1,ROUND((J348-I348)*1440,6),"")</x:f>
        <x:v>74</x:v>
      </x:c>
      <x:c r="P348" s="11" t="n">
        <x:v>0</x:v>
      </x:c>
      <x:c r="Q348" s="11" t="n">
        <x:v>0</x:v>
      </x:c>
      <x:c r="R348" s="11" t="n">
        <x:v>0</x:v>
      </x:c>
      <x:c r="S348" s="11" t="n">
        <x:v>1</x:v>
      </x:c>
      <x:c r="T348" s="11" t="n">
        <x:v>1</x:v>
      </x:c>
      <x:c r="U348" s="2" t="str">
        <x:v>documented</x:v>
      </x:c>
      <x:c r="V348" s="2" t="str">
        <x:v>7B</x:v>
      </x:c>
      <x:c r="W348" s="11" t="n">
        <x:v>0</x:v>
      </x:c>
      <x:c r="X348" s="13"/>
    </x:row>
    <x:row r="349" ht="24" customHeight="1">
      <x:c r="A349" s="2" t="str">
        <x:v>183_55</x:v>
      </x:c>
      <x:c r="B349" s="10" t="str">
        <x:v>183</x:v>
      </x:c>
      <x:c r="C349" s="11" t="n">
        <x:v>56</x:v>
      </x:c>
      <x:c r="D349" s="11" t="n">
        <x:v>55</x:v>
      </x:c>
      <x:c r="E349" s="2" t="str">
        <x:v>In house</x:v>
      </x:c>
      <x:c r="F349" s="11" t="n">
        <x:v>1</x:v>
      </x:c>
      <x:c r="G349" s="12"/>
      <x:c r="H349" s="12"/>
      <x:c r="I349" s="12" t="n">
        <x:v>0.44305555555555554</x:v>
      </x:c>
      <x:c r="J349" s="12" t="n">
        <x:v>0.4986111111111111</x:v>
      </x:c>
      <x:c r="K349" s="10" t="str">
        <x:v>10B</x:v>
      </x:c>
      <x:c r="L349" s="2" t="str">
        <x:v>direct_meal</x:v>
      </x:c>
      <x:c r="M349" s="8" t="str">
        <x:f>IF(P349=1,ROUND((H349-G349)*1440,6),"")</x:f>
      </x:c>
      <x:c r="N349" s="8" t="str">
        <x:f>IF(R349=1,M349,"")</x:f>
      </x:c>
      <x:c r="O349" s="8" t="n">
        <x:f>IF(S349=1,ROUND((J349-I349)*1440,6),"")</x:f>
        <x:v>80</x:v>
      </x:c>
      <x:c r="P349" s="11" t="n">
        <x:v>0</x:v>
      </x:c>
      <x:c r="Q349" s="11" t="n">
        <x:v>0</x:v>
      </x:c>
      <x:c r="R349" s="11" t="n">
        <x:v>0</x:v>
      </x:c>
      <x:c r="S349" s="11" t="n">
        <x:v>1</x:v>
      </x:c>
      <x:c r="T349" s="11" t="n">
        <x:v>1</x:v>
      </x:c>
      <x:c r="U349" s="2" t="str">
        <x:v>documented</x:v>
      </x:c>
      <x:c r="V349" s="2" t="str">
        <x:v>10B</x:v>
      </x:c>
      <x:c r="W349" s="11" t="n">
        <x:v>0</x:v>
      </x:c>
      <x:c r="X349" s="13"/>
    </x:row>
    <x:row r="350" ht="24" customHeight="1">
      <x:c r="A350" s="2" t="str">
        <x:v>183_56</x:v>
      </x:c>
      <x:c r="B350" s="10" t="str">
        <x:v>183</x:v>
      </x:c>
      <x:c r="C350" s="11" t="n">
        <x:v>57</x:v>
      </x:c>
      <x:c r="D350" s="11" t="n">
        <x:v>56</x:v>
      </x:c>
      <x:c r="E350" s="2" t="str">
        <x:v>Walk in</x:v>
      </x:c>
      <x:c r="F350" s="11" t="n">
        <x:v>2</x:v>
      </x:c>
      <x:c r="G350" s="12"/>
      <x:c r="H350" s="12"/>
      <x:c r="I350" s="12" t="n">
        <x:v>0.44027777777777777</x:v>
      </x:c>
      <x:c r="J350" s="12" t="n">
        <x:v>0.475</x:v>
      </x:c>
      <x:c r="K350" s="10" t="str">
        <x:v>15</x:v>
      </x:c>
      <x:c r="L350" s="2" t="str">
        <x:v>direct_meal</x:v>
      </x:c>
      <x:c r="M350" s="8" t="str">
        <x:f>IF(P350=1,ROUND((H350-G350)*1440,6),"")</x:f>
      </x:c>
      <x:c r="N350" s="8" t="str">
        <x:f>IF(R350=1,M350,"")</x:f>
      </x:c>
      <x:c r="O350" s="8" t="n">
        <x:f>IF(S350=1,ROUND((J350-I350)*1440,6),"")</x:f>
        <x:v>50</x:v>
      </x:c>
      <x:c r="P350" s="11" t="n">
        <x:v>0</x:v>
      </x:c>
      <x:c r="Q350" s="11" t="n">
        <x:v>0</x:v>
      </x:c>
      <x:c r="R350" s="11" t="n">
        <x:v>0</x:v>
      </x:c>
      <x:c r="S350" s="11" t="n">
        <x:v>1</x:v>
      </x:c>
      <x:c r="T350" s="11" t="n">
        <x:v>1</x:v>
      </x:c>
      <x:c r="U350" s="2" t="str">
        <x:v>documented</x:v>
      </x:c>
      <x:c r="V350" s="2" t="str">
        <x:v>15</x:v>
      </x:c>
      <x:c r="W350" s="11" t="n">
        <x:v>0</x:v>
      </x:c>
      <x:c r="X350" s="13"/>
    </x:row>
    <x:row r="351" ht="24" customHeight="1">
      <x:c r="A351" s="2" t="str">
        <x:v>183_57</x:v>
      </x:c>
      <x:c r="B351" s="10" t="str">
        <x:v>183</x:v>
      </x:c>
      <x:c r="C351" s="11" t="n">
        <x:v>58</x:v>
      </x:c>
      <x:c r="D351" s="11" t="n">
        <x:v>57</x:v>
      </x:c>
      <x:c r="E351" s="2" t="str">
        <x:v>In house</x:v>
      </x:c>
      <x:c r="F351" s="11" t="n">
        <x:v>2</x:v>
      </x:c>
      <x:c r="G351" s="12"/>
      <x:c r="H351" s="12"/>
      <x:c r="I351" s="12" t="n">
        <x:v>0.4409722222222222</x:v>
      </x:c>
      <x:c r="J351" s="12" t="n">
        <x:v>0.4666666666666667</x:v>
      </x:c>
      <x:c r="K351" s="10" t="str">
        <x:v>3</x:v>
      </x:c>
      <x:c r="L351" s="2" t="str">
        <x:v>direct_meal</x:v>
      </x:c>
      <x:c r="M351" s="8" t="str">
        <x:f>IF(P351=1,ROUND((H351-G351)*1440,6),"")</x:f>
      </x:c>
      <x:c r="N351" s="8" t="str">
        <x:f>IF(R351=1,M351,"")</x:f>
      </x:c>
      <x:c r="O351" s="8" t="n">
        <x:f>IF(S351=1,ROUND((J351-I351)*1440,6),"")</x:f>
        <x:v>37</x:v>
      </x:c>
      <x:c r="P351" s="11" t="n">
        <x:v>0</x:v>
      </x:c>
      <x:c r="Q351" s="11" t="n">
        <x:v>0</x:v>
      </x:c>
      <x:c r="R351" s="11" t="n">
        <x:v>0</x:v>
      </x:c>
      <x:c r="S351" s="11" t="n">
        <x:v>1</x:v>
      </x:c>
      <x:c r="T351" s="11" t="n">
        <x:v>1</x:v>
      </x:c>
      <x:c r="U351" s="2" t="str">
        <x:v>needs_mapping</x:v>
      </x:c>
      <x:c r="V351" s="2"/>
      <x:c r="W351" s="11" t="n">
        <x:v>1</x:v>
      </x:c>
      <x:c r="X351" s="13" t="str">
        <x:v>รหัสโต๊ะต้องยืนยัน</x:v>
      </x:c>
    </x:row>
    <x:row r="352" ht="24" customHeight="1">
      <x:c r="A352" s="2" t="str">
        <x:v>183_58</x:v>
      </x:c>
      <x:c r="B352" s="10" t="str">
        <x:v>183</x:v>
      </x:c>
      <x:c r="C352" s="11" t="n">
        <x:v>59</x:v>
      </x:c>
      <x:c r="D352" s="11" t="n">
        <x:v>58</x:v>
      </x:c>
      <x:c r="E352" s="2" t="str">
        <x:v>Walk in</x:v>
      </x:c>
      <x:c r="F352" s="11" t="n">
        <x:v>1</x:v>
      </x:c>
      <x:c r="G352" s="12"/>
      <x:c r="H352" s="12"/>
      <x:c r="I352" s="12" t="n">
        <x:v>0.44375</x:v>
      </x:c>
      <x:c r="J352" s="12" t="n">
        <x:v>0.5625</x:v>
      </x:c>
      <x:c r="K352" s="10" t="str">
        <x:v>1B</x:v>
      </x:c>
      <x:c r="L352" s="2" t="str">
        <x:v>direct_meal</x:v>
      </x:c>
      <x:c r="M352" s="8" t="str">
        <x:f>IF(P352=1,ROUND((H352-G352)*1440,6),"")</x:f>
      </x:c>
      <x:c r="N352" s="8" t="str">
        <x:f>IF(R352=1,M352,"")</x:f>
      </x:c>
      <x:c r="O352" s="8" t="n">
        <x:f>IF(S352=1,ROUND((J352-I352)*1440,6),"")</x:f>
        <x:v>171</x:v>
      </x:c>
      <x:c r="P352" s="11" t="n">
        <x:v>0</x:v>
      </x:c>
      <x:c r="Q352" s="11" t="n">
        <x:v>0</x:v>
      </x:c>
      <x:c r="R352" s="11" t="n">
        <x:v>0</x:v>
      </x:c>
      <x:c r="S352" s="11" t="n">
        <x:v>1</x:v>
      </x:c>
      <x:c r="T352" s="11" t="n">
        <x:v>1</x:v>
      </x:c>
      <x:c r="U352" s="2" t="str">
        <x:v>documented</x:v>
      </x:c>
      <x:c r="V352" s="2" t="str">
        <x:v>1B</x:v>
      </x:c>
      <x:c r="W352" s="11" t="n">
        <x:v>0</x:v>
      </x:c>
      <x:c r="X352" s="13"/>
    </x:row>
    <x:row r="353" ht="24" customHeight="1">
      <x:c r="A353" s="2" t="str">
        <x:v>183_59</x:v>
      </x:c>
      <x:c r="B353" s="10" t="str">
        <x:v>183</x:v>
      </x:c>
      <x:c r="C353" s="11" t="n">
        <x:v>60</x:v>
      </x:c>
      <x:c r="D353" s="11" t="n">
        <x:v>59</x:v>
      </x:c>
      <x:c r="E353" s="2" t="str">
        <x:v>Walk in</x:v>
      </x:c>
      <x:c r="F353" s="11" t="n">
        <x:v>3</x:v>
      </x:c>
      <x:c r="G353" s="12"/>
      <x:c r="H353" s="12"/>
      <x:c r="I353" s="12" t="n">
        <x:v>0.44513888888888886</x:v>
      </x:c>
      <x:c r="J353" s="12" t="n">
        <x:v>0.4861111111111111</x:v>
      </x:c>
      <x:c r="K353" s="10" t="str">
        <x:v>12/13</x:v>
      </x:c>
      <x:c r="L353" s="2" t="str">
        <x:v>direct_meal</x:v>
      </x:c>
      <x:c r="M353" s="8" t="str">
        <x:f>IF(P353=1,ROUND((H353-G353)*1440,6),"")</x:f>
      </x:c>
      <x:c r="N353" s="8" t="str">
        <x:f>IF(R353=1,M353,"")</x:f>
      </x:c>
      <x:c r="O353" s="8" t="n">
        <x:f>IF(S353=1,ROUND((J353-I353)*1440,6),"")</x:f>
        <x:v>59</x:v>
      </x:c>
      <x:c r="P353" s="11" t="n">
        <x:v>0</x:v>
      </x:c>
      <x:c r="Q353" s="11" t="n">
        <x:v>0</x:v>
      </x:c>
      <x:c r="R353" s="11" t="n">
        <x:v>0</x:v>
      </x:c>
      <x:c r="S353" s="11" t="n">
        <x:v>1</x:v>
      </x:c>
      <x:c r="T353" s="11" t="n">
        <x:v>1</x:v>
      </x:c>
      <x:c r="U353" s="2" t="str">
        <x:v>slash_needs_confirmation</x:v>
      </x:c>
      <x:c r="V353" s="2"/>
      <x:c r="W353" s="11" t="n">
        <x:v>1</x:v>
      </x:c>
      <x:c r="X353" s="13" t="str">
        <x:v>รหัสโต๊ะต้องยืนยัน</x:v>
      </x:c>
    </x:row>
    <x:row r="354" ht="24" customHeight="1">
      <x:c r="A354" s="2" t="str">
        <x:v>183_60</x:v>
      </x:c>
      <x:c r="B354" s="10" t="str">
        <x:v>183</x:v>
      </x:c>
      <x:c r="C354" s="11" t="n">
        <x:v>61</x:v>
      </x:c>
      <x:c r="D354" s="11" t="n">
        <x:v>60</x:v>
      </x:c>
      <x:c r="E354" s="2" t="str">
        <x:v>Walk in</x:v>
      </x:c>
      <x:c r="F354" s="11" t="n">
        <x:v>2</x:v>
      </x:c>
      <x:c r="G354" s="12"/>
      <x:c r="H354" s="12"/>
      <x:c r="I354" s="12" t="n">
        <x:v>0.45416666666666666</x:v>
      </x:c>
      <x:c r="J354" s="12" t="n">
        <x:v>0.4986111111111111</x:v>
      </x:c>
      <x:c r="K354" s="10" t="str">
        <x:v>16</x:v>
      </x:c>
      <x:c r="L354" s="2" t="str">
        <x:v>direct_meal</x:v>
      </x:c>
      <x:c r="M354" s="8" t="str">
        <x:f>IF(P354=1,ROUND((H354-G354)*1440,6),"")</x:f>
      </x:c>
      <x:c r="N354" s="8" t="str">
        <x:f>IF(R354=1,M354,"")</x:f>
      </x:c>
      <x:c r="O354" s="8" t="n">
        <x:f>IF(S354=1,ROUND((J354-I354)*1440,6),"")</x:f>
        <x:v>64</x:v>
      </x:c>
      <x:c r="P354" s="11" t="n">
        <x:v>0</x:v>
      </x:c>
      <x:c r="Q354" s="11" t="n">
        <x:v>0</x:v>
      </x:c>
      <x:c r="R354" s="11" t="n">
        <x:v>0</x:v>
      </x:c>
      <x:c r="S354" s="11" t="n">
        <x:v>1</x:v>
      </x:c>
      <x:c r="T354" s="11" t="n">
        <x:v>1</x:v>
      </x:c>
      <x:c r="U354" s="2" t="str">
        <x:v>needs_mapping</x:v>
      </x:c>
      <x:c r="V354" s="2"/>
      <x:c r="W354" s="11" t="n">
        <x:v>1</x:v>
      </x:c>
      <x:c r="X354" s="13" t="str">
        <x:v>รหัสโต๊ะต้องยืนยัน</x:v>
      </x:c>
    </x:row>
    <x:row r="355" ht="24" customHeight="1">
      <x:c r="A355" s="2" t="str">
        <x:v>183_61</x:v>
      </x:c>
      <x:c r="B355" s="10" t="str">
        <x:v>183</x:v>
      </x:c>
      <x:c r="C355" s="11" t="n">
        <x:v>62</x:v>
      </x:c>
      <x:c r="D355" s="11" t="n">
        <x:v>61</x:v>
      </x:c>
      <x:c r="E355" s="2" t="str">
        <x:v>Walk in</x:v>
      </x:c>
      <x:c r="F355" s="11" t="n">
        <x:v>1</x:v>
      </x:c>
      <x:c r="G355" s="12"/>
      <x:c r="H355" s="12"/>
      <x:c r="I355" s="12" t="n">
        <x:v>0.45555555555555555</x:v>
      </x:c>
      <x:c r="J355" s="12" t="n">
        <x:v>0.48541666666666666</x:v>
      </x:c>
      <x:c r="K355" s="10" t="str">
        <x:v>4A</x:v>
      </x:c>
      <x:c r="L355" s="2" t="str">
        <x:v>direct_meal</x:v>
      </x:c>
      <x:c r="M355" s="8" t="str">
        <x:f>IF(P355=1,ROUND((H355-G355)*1440,6),"")</x:f>
      </x:c>
      <x:c r="N355" s="8" t="str">
        <x:f>IF(R355=1,M355,"")</x:f>
      </x:c>
      <x:c r="O355" s="8" t="n">
        <x:f>IF(S355=1,ROUND((J355-I355)*1440,6),"")</x:f>
        <x:v>43</x:v>
      </x:c>
      <x:c r="P355" s="11" t="n">
        <x:v>0</x:v>
      </x:c>
      <x:c r="Q355" s="11" t="n">
        <x:v>0</x:v>
      </x:c>
      <x:c r="R355" s="11" t="n">
        <x:v>0</x:v>
      </x:c>
      <x:c r="S355" s="11" t="n">
        <x:v>1</x:v>
      </x:c>
      <x:c r="T355" s="11" t="n">
        <x:v>1</x:v>
      </x:c>
      <x:c r="U355" s="2" t="str">
        <x:v>documented</x:v>
      </x:c>
      <x:c r="V355" s="2" t="str">
        <x:v>4A</x:v>
      </x:c>
      <x:c r="W355" s="11" t="n">
        <x:v>0</x:v>
      </x:c>
      <x:c r="X355" s="13"/>
    </x:row>
    <x:row r="356" ht="24" customHeight="1">
      <x:c r="A356" s="2" t="str">
        <x:v>183_62</x:v>
      </x:c>
      <x:c r="B356" s="10" t="str">
        <x:v>183</x:v>
      </x:c>
      <x:c r="C356" s="11" t="n">
        <x:v>63</x:v>
      </x:c>
      <x:c r="D356" s="11" t="n">
        <x:v>62</x:v>
      </x:c>
      <x:c r="E356" s="2" t="str">
        <x:v>In house</x:v>
      </x:c>
      <x:c r="F356" s="11" t="n">
        <x:v>1</x:v>
      </x:c>
      <x:c r="G356" s="12"/>
      <x:c r="H356" s="12"/>
      <x:c r="I356" s="12"/>
      <x:c r="J356" s="12"/>
      <x:c r="K356" s="10" t="str">
        <x:v>5B</x:v>
      </x:c>
      <x:c r="L356" s="2" t="str">
        <x:v>direct_meal</x:v>
      </x:c>
      <x:c r="M356" s="8" t="str">
        <x:f>IF(P356=1,ROUND((H356-G356)*1440,6),"")</x:f>
      </x:c>
      <x:c r="N356" s="8" t="str">
        <x:f>IF(R356=1,M356,"")</x:f>
      </x:c>
      <x:c r="O356" s="8" t="str">
        <x:f>IF(S356=1,ROUND((J356-I356)*1440,6),"")</x:f>
      </x:c>
      <x:c r="P356" s="11" t="n">
        <x:v>0</x:v>
      </x:c>
      <x:c r="Q356" s="11" t="n">
        <x:v>0</x:v>
      </x:c>
      <x:c r="R356" s="11" t="n">
        <x:v>0</x:v>
      </x:c>
      <x:c r="S356" s="11" t="n">
        <x:v>0</x:v>
      </x:c>
      <x:c r="T356" s="11" t="n">
        <x:v>1</x:v>
      </x:c>
      <x:c r="U356" s="2" t="str">
        <x:v>documented</x:v>
      </x:c>
      <x:c r="V356" s="2" t="str">
        <x:v>5B</x:v>
      </x:c>
      <x:c r="W356" s="11" t="n">
        <x:v>1</x:v>
      </x:c>
      <x:c r="X356" s="13" t="str">
        <x:v>เวลานั่งติดลบ</x:v>
      </x:c>
    </x:row>
    <x:row r="357" ht="24" customHeight="1">
      <x:c r="A357" s="2" t="str">
        <x:v>183_63</x:v>
      </x:c>
      <x:c r="B357" s="10" t="str">
        <x:v>183</x:v>
      </x:c>
      <x:c r="C357" s="11" t="n">
        <x:v>64</x:v>
      </x:c>
      <x:c r="D357" s="11" t="n">
        <x:v>63</x:v>
      </x:c>
      <x:c r="E357" s="2" t="str">
        <x:v>In house</x:v>
      </x:c>
      <x:c r="F357" s="11" t="n">
        <x:v>2</x:v>
      </x:c>
      <x:c r="G357" s="12"/>
      <x:c r="H357" s="12"/>
      <x:c r="I357" s="12" t="n">
        <x:v>0.4583333333333333</x:v>
      </x:c>
      <x:c r="J357" s="12" t="n">
        <x:v>0.49930555555555556</x:v>
      </x:c>
      <x:c r="K357" s="10" t="str">
        <x:v>7A</x:v>
      </x:c>
      <x:c r="L357" s="2" t="str">
        <x:v>direct_meal</x:v>
      </x:c>
      <x:c r="M357" s="8" t="str">
        <x:f>IF(P357=1,ROUND((H357-G357)*1440,6),"")</x:f>
      </x:c>
      <x:c r="N357" s="8" t="str">
        <x:f>IF(R357=1,M357,"")</x:f>
      </x:c>
      <x:c r="O357" s="8" t="n">
        <x:f>IF(S357=1,ROUND((J357-I357)*1440,6),"")</x:f>
        <x:v>59</x:v>
      </x:c>
      <x:c r="P357" s="11" t="n">
        <x:v>0</x:v>
      </x:c>
      <x:c r="Q357" s="11" t="n">
        <x:v>0</x:v>
      </x:c>
      <x:c r="R357" s="11" t="n">
        <x:v>0</x:v>
      </x:c>
      <x:c r="S357" s="11" t="n">
        <x:v>1</x:v>
      </x:c>
      <x:c r="T357" s="11" t="n">
        <x:v>1</x:v>
      </x:c>
      <x:c r="U357" s="2" t="str">
        <x:v>documented</x:v>
      </x:c>
      <x:c r="V357" s="2" t="str">
        <x:v>7A</x:v>
      </x:c>
      <x:c r="W357" s="11" t="n">
        <x:v>0</x:v>
      </x:c>
      <x:c r="X357" s="13"/>
    </x:row>
    <x:row r="358" ht="24" customHeight="1">
      <x:c r="A358" s="2" t="str">
        <x:v>183_64</x:v>
      </x:c>
      <x:c r="B358" s="10" t="str">
        <x:v>183</x:v>
      </x:c>
      <x:c r="C358" s="11" t="n">
        <x:v>65</x:v>
      </x:c>
      <x:c r="D358" s="11" t="n">
        <x:v>64</x:v>
      </x:c>
      <x:c r="E358" s="2" t="str">
        <x:v>Walk in</x:v>
      </x:c>
      <x:c r="F358" s="11" t="n">
        <x:v>1</x:v>
      </x:c>
      <x:c r="G358" s="12"/>
      <x:c r="H358" s="12"/>
      <x:c r="I358" s="12" t="n">
        <x:v>0.4638888888888889</x:v>
      </x:c>
      <x:c r="J358" s="12" t="n">
        <x:v>0.4888888888888889</x:v>
      </x:c>
      <x:c r="K358" s="10" t="str">
        <x:v>8A</x:v>
      </x:c>
      <x:c r="L358" s="2" t="str">
        <x:v>direct_meal</x:v>
      </x:c>
      <x:c r="M358" s="8" t="str">
        <x:f>IF(P358=1,ROUND((H358-G358)*1440,6),"")</x:f>
      </x:c>
      <x:c r="N358" s="8" t="str">
        <x:f>IF(R358=1,M358,"")</x:f>
      </x:c>
      <x:c r="O358" s="8" t="n">
        <x:f>IF(S358=1,ROUND((J358-I358)*1440,6),"")</x:f>
        <x:v>36</x:v>
      </x:c>
      <x:c r="P358" s="11" t="n">
        <x:v>0</x:v>
      </x:c>
      <x:c r="Q358" s="11" t="n">
        <x:v>0</x:v>
      </x:c>
      <x:c r="R358" s="11" t="n">
        <x:v>0</x:v>
      </x:c>
      <x:c r="S358" s="11" t="n">
        <x:v>1</x:v>
      </x:c>
      <x:c r="T358" s="11" t="n">
        <x:v>1</x:v>
      </x:c>
      <x:c r="U358" s="2" t="str">
        <x:v>documented</x:v>
      </x:c>
      <x:c r="V358" s="2" t="str">
        <x:v>8A</x:v>
      </x:c>
      <x:c r="W358" s="11" t="n">
        <x:v>0</x:v>
      </x:c>
      <x:c r="X358" s="13"/>
    </x:row>
    <x:row r="359" ht="24" customHeight="1">
      <x:c r="A359" s="2" t="str">
        <x:v>183_65</x:v>
      </x:c>
      <x:c r="B359" s="10" t="str">
        <x:v>183</x:v>
      </x:c>
      <x:c r="C359" s="11" t="n">
        <x:v>66</x:v>
      </x:c>
      <x:c r="D359" s="11" t="n">
        <x:v>65</x:v>
      </x:c>
      <x:c r="E359" s="2" t="str">
        <x:v>In house</x:v>
      </x:c>
      <x:c r="F359" s="11" t="n">
        <x:v>3</x:v>
      </x:c>
      <x:c r="G359" s="12"/>
      <x:c r="H359" s="12"/>
      <x:c r="I359" s="12" t="n">
        <x:v>0.4652777777777778</x:v>
      </x:c>
      <x:c r="J359" s="12" t="n">
        <x:v>0.5097222222222222</x:v>
      </x:c>
      <x:c r="K359" s="10" t="str">
        <x:v>11A/11B</x:v>
      </x:c>
      <x:c r="L359" s="2" t="str">
        <x:v>direct_meal</x:v>
      </x:c>
      <x:c r="M359" s="8" t="str">
        <x:f>IF(P359=1,ROUND((H359-G359)*1440,6),"")</x:f>
      </x:c>
      <x:c r="N359" s="8" t="str">
        <x:f>IF(R359=1,M359,"")</x:f>
      </x:c>
      <x:c r="O359" s="8" t="n">
        <x:f>IF(S359=1,ROUND((J359-I359)*1440,6),"")</x:f>
        <x:v>64</x:v>
      </x:c>
      <x:c r="P359" s="11" t="n">
        <x:v>0</x:v>
      </x:c>
      <x:c r="Q359" s="11" t="n">
        <x:v>0</x:v>
      </x:c>
      <x:c r="R359" s="11" t="n">
        <x:v>0</x:v>
      </x:c>
      <x:c r="S359" s="11" t="n">
        <x:v>1</x:v>
      </x:c>
      <x:c r="T359" s="11" t="n">
        <x:v>1</x:v>
      </x:c>
      <x:c r="U359" s="2" t="str">
        <x:v>slash_needs_confirmation</x:v>
      </x:c>
      <x:c r="V359" s="2"/>
      <x:c r="W359" s="11" t="n">
        <x:v>1</x:v>
      </x:c>
      <x:c r="X359" s="13" t="str">
        <x:v>รหัสโต๊ะต้องยืนยัน</x:v>
      </x:c>
    </x:row>
    <x:row r="360" ht="24" customHeight="1">
      <x:c r="A360" s="2" t="str">
        <x:v>183_66</x:v>
      </x:c>
      <x:c r="B360" s="10" t="str">
        <x:v>183</x:v>
      </x:c>
      <x:c r="C360" s="11" t="n">
        <x:v>67</x:v>
      </x:c>
      <x:c r="D360" s="11" t="n">
        <x:v>66</x:v>
      </x:c>
      <x:c r="E360" s="2" t="str">
        <x:v>In house</x:v>
      </x:c>
      <x:c r="F360" s="11" t="n">
        <x:v>2</x:v>
      </x:c>
      <x:c r="G360" s="12"/>
      <x:c r="H360" s="12"/>
      <x:c r="I360" s="12" t="n">
        <x:v>0.4777777777777778</x:v>
      </x:c>
      <x:c r="J360" s="12" t="n">
        <x:v>0.49375</x:v>
      </x:c>
      <x:c r="K360" s="10" t="str">
        <x:v>15</x:v>
      </x:c>
      <x:c r="L360" s="2" t="str">
        <x:v>direct_meal</x:v>
      </x:c>
      <x:c r="M360" s="8" t="str">
        <x:f>IF(P360=1,ROUND((H360-G360)*1440,6),"")</x:f>
      </x:c>
      <x:c r="N360" s="8" t="str">
        <x:f>IF(R360=1,M360,"")</x:f>
      </x:c>
      <x:c r="O360" s="8" t="n">
        <x:f>IF(S360=1,ROUND((J360-I360)*1440,6),"")</x:f>
        <x:v>23</x:v>
      </x:c>
      <x:c r="P360" s="11" t="n">
        <x:v>0</x:v>
      </x:c>
      <x:c r="Q360" s="11" t="n">
        <x:v>0</x:v>
      </x:c>
      <x:c r="R360" s="11" t="n">
        <x:v>0</x:v>
      </x:c>
      <x:c r="S360" s="11" t="n">
        <x:v>1</x:v>
      </x:c>
      <x:c r="T360" s="11" t="n">
        <x:v>1</x:v>
      </x:c>
      <x:c r="U360" s="2" t="str">
        <x:v>documented</x:v>
      </x:c>
      <x:c r="V360" s="2" t="str">
        <x:v>15</x:v>
      </x:c>
      <x:c r="W360" s="11" t="n">
        <x:v>0</x:v>
      </x:c>
      <x:c r="X360" s="13"/>
    </x:row>
    <x:row r="361" ht="24" customHeight="1">
      <x:c r="A361" s="2" t="str">
        <x:v>183_67</x:v>
      </x:c>
      <x:c r="B361" s="10" t="str">
        <x:v>183</x:v>
      </x:c>
      <x:c r="C361" s="11" t="n">
        <x:v>68</x:v>
      </x:c>
      <x:c r="D361" s="11" t="n">
        <x:v>67</x:v>
      </x:c>
      <x:c r="E361" s="2" t="str">
        <x:v>In house</x:v>
      </x:c>
      <x:c r="F361" s="11" t="n">
        <x:v>1</x:v>
      </x:c>
      <x:c r="G361" s="12"/>
      <x:c r="H361" s="12"/>
      <x:c r="I361" s="12" t="n">
        <x:v>0.47847222222222224</x:v>
      </x:c>
      <x:c r="J361" s="12" t="n">
        <x:v>0.5097222222222222</x:v>
      </x:c>
      <x:c r="K361" s="10" t="str">
        <x:v>7C</x:v>
      </x:c>
      <x:c r="L361" s="2" t="str">
        <x:v>direct_meal</x:v>
      </x:c>
      <x:c r="M361" s="8" t="str">
        <x:f>IF(P361=1,ROUND((H361-G361)*1440,6),"")</x:f>
      </x:c>
      <x:c r="N361" s="8" t="str">
        <x:f>IF(R361=1,M361,"")</x:f>
      </x:c>
      <x:c r="O361" s="8" t="n">
        <x:f>IF(S361=1,ROUND((J361-I361)*1440,6),"")</x:f>
        <x:v>45</x:v>
      </x:c>
      <x:c r="P361" s="11" t="n">
        <x:v>0</x:v>
      </x:c>
      <x:c r="Q361" s="11" t="n">
        <x:v>0</x:v>
      </x:c>
      <x:c r="R361" s="11" t="n">
        <x:v>0</x:v>
      </x:c>
      <x:c r="S361" s="11" t="n">
        <x:v>1</x:v>
      </x:c>
      <x:c r="T361" s="11" t="n">
        <x:v>1</x:v>
      </x:c>
      <x:c r="U361" s="2" t="str">
        <x:v>documented</x:v>
      </x:c>
      <x:c r="V361" s="2" t="str">
        <x:v>7C</x:v>
      </x:c>
      <x:c r="W361" s="11" t="n">
        <x:v>0</x:v>
      </x:c>
      <x:c r="X361" s="13"/>
    </x:row>
    <x:row r="362" ht="24" customHeight="1">
      <x:c r="A362" s="2" t="str">
        <x:v>183_68</x:v>
      </x:c>
      <x:c r="B362" s="10" t="str">
        <x:v>183</x:v>
      </x:c>
      <x:c r="C362" s="11" t="n">
        <x:v>69</x:v>
      </x:c>
      <x:c r="D362" s="11" t="n">
        <x:v>68</x:v>
      </x:c>
      <x:c r="E362" s="2" t="str">
        <x:v>Walk in</x:v>
      </x:c>
      <x:c r="F362" s="11" t="n">
        <x:v>1</x:v>
      </x:c>
      <x:c r="G362" s="12"/>
      <x:c r="H362" s="12"/>
      <x:c r="I362" s="12" t="n">
        <x:v>0.48541666666666666</x:v>
      </x:c>
      <x:c r="J362" s="12" t="n">
        <x:v>0.5625</x:v>
      </x:c>
      <x:c r="K362" s="10" t="str">
        <x:v>4</x:v>
      </x:c>
      <x:c r="L362" s="2" t="str">
        <x:v>direct_meal</x:v>
      </x:c>
      <x:c r="M362" s="8" t="str">
        <x:f>IF(P362=1,ROUND((H362-G362)*1440,6),"")</x:f>
      </x:c>
      <x:c r="N362" s="8" t="str">
        <x:f>IF(R362=1,M362,"")</x:f>
      </x:c>
      <x:c r="O362" s="8" t="n">
        <x:f>IF(S362=1,ROUND((J362-I362)*1440,6),"")</x:f>
        <x:v>111</x:v>
      </x:c>
      <x:c r="P362" s="11" t="n">
        <x:v>0</x:v>
      </x:c>
      <x:c r="Q362" s="11" t="n">
        <x:v>0</x:v>
      </x:c>
      <x:c r="R362" s="11" t="n">
        <x:v>0</x:v>
      </x:c>
      <x:c r="S362" s="11" t="n">
        <x:v>1</x:v>
      </x:c>
      <x:c r="T362" s="11" t="n">
        <x:v>1</x:v>
      </x:c>
      <x:c r="U362" s="2" t="str">
        <x:v>needs_mapping</x:v>
      </x:c>
      <x:c r="V362" s="2"/>
      <x:c r="W362" s="11" t="n">
        <x:v>1</x:v>
      </x:c>
      <x:c r="X362" s="13" t="str">
        <x:v>รหัสโต๊ะต้องยืนยัน</x:v>
      </x:c>
    </x:row>
    <x:row r="363" ht="24" customHeight="1">
      <x:c r="A363" s="2" t="str">
        <x:v>183_69</x:v>
      </x:c>
      <x:c r="B363" s="10" t="str">
        <x:v>183</x:v>
      </x:c>
      <x:c r="C363" s="11" t="n">
        <x:v>70</x:v>
      </x:c>
      <x:c r="D363" s="11" t="n">
        <x:v>69</x:v>
      </x:c>
      <x:c r="E363" s="2" t="str">
        <x:v>In house</x:v>
      </x:c>
      <x:c r="F363" s="11" t="n">
        <x:v>1</x:v>
      </x:c>
      <x:c r="G363" s="12"/>
      <x:c r="H363" s="12"/>
      <x:c r="I363" s="12" t="n">
        <x:v>0.4861111111111111</x:v>
      </x:c>
      <x:c r="J363" s="12" t="n">
        <x:v>0.49583333333333335</x:v>
      </x:c>
      <x:c r="K363" s="10" t="str">
        <x:v>8B</x:v>
      </x:c>
      <x:c r="L363" s="2" t="str">
        <x:v>direct_meal</x:v>
      </x:c>
      <x:c r="M363" s="8" t="str">
        <x:f>IF(P363=1,ROUND((H363-G363)*1440,6),"")</x:f>
      </x:c>
      <x:c r="N363" s="8" t="str">
        <x:f>IF(R363=1,M363,"")</x:f>
      </x:c>
      <x:c r="O363" s="8" t="n">
        <x:f>IF(S363=1,ROUND((J363-I363)*1440,6),"")</x:f>
        <x:v>14</x:v>
      </x:c>
      <x:c r="P363" s="11" t="n">
        <x:v>0</x:v>
      </x:c>
      <x:c r="Q363" s="11" t="n">
        <x:v>0</x:v>
      </x:c>
      <x:c r="R363" s="11" t="n">
        <x:v>0</x:v>
      </x:c>
      <x:c r="S363" s="11" t="n">
        <x:v>1</x:v>
      </x:c>
      <x:c r="T363" s="11" t="n">
        <x:v>1</x:v>
      </x:c>
      <x:c r="U363" s="2" t="str">
        <x:v>documented</x:v>
      </x:c>
      <x:c r="V363" s="2" t="str">
        <x:v>8B</x:v>
      </x:c>
      <x:c r="W363" s="11" t="n">
        <x:v>0</x:v>
      </x:c>
      <x:c r="X363" s="13"/>
    </x:row>
    <x:row r="364" ht="24" customHeight="1">
      <x:c r="A364" s="2" t="str">
        <x:v>183_70</x:v>
      </x:c>
      <x:c r="B364" s="10" t="str">
        <x:v>183</x:v>
      </x:c>
      <x:c r="C364" s="11" t="n">
        <x:v>71</x:v>
      </x:c>
      <x:c r="D364" s="11" t="n">
        <x:v>70</x:v>
      </x:c>
      <x:c r="E364" s="2" t="str">
        <x:v>In house</x:v>
      </x:c>
      <x:c r="F364" s="11" t="n">
        <x:v>1</x:v>
      </x:c>
      <x:c r="G364" s="12"/>
      <x:c r="H364" s="12"/>
      <x:c r="I364" s="12" t="n">
        <x:v>0.48819444444444443</x:v>
      </x:c>
      <x:c r="J364" s="12" t="n">
        <x:v>0.5138888888888888</x:v>
      </x:c>
      <x:c r="K364" s="10" t="str">
        <x:v>5A</x:v>
      </x:c>
      <x:c r="L364" s="2" t="str">
        <x:v>direct_meal</x:v>
      </x:c>
      <x:c r="M364" s="8" t="str">
        <x:f>IF(P364=1,ROUND((H364-G364)*1440,6),"")</x:f>
      </x:c>
      <x:c r="N364" s="8" t="str">
        <x:f>IF(R364=1,M364,"")</x:f>
      </x:c>
      <x:c r="O364" s="8" t="n">
        <x:f>IF(S364=1,ROUND((J364-I364)*1440,6),"")</x:f>
        <x:v>37</x:v>
      </x:c>
      <x:c r="P364" s="11" t="n">
        <x:v>0</x:v>
      </x:c>
      <x:c r="Q364" s="11" t="n">
        <x:v>0</x:v>
      </x:c>
      <x:c r="R364" s="11" t="n">
        <x:v>0</x:v>
      </x:c>
      <x:c r="S364" s="11" t="n">
        <x:v>1</x:v>
      </x:c>
      <x:c r="T364" s="11" t="n">
        <x:v>1</x:v>
      </x:c>
      <x:c r="U364" s="2" t="str">
        <x:v>documented</x:v>
      </x:c>
      <x:c r="V364" s="2" t="str">
        <x:v>5A</x:v>
      </x:c>
      <x:c r="W364" s="11" t="n">
        <x:v>0</x:v>
      </x:c>
      <x:c r="X364" s="13"/>
    </x:row>
  </x:sheetData>
  <x:conditionalFormatting sqref="W2:W364">
    <x:cfRule type="cellIs" dxfId="0" priority="1" operator="equal">
      <x:formula>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6b31147cb40489c"/>
  </x:tableParts>
</x:worksheet>
</file>

<file path=xl/worksheets/sheet3.xml><?xml version="1.0" encoding="utf-8"?>
<x:worksheet xmlns:x="http://schemas.openxmlformats.org/spreadsheetml/2006/main">
  <x:sheetPr>
    <x:tabColor rgb="FFBF8A2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4" hidden="0" customWidth="1"/>
    <x:col min="5" max="5" width="31" hidden="0" customWidth="1"/>
    <x:col min="6" max="6" width="46" hidden="0" customWidth="1"/>
    <x:col min="7" max="7" width="46" hidden="0" customWidth="1"/>
    <x:col min="8" max="8" width="46" hidden="0" customWidth="1"/>
  </x:cols>
  <x:sheetData>
    <x:row r="1" ht="44" customHeight="1">
      <x:c r="A1" s="6" t="str">
        <x:v>group_id</x:v>
      </x:c>
      <x:c r="B1" s="6" t="str">
        <x:v>source_sheet</x:v>
      </x:c>
      <x:c r="C1" s="6" t="str">
        <x:v>source_row</x:v>
      </x:c>
      <x:c r="D1" s="6" t="str">
        <x:v>field</x:v>
      </x:c>
      <x:c r="E1" s="6" t="str">
        <x:v>original_value</x:v>
      </x:c>
      <x:c r="F1" s="6" t="str">
        <x:v>issue</x:v>
      </x:c>
      <x:c r="G1" s="6" t="str">
        <x:v>action</x:v>
      </x:c>
      <x:c r="H1" s="6" t="str">
        <x:v>use_after_cleaning</x:v>
      </x:c>
    </x:row>
    <x:row r="2" ht="62" customHeight="1">
      <x:c r="A2" s="2" t="str">
        <x:v>133_1</x:v>
      </x:c>
      <x:c r="B2" s="2" t="str">
        <x:v>133</x:v>
      </x:c>
      <x:c r="C2" s="2" t="n">
        <x:v>2</x:v>
      </x:c>
      <x:c r="D2" s="13" t="str">
        <x:v>table_no.</x:v>
      </x:c>
      <x:c r="E2" s="13" t="str">
        <x:v>6</x:v>
      </x:c>
      <x:c r="F2" s="13" t="str">
        <x:v>รหัสไม่ชัดตามคู่มือ</x:v>
      </x:c>
      <x:c r="G2" s="13" t="str">
        <x:v>เก็บรหัสเดิม; ไม่ระบุหน่วยโต๊ะที่ยืนยันแล้ว</x:v>
      </x:c>
      <x:c r="H2" s="13" t="str">
        <x:v>ใช้คิว/เวลานั่งได้ถ้าผ่านเกณฑ์; ยังไม่ใช้คำนวณความจุโต๊ะ</x:v>
      </x:c>
    </x:row>
    <x:row r="3" ht="62" customHeight="1">
      <x:c r="A3" s="2" t="str">
        <x:v>133_2</x:v>
      </x:c>
      <x:c r="B3" s="2" t="str">
        <x:v>133</x:v>
      </x:c>
      <x:c r="C3" s="2" t="n">
        <x:v>3</x:v>
      </x:c>
      <x:c r="D3" s="13" t="str">
        <x:v>table_no.</x:v>
      </x:c>
      <x:c r="E3" s="13" t="str">
        <x:v>2</x:v>
      </x:c>
      <x:c r="F3" s="13" t="str">
        <x:v>รหัสไม่ชัดตามคู่มือ</x:v>
      </x:c>
      <x:c r="G3" s="13" t="str">
        <x:v>เก็บรหัสเดิม; ไม่ระบุหน่วยโต๊ะที่ยืนยันแล้ว</x:v>
      </x:c>
      <x:c r="H3" s="13" t="str">
        <x:v>ใช้คิว/เวลานั่งได้ถ้าผ่านเกณฑ์; ยังไม่ใช้คำนวณความจุโต๊ะ</x:v>
      </x:c>
    </x:row>
    <x:row r="4" ht="62" customHeight="1">
      <x:c r="A4" s="2" t="str">
        <x:v>133_7</x:v>
      </x:c>
      <x:c r="B4" s="2" t="str">
        <x:v>133</x:v>
      </x:c>
      <x:c r="C4" s="2" t="n">
        <x:v>8</x:v>
      </x:c>
      <x:c r="D4" s="13" t="str">
        <x:v>table_no.</x:v>
      </x:c>
      <x:c r="E4" s="13" t="str">
        <x:v>9</x:v>
      </x:c>
      <x:c r="F4" s="13" t="str">
        <x:v>รหัสไม่ชัดตามคู่มือ</x:v>
      </x:c>
      <x:c r="G4" s="13" t="str">
        <x:v>เก็บรหัสเดิม; ไม่ระบุหน่วยโต๊ะที่ยืนยันแล้ว</x:v>
      </x:c>
      <x:c r="H4" s="13" t="str">
        <x:v>ใช้คิว/เวลานั่งได้ถ้าผ่านเกณฑ์; ยังไม่ใช้คำนวณความจุโต๊ะ</x:v>
      </x:c>
    </x:row>
    <x:row r="5" ht="62" customHeight="1">
      <x:c r="A5" s="2" t="str">
        <x:v>133_8</x:v>
      </x:c>
      <x:c r="B5" s="2" t="str">
        <x:v>133</x:v>
      </x:c>
      <x:c r="C5" s="2" t="n">
        <x:v>9</x:v>
      </x:c>
      <x:c r="D5" s="13" t="str">
        <x:v>table_no.</x:v>
      </x:c>
      <x:c r="E5" s="13" t="str">
        <x:v>4</x:v>
      </x:c>
      <x:c r="F5" s="13" t="str">
        <x:v>รหัสไม่ชัดตามคู่มือ</x:v>
      </x:c>
      <x:c r="G5" s="13" t="str">
        <x:v>เก็บรหัสเดิม; ไม่ระบุหน่วยโต๊ะที่ยืนยันแล้ว</x:v>
      </x:c>
      <x:c r="H5" s="13" t="str">
        <x:v>ใช้คิว/เวลานั่งได้ถ้าผ่านเกณฑ์; ยังไม่ใช้คำนวณความจุโต๊ะ</x:v>
      </x:c>
    </x:row>
    <x:row r="6" ht="62" customHeight="1">
      <x:c r="A6" s="2" t="str">
        <x:v>133_9</x:v>
      </x:c>
      <x:c r="B6" s="2" t="str">
        <x:v>133</x:v>
      </x:c>
      <x:c r="C6" s="2" t="n">
        <x:v>10</x:v>
      </x:c>
      <x:c r="D6" s="13" t="str">
        <x:v>table_no.</x:v>
      </x:c>
      <x:c r="E6" s="13" t="str">
        <x:v>11</x:v>
      </x:c>
      <x:c r="F6" s="13" t="str">
        <x:v>รหัสไม่ชัดตามคู่มือ</x:v>
      </x:c>
      <x:c r="G6" s="13" t="str">
        <x:v>เก็บรหัสเดิม; ไม่ระบุหน่วยโต๊ะที่ยืนยันแล้ว</x:v>
      </x:c>
      <x:c r="H6" s="13" t="str">
        <x:v>ใช้คิว/เวลานั่งได้ถ้าผ่านเกณฑ์; ยังไม่ใช้คำนวณความจุโต๊ะ</x:v>
      </x:c>
    </x:row>
    <x:row r="7" ht="62" customHeight="1">
      <x:c r="A7" s="2" t="str">
        <x:v>133_10</x:v>
      </x:c>
      <x:c r="B7" s="2" t="str">
        <x:v>133</x:v>
      </x:c>
      <x:c r="C7" s="2" t="n">
        <x:v>11</x:v>
      </x:c>
      <x:c r="D7" s="13" t="str">
        <x:v>table_no.</x:v>
      </x:c>
      <x:c r="E7" s="13" t="str">
        <x:v>16</x:v>
      </x:c>
      <x:c r="F7" s="13" t="str">
        <x:v>รหัสไม่ชัดตามคู่มือ</x:v>
      </x:c>
      <x:c r="G7" s="13" t="str">
        <x:v>เก็บรหัสเดิม; ไม่ระบุหน่วยโต๊ะที่ยืนยันแล้ว</x:v>
      </x:c>
      <x:c r="H7" s="13" t="str">
        <x:v>ใช้คิว/เวลานั่งได้ถ้าผ่านเกณฑ์; ยังไม่ใช้คำนวณความจุโต๊ะ</x:v>
      </x:c>
    </x:row>
    <x:row r="8" ht="62" customHeight="1">
      <x:c r="A8" s="2" t="str">
        <x:v>133_11</x:v>
      </x:c>
      <x:c r="B8" s="2" t="str">
        <x:v>133</x:v>
      </x:c>
      <x:c r="C8" s="2" t="n">
        <x:v>12</x:v>
      </x:c>
      <x:c r="D8" s="13" t="str">
        <x:v>table_no.</x:v>
      </x:c>
      <x:c r="E8" s="13" t="str">
        <x:v>6</x:v>
      </x:c>
      <x:c r="F8" s="13" t="str">
        <x:v>รหัสไม่ชัดตามคู่มือ</x:v>
      </x:c>
      <x:c r="G8" s="13" t="str">
        <x:v>เก็บรหัสเดิม; ไม่ระบุหน่วยโต๊ะที่ยืนยันแล้ว</x:v>
      </x:c>
      <x:c r="H8" s="13" t="str">
        <x:v>ใช้คิว/เวลานั่งได้ถ้าผ่านเกณฑ์; ยังไม่ใช้คำนวณความจุโต๊ะ</x:v>
      </x:c>
    </x:row>
    <x:row r="9" ht="62" customHeight="1">
      <x:c r="A9" s="2" t="str">
        <x:v>133_14</x:v>
      </x:c>
      <x:c r="B9" s="2" t="str">
        <x:v>133</x:v>
      </x:c>
      <x:c r="C9" s="2" t="n">
        <x:v>15</x:v>
      </x:c>
      <x:c r="D9" s="13" t="str">
        <x:v>table_no.</x:v>
      </x:c>
      <x:c r="E9" s="13" t="str">
        <x:v>1</x:v>
      </x:c>
      <x:c r="F9" s="13" t="str">
        <x:v>รหัสไม่ชัดตามคู่มือ</x:v>
      </x:c>
      <x:c r="G9" s="13" t="str">
        <x:v>เก็บรหัสเดิม; ไม่ระบุหน่วยโต๊ะที่ยืนยันแล้ว</x:v>
      </x:c>
      <x:c r="H9" s="13" t="str">
        <x:v>ใช้คิว/เวลานั่งได้ถ้าผ่านเกณฑ์; ยังไม่ใช้คำนวณความจุโต๊ะ</x:v>
      </x:c>
    </x:row>
    <x:row r="10" ht="62" customHeight="1">
      <x:c r="A10" s="2" t="str">
        <x:v>133_19</x:v>
      </x:c>
      <x:c r="B10" s="2" t="str">
        <x:v>133</x:v>
      </x:c>
      <x:c r="C10" s="2" t="n">
        <x:v>20</x:v>
      </x:c>
      <x:c r="D10" s="13" t="str">
        <x:v>table_no.</x:v>
      </x:c>
      <x:c r="E10" s="13" t="str">
        <x:v>15A</x:v>
      </x:c>
      <x:c r="F10" s="13" t="str">
        <x:v>รหัสไม่ชัดตามคู่มือ</x:v>
      </x:c>
      <x:c r="G10" s="13" t="str">
        <x:v>เก็บรหัสเดิม; ไม่ระบุหน่วยโต๊ะที่ยืนยันแล้ว</x:v>
      </x:c>
      <x:c r="H10" s="13" t="str">
        <x:v>ใช้คิว/เวลานั่งได้ถ้าผ่านเกณฑ์; ยังไม่ใช้คำนวณความจุโต๊ะ</x:v>
      </x:c>
    </x:row>
    <x:row r="11" ht="62" customHeight="1">
      <x:c r="A11" s="2" t="str">
        <x:v>133_21</x:v>
      </x:c>
      <x:c r="B11" s="2" t="str">
        <x:v>133</x:v>
      </x:c>
      <x:c r="C11" s="2" t="n">
        <x:v>22</x:v>
      </x:c>
      <x:c r="D11" s="13" t="str">
        <x:v>table_no.</x:v>
      </x:c>
      <x:c r="E11" s="13" t="str">
        <x:v>3</x:v>
      </x:c>
      <x:c r="F11" s="13" t="str">
        <x:v>รหัสไม่ชัดตามคู่มือ</x:v>
      </x:c>
      <x:c r="G11" s="13" t="str">
        <x:v>เก็บรหัสเดิม; ไม่ระบุหน่วยโต๊ะที่ยืนยันแล้ว</x:v>
      </x:c>
      <x:c r="H11" s="13" t="str">
        <x:v>ใช้คิว/เวลานั่งได้ถ้าผ่านเกณฑ์; ยังไม่ใช้คำนวณความจุโต๊ะ</x:v>
      </x:c>
    </x:row>
    <x:row r="12" ht="62" customHeight="1">
      <x:c r="A12" s="2" t="str">
        <x:v>133_22</x:v>
      </x:c>
      <x:c r="B12" s="2" t="str">
        <x:v>133</x:v>
      </x:c>
      <x:c r="C12" s="2" t="n">
        <x:v>23</x:v>
      </x:c>
      <x:c r="D12" s="13" t="str">
        <x:v>table_no.</x:v>
      </x:c>
      <x:c r="E12" s="13" t="str">
        <x:v>5</x:v>
      </x:c>
      <x:c r="F12" s="13" t="str">
        <x:v>รหัสไม่ชัดตามคู่มือ</x:v>
      </x:c>
      <x:c r="G12" s="13" t="str">
        <x:v>เก็บรหัสเดิม; ไม่ระบุหน่วยโต๊ะที่ยืนยันแล้ว</x:v>
      </x:c>
      <x:c r="H12" s="13" t="str">
        <x:v>ใช้คิว/เวลานั่งได้ถ้าผ่านเกณฑ์; ยังไม่ใช้คำนวณความจุโต๊ะ</x:v>
      </x:c>
    </x:row>
    <x:row r="13" ht="62" customHeight="1">
      <x:c r="A13" s="2" t="str">
        <x:v>133_23</x:v>
      </x:c>
      <x:c r="B13" s="2" t="str">
        <x:v>133</x:v>
      </x:c>
      <x:c r="C13" s="2" t="n">
        <x:v>24</x:v>
      </x:c>
      <x:c r="D13" s="13" t="str">
        <x:v>table_no.</x:v>
      </x:c>
      <x:c r="E13" s="13" t="str">
        <x:v>2</x:v>
      </x:c>
      <x:c r="F13" s="13" t="str">
        <x:v>รหัสไม่ชัดตามคู่มือ</x:v>
      </x:c>
      <x:c r="G13" s="13" t="str">
        <x:v>เก็บรหัสเดิม; ไม่ระบุหน่วยโต๊ะที่ยืนยันแล้ว</x:v>
      </x:c>
      <x:c r="H13" s="13" t="str">
        <x:v>ใช้คิว/เวลานั่งได้ถ้าผ่านเกณฑ์; ยังไม่ใช้คำนวณความจุโต๊ะ</x:v>
      </x:c>
    </x:row>
    <x:row r="14" ht="62" customHeight="1">
      <x:c r="A14" s="2" t="str">
        <x:v>133_26</x:v>
      </x:c>
      <x:c r="B14" s="2" t="str">
        <x:v>133</x:v>
      </x:c>
      <x:c r="C14" s="2" t="n">
        <x:v>27</x:v>
      </x:c>
      <x:c r="D14" s="13" t="str">
        <x:v>table_no.</x:v>
      </x:c>
      <x:c r="E14" s="13" t="str">
        <x:v>16</x:v>
      </x:c>
      <x:c r="F14" s="13" t="str">
        <x:v>รหัสไม่ชัดตามคู่มือ</x:v>
      </x:c>
      <x:c r="G14" s="13" t="str">
        <x:v>เก็บรหัสเดิม; ไม่ระบุหน่วยโต๊ะที่ยืนยันแล้ว</x:v>
      </x:c>
      <x:c r="H14" s="13" t="str">
        <x:v>ใช้คิว/เวลานั่งได้ถ้าผ่านเกณฑ์; ยังไม่ใช้คำนวณความจุโต๊ะ</x:v>
      </x:c>
    </x:row>
    <x:row r="15" ht="62" customHeight="1">
      <x:c r="A15" s="2" t="str">
        <x:v>133_30</x:v>
      </x:c>
      <x:c r="B15" s="2" t="str">
        <x:v>133</x:v>
      </x:c>
      <x:c r="C15" s="2" t="n">
        <x:v>31</x:v>
      </x:c>
      <x:c r="D15" s="13" t="str">
        <x:v>table_no.</x:v>
      </x:c>
      <x:c r="E15" s="13" t="str">
        <x:v>6</x:v>
      </x:c>
      <x:c r="F15" s="13" t="str">
        <x:v>รหัสไม่ชัดตามคู่มือ</x:v>
      </x:c>
      <x:c r="G15" s="13" t="str">
        <x:v>เก็บรหัสเดิม; ไม่ระบุหน่วยโต๊ะที่ยืนยันแล้ว</x:v>
      </x:c>
      <x:c r="H15" s="13" t="str">
        <x:v>ใช้คิว/เวลานั่งได้ถ้าผ่านเกณฑ์; ยังไม่ใช้คำนวณความจุโต๊ะ</x:v>
      </x:c>
    </x:row>
    <x:row r="16" ht="62" customHeight="1">
      <x:c r="A16" s="2" t="str">
        <x:v>133_31</x:v>
      </x:c>
      <x:c r="B16" s="2" t="str">
        <x:v>133</x:v>
      </x:c>
      <x:c r="C16" s="2" t="n">
        <x:v>32</x:v>
      </x:c>
      <x:c r="D16" s="13" t="str">
        <x:v>table_no.</x:v>
      </x:c>
      <x:c r="E16" s="13" t="str">
        <x:v>4</x:v>
      </x:c>
      <x:c r="F16" s="13" t="str">
        <x:v>รหัสไม่ชัดตามคู่มือ</x:v>
      </x:c>
      <x:c r="G16" s="13" t="str">
        <x:v>เก็บรหัสเดิม; ไม่ระบุหน่วยโต๊ะที่ยืนยันแล้ว</x:v>
      </x:c>
      <x:c r="H16" s="13" t="str">
        <x:v>ใช้คิว/เวลานั่งได้ถ้าผ่านเกณฑ์; ยังไม่ใช้คำนวณความจุโต๊ะ</x:v>
      </x:c>
    </x:row>
    <x:row r="17" ht="62" customHeight="1">
      <x:c r="A17" s="2" t="str">
        <x:v>133_33</x:v>
      </x:c>
      <x:c r="B17" s="2" t="str">
        <x:v>133</x:v>
      </x:c>
      <x:c r="C17" s="2" t="n">
        <x:v>34</x:v>
      </x:c>
      <x:c r="D17" s="13" t="str">
        <x:v>table_no.</x:v>
      </x:c>
      <x:c r="E17" s="13" t="str">
        <x:v>15A</x:v>
      </x:c>
      <x:c r="F17" s="13" t="str">
        <x:v>รหัสไม่ชัดตามคู่มือ</x:v>
      </x:c>
      <x:c r="G17" s="13" t="str">
        <x:v>เก็บรหัสเดิม; ไม่ระบุหน่วยโต๊ะที่ยืนยันแล้ว</x:v>
      </x:c>
      <x:c r="H17" s="13" t="str">
        <x:v>ใช้คิว/เวลานั่งได้ถ้าผ่านเกณฑ์; ยังไม่ใช้คำนวณความจุโต๊ะ</x:v>
      </x:c>
    </x:row>
    <x:row r="18" ht="62" customHeight="1">
      <x:c r="A18" s="2" t="str">
        <x:v>133_35</x:v>
      </x:c>
      <x:c r="B18" s="2" t="str">
        <x:v>133</x:v>
      </x:c>
      <x:c r="C18" s="2" t="n">
        <x:v>36</x:v>
      </x:c>
      <x:c r="D18" s="13" t="str">
        <x:v>table_no.</x:v>
      </x:c>
      <x:c r="E18" s="13" t="str">
        <x:v>8</x:v>
      </x:c>
      <x:c r="F18" s="13" t="str">
        <x:v>รหัสไม่ชัดตามคู่มือ</x:v>
      </x:c>
      <x:c r="G18" s="13" t="str">
        <x:v>เก็บรหัสเดิม; ไม่ระบุหน่วยโต๊ะที่ยืนยันแล้ว</x:v>
      </x:c>
      <x:c r="H18" s="13" t="str">
        <x:v>ใช้คิว/เวลานั่งได้ถ้าผ่านเกณฑ์; ยังไม่ใช้คำนวณความจุโต๊ะ</x:v>
      </x:c>
    </x:row>
    <x:row r="19" ht="62" customHeight="1">
      <x:c r="A19" s="2" t="str">
        <x:v>133_39</x:v>
      </x:c>
      <x:c r="B19" s="2" t="str">
        <x:v>133</x:v>
      </x:c>
      <x:c r="C19" s="2" t="n">
        <x:v>40</x:v>
      </x:c>
      <x:c r="D19" s="13" t="str">
        <x:v>table_no.</x:v>
      </x:c>
      <x:c r="E19" s="13" t="str">
        <x:v>1</x:v>
      </x:c>
      <x:c r="F19" s="13" t="str">
        <x:v>รหัสไม่ชัดตามคู่มือ</x:v>
      </x:c>
      <x:c r="G19" s="13" t="str">
        <x:v>เก็บรหัสเดิม; ไม่ระบุหน่วยโต๊ะที่ยืนยันแล้ว</x:v>
      </x:c>
      <x:c r="H19" s="13" t="str">
        <x:v>ใช้คิว/เวลานั่งได้ถ้าผ่านเกณฑ์; ยังไม่ใช้คำนวณความจุโต๊ะ</x:v>
      </x:c>
    </x:row>
    <x:row r="20" ht="62" customHeight="1">
      <x:c r="A20" s="2" t="str">
        <x:v>133_40</x:v>
      </x:c>
      <x:c r="B20" s="2" t="str">
        <x:v>133</x:v>
      </x:c>
      <x:c r="C20" s="2" t="n">
        <x:v>41</x:v>
      </x:c>
      <x:c r="D20" s="13" t="str">
        <x:v>table_no.</x:v>
      </x:c>
      <x:c r="E20" s="13" t="str">
        <x:v>5</x:v>
      </x:c>
      <x:c r="F20" s="13" t="str">
        <x:v>รหัสไม่ชัดตามคู่มือ</x:v>
      </x:c>
      <x:c r="G20" s="13" t="str">
        <x:v>เก็บรหัสเดิม; ไม่ระบุหน่วยโต๊ะที่ยืนยันแล้ว</x:v>
      </x:c>
      <x:c r="H20" s="13" t="str">
        <x:v>ใช้คิว/เวลานั่งได้ถ้าผ่านเกณฑ์; ยังไม่ใช้คำนวณความจุโต๊ะ</x:v>
      </x:c>
    </x:row>
    <x:row r="21" ht="62" customHeight="1">
      <x:c r="A21" s="2" t="str">
        <x:v>133_41</x:v>
      </x:c>
      <x:c r="B21" s="2" t="str">
        <x:v>133</x:v>
      </x:c>
      <x:c r="C21" s="2" t="n">
        <x:v>42</x:v>
      </x:c>
      <x:c r="D21" s="13" t="str">
        <x:v>table_no.</x:v>
      </x:c>
      <x:c r="E21" s="13" t="str">
        <x:v>6</x:v>
      </x:c>
      <x:c r="F21" s="13" t="str">
        <x:v>รหัสไม่ชัดตามคู่มือ</x:v>
      </x:c>
      <x:c r="G21" s="13" t="str">
        <x:v>เก็บรหัสเดิม; ไม่ระบุหน่วยโต๊ะที่ยืนยันแล้ว</x:v>
      </x:c>
      <x:c r="H21" s="13" t="str">
        <x:v>ใช้คิว/เวลานั่งได้ถ้าผ่านเกณฑ์; ยังไม่ใช้คำนวณความจุโต๊ะ</x:v>
      </x:c>
    </x:row>
    <x:row r="22" ht="62" customHeight="1">
      <x:c r="A22" s="2" t="str">
        <x:v>133_43</x:v>
      </x:c>
      <x:c r="B22" s="2" t="str">
        <x:v>133</x:v>
      </x:c>
      <x:c r="C22" s="2" t="n">
        <x:v>44</x:v>
      </x:c>
      <x:c r="D22" s="13" t="str">
        <x:v>table_no.</x:v>
      </x:c>
      <x:c r="E22" s="13" t="str">
        <x:v>16</x:v>
      </x:c>
      <x:c r="F22" s="13" t="str">
        <x:v>รหัสไม่ชัดตามคู่มือ</x:v>
      </x:c>
      <x:c r="G22" s="13" t="str">
        <x:v>เก็บรหัสเดิม; ไม่ระบุหน่วยโต๊ะที่ยืนยันแล้ว</x:v>
      </x:c>
      <x:c r="H22" s="13" t="str">
        <x:v>ใช้คิว/เวลานั่งได้ถ้าผ่านเกณฑ์; ยังไม่ใช้คำนวณความจุโต๊ะ</x:v>
      </x:c>
    </x:row>
    <x:row r="23" ht="62" customHeight="1">
      <x:c r="A23" s="2" t="str">
        <x:v>133_48</x:v>
      </x:c>
      <x:c r="B23" s="2" t="str">
        <x:v>133</x:v>
      </x:c>
      <x:c r="C23" s="2" t="n">
        <x:v>49</x:v>
      </x:c>
      <x:c r="D23" s="13" t="str">
        <x:v>table_no.</x:v>
      </x:c>
      <x:c r="E23" s="13" t="str">
        <x:v>4</x:v>
      </x:c>
      <x:c r="F23" s="13" t="str">
        <x:v>รหัสไม่ชัดตามคู่มือ</x:v>
      </x:c>
      <x:c r="G23" s="13" t="str">
        <x:v>เก็บรหัสเดิม; ไม่ระบุหน่วยโต๊ะที่ยืนยันแล้ว</x:v>
      </x:c>
      <x:c r="H23" s="13" t="str">
        <x:v>ใช้คิว/เวลานั่งได้ถ้าผ่านเกณฑ์; ยังไม่ใช้คำนวณความจุโต๊ะ</x:v>
      </x:c>
    </x:row>
    <x:row r="24" ht="62" customHeight="1">
      <x:c r="A24" s="2" t="str">
        <x:v>133_49</x:v>
      </x:c>
      <x:c r="B24" s="2" t="str">
        <x:v>133</x:v>
      </x:c>
      <x:c r="C24" s="2" t="n">
        <x:v>50</x:v>
      </x:c>
      <x:c r="D24" s="13" t="str">
        <x:v>table_no.</x:v>
      </x:c>
      <x:c r="E24" s="13" t="str">
        <x:v>2</x:v>
      </x:c>
      <x:c r="F24" s="13" t="str">
        <x:v>รหัสไม่ชัดตามคู่มือ</x:v>
      </x:c>
      <x:c r="G24" s="13" t="str">
        <x:v>เก็บรหัสเดิม; ไม่ระบุหน่วยโต๊ะที่ยืนยันแล้ว</x:v>
      </x:c>
      <x:c r="H24" s="13" t="str">
        <x:v>ใช้คิว/เวลานั่งได้ถ้าผ่านเกณฑ์; ยังไม่ใช้คำนวณความจุโต๊ะ</x:v>
      </x:c>
    </x:row>
    <x:row r="25" ht="62" customHeight="1">
      <x:c r="A25" s="2" t="str">
        <x:v>133_50</x:v>
      </x:c>
      <x:c r="B25" s="2" t="str">
        <x:v>133</x:v>
      </x:c>
      <x:c r="C25" s="2" t="n">
        <x:v>51</x:v>
      </x:c>
      <x:c r="D25" s="13" t="str">
        <x:v>table_no.</x:v>
      </x:c>
      <x:c r="E25" s="13" t="str">
        <x:v>6</x:v>
      </x:c>
      <x:c r="F25" s="13" t="str">
        <x:v>รหัสไม่ชัดตามคู่มือ</x:v>
      </x:c>
      <x:c r="G25" s="13" t="str">
        <x:v>เก็บรหัสเดิม; ไม่ระบุหน่วยโต๊ะที่ยืนยันแล้ว</x:v>
      </x:c>
      <x:c r="H25" s="13" t="str">
        <x:v>ใช้คิว/เวลานั่งได้ถ้าผ่านเกณฑ์; ยังไม่ใช้คำนวณความจุโต๊ะ</x:v>
      </x:c>
    </x:row>
    <x:row r="26" ht="62" customHeight="1">
      <x:c r="A26" s="2" t="str">
        <x:v>133_51</x:v>
      </x:c>
      <x:c r="B26" s="2" t="str">
        <x:v>133</x:v>
      </x:c>
      <x:c r="C26" s="2" t="n">
        <x:v>52</x:v>
      </x:c>
      <x:c r="D26" s="13" t="str">
        <x:v>table_no.</x:v>
      </x:c>
      <x:c r="E26" s="13" t="str">
        <x:v>5</x:v>
      </x:c>
      <x:c r="F26" s="13" t="str">
        <x:v>รหัสไม่ชัดตามคู่มือ</x:v>
      </x:c>
      <x:c r="G26" s="13" t="str">
        <x:v>เก็บรหัสเดิม; ไม่ระบุหน่วยโต๊ะที่ยืนยันแล้ว</x:v>
      </x:c>
      <x:c r="H26" s="13" t="str">
        <x:v>ใช้คิว/เวลานั่งได้ถ้าผ่านเกณฑ์; ยังไม่ใช้คำนวณความจุโต๊ะ</x:v>
      </x:c>
    </x:row>
    <x:row r="27" ht="62" customHeight="1">
      <x:c r="A27" s="2" t="str">
        <x:v>133_52</x:v>
      </x:c>
      <x:c r="B27" s="2" t="str">
        <x:v>133</x:v>
      </x:c>
      <x:c r="C27" s="2" t="n">
        <x:v>53</x:v>
      </x:c>
      <x:c r="D27" s="13" t="str">
        <x:v>table_no.</x:v>
      </x:c>
      <x:c r="E27" s="13" t="str">
        <x:v>9</x:v>
      </x:c>
      <x:c r="F27" s="13" t="str">
        <x:v>รหัสไม่ชัดตามคู่มือ</x:v>
      </x:c>
      <x:c r="G27" s="13" t="str">
        <x:v>เก็บรหัสเดิม; ไม่ระบุหน่วยโต๊ะที่ยืนยันแล้ว</x:v>
      </x:c>
      <x:c r="H27" s="13" t="str">
        <x:v>ใช้คิว/เวลานั่งได้ถ้าผ่านเกณฑ์; ยังไม่ใช้คำนวณความจุโต๊ะ</x:v>
      </x:c>
    </x:row>
    <x:row r="28" ht="62" customHeight="1">
      <x:c r="A28" s="2" t="str">
        <x:v>133_53</x:v>
      </x:c>
      <x:c r="B28" s="2" t="str">
        <x:v>133</x:v>
      </x:c>
      <x:c r="C28" s="2" t="n">
        <x:v>54</x:v>
      </x:c>
      <x:c r="D28" s="13" t="str">
        <x:v>table_no.</x:v>
      </x:c>
      <x:c r="E28" s="13" t="str">
        <x:v>1</x:v>
      </x:c>
      <x:c r="F28" s="13" t="str">
        <x:v>รหัสไม่ชัดตามคู่มือ</x:v>
      </x:c>
      <x:c r="G28" s="13" t="str">
        <x:v>เก็บรหัสเดิม; ไม่ระบุหน่วยโต๊ะที่ยืนยันแล้ว</x:v>
      </x:c>
      <x:c r="H28" s="13" t="str">
        <x:v>ใช้คิว/เวลานั่งได้ถ้าผ่านเกณฑ์; ยังไม่ใช้คำนวณความจุโต๊ะ</x:v>
      </x:c>
    </x:row>
    <x:row r="29" ht="62" customHeight="1">
      <x:c r="A29" s="2" t="str">
        <x:v>133_54</x:v>
      </x:c>
      <x:c r="B29" s="2" t="str">
        <x:v>133</x:v>
      </x:c>
      <x:c r="C29" s="2" t="n">
        <x:v>55</x:v>
      </x:c>
      <x:c r="D29" s="13" t="str">
        <x:v>table_no.</x:v>
      </x:c>
      <x:c r="E29" s="13" t="str">
        <x:v>4</x:v>
      </x:c>
      <x:c r="F29" s="13" t="str">
        <x:v>รหัสไม่ชัดตามคู่มือ</x:v>
      </x:c>
      <x:c r="G29" s="13" t="str">
        <x:v>เก็บรหัสเดิม; ไม่ระบุหน่วยโต๊ะที่ยืนยันแล้ว</x:v>
      </x:c>
      <x:c r="H29" s="13" t="str">
        <x:v>ใช้คิว/เวลานั่งได้ถ้าผ่านเกณฑ์; ยังไม่ใช้คำนวณความจุโต๊ะ</x:v>
      </x:c>
    </x:row>
    <x:row r="30" ht="62" customHeight="1">
      <x:c r="A30" s="2" t="str">
        <x:v>133_55</x:v>
      </x:c>
      <x:c r="B30" s="2" t="str">
        <x:v>133</x:v>
      </x:c>
      <x:c r="C30" s="2" t="n">
        <x:v>56</x:v>
      </x:c>
      <x:c r="D30" s="13" t="str">
        <x:v>table_no.</x:v>
      </x:c>
      <x:c r="E30" s="13" t="str">
        <x:v>16</x:v>
      </x:c>
      <x:c r="F30" s="13" t="str">
        <x:v>รหัสไม่ชัดตามคู่มือ</x:v>
      </x:c>
      <x:c r="G30" s="13" t="str">
        <x:v>เก็บรหัสเดิม; ไม่ระบุหน่วยโต๊ะที่ยืนยันแล้ว</x:v>
      </x:c>
      <x:c r="H30" s="13" t="str">
        <x:v>ใช้คิว/เวลานั่งได้ถ้าผ่านเกณฑ์; ยังไม่ใช้คำนวณความจุโต๊ะ</x:v>
      </x:c>
    </x:row>
    <x:row r="31" ht="62" customHeight="1">
      <x:c r="A31" s="2" t="str">
        <x:v>133_56</x:v>
      </x:c>
      <x:c r="B31" s="2" t="str">
        <x:v>133</x:v>
      </x:c>
      <x:c r="C31" s="2" t="n">
        <x:v>57</x:v>
      </x:c>
      <x:c r="D31" s="13" t="str">
        <x:v>table_no.</x:v>
      </x:c>
      <x:c r="E31" s="13" t="str">
        <x:v>3</x:v>
      </x:c>
      <x:c r="F31" s="13" t="str">
        <x:v>รหัสไม่ชัดตามคู่มือ</x:v>
      </x:c>
      <x:c r="G31" s="13" t="str">
        <x:v>เก็บรหัสเดิม; ไม่ระบุหน่วยโต๊ะที่ยืนยันแล้ว</x:v>
      </x:c>
      <x:c r="H31" s="13" t="str">
        <x:v>ใช้คิว/เวลานั่งได้ถ้าผ่านเกณฑ์; ยังไม่ใช้คำนวณความจุโต๊ะ</x:v>
      </x:c>
    </x:row>
    <x:row r="32" ht="62" customHeight="1">
      <x:c r="A32" s="2" t="str">
        <x:v>133_57</x:v>
      </x:c>
      <x:c r="B32" s="2" t="str">
        <x:v>133</x:v>
      </x:c>
      <x:c r="C32" s="2" t="n">
        <x:v>58</x:v>
      </x:c>
      <x:c r="D32" s="13" t="str">
        <x:v>table_no.</x:v>
      </x:c>
      <x:c r="E32" s="13" t="str">
        <x:v>2</x:v>
      </x:c>
      <x:c r="F32" s="13" t="str">
        <x:v>รหัสไม่ชัดตามคู่มือ</x:v>
      </x:c>
      <x:c r="G32" s="13" t="str">
        <x:v>เก็บรหัสเดิม; ไม่ระบุหน่วยโต๊ะที่ยืนยันแล้ว</x:v>
      </x:c>
      <x:c r="H32" s="13" t="str">
        <x:v>ใช้คิว/เวลานั่งได้ถ้าผ่านเกณฑ์; ยังไม่ใช้คำนวณความจุโต๊ะ</x:v>
      </x:c>
    </x:row>
    <x:row r="33" ht="62" customHeight="1">
      <x:c r="A33" s="2" t="str">
        <x:v>143_5</x:v>
      </x:c>
      <x:c r="B33" s="2" t="str">
        <x:v>143</x:v>
      </x:c>
      <x:c r="C33" s="2" t="n">
        <x:v>6</x:v>
      </x:c>
      <x:c r="D33" s="13" t="str">
        <x:v>table_no.</x:v>
      </x:c>
      <x:c r="E33" s="13" t="str">
        <x:v>16</x:v>
      </x:c>
      <x:c r="F33" s="13" t="str">
        <x:v>รหัสไม่ชัดตามคู่มือ</x:v>
      </x:c>
      <x:c r="G33" s="13" t="str">
        <x:v>เก็บรหัสเดิม; ไม่ระบุหน่วยโต๊ะที่ยืนยันแล้ว</x:v>
      </x:c>
      <x:c r="H33" s="13" t="str">
        <x:v>ใช้คิว/เวลานั่งได้ถ้าผ่านเกณฑ์; ยังไม่ใช้คำนวณความจุโต๊ะ</x:v>
      </x:c>
    </x:row>
    <x:row r="34" ht="62" customHeight="1">
      <x:c r="A34" s="2" t="str">
        <x:v>143_6</x:v>
      </x:c>
      <x:c r="B34" s="2" t="str">
        <x:v>143</x:v>
      </x:c>
      <x:c r="C34" s="2" t="n">
        <x:v>7</x:v>
      </x:c>
      <x:c r="D34" s="13" t="str">
        <x:v>table_no.</x:v>
      </x:c>
      <x:c r="E34" s="13" t="str">
        <x:v>3</x:v>
      </x:c>
      <x:c r="F34" s="13" t="str">
        <x:v>รหัสไม่ชัดตามคู่มือ</x:v>
      </x:c>
      <x:c r="G34" s="13" t="str">
        <x:v>เก็บรหัสเดิม; ไม่ระบุหน่วยโต๊ะที่ยืนยันแล้ว</x:v>
      </x:c>
      <x:c r="H34" s="13" t="str">
        <x:v>ใช้คิว/เวลานั่งได้ถ้าผ่านเกณฑ์; ยังไม่ใช้คำนวณความจุโต๊ะ</x:v>
      </x:c>
    </x:row>
    <x:row r="35" ht="62" customHeight="1">
      <x:c r="A35" s="2" t="str">
        <x:v>143_7</x:v>
      </x:c>
      <x:c r="B35" s="2" t="str">
        <x:v>143</x:v>
      </x:c>
      <x:c r="C35" s="2" t="n">
        <x:v>8</x:v>
      </x:c>
      <x:c r="D35" s="13" t="str">
        <x:v>table_no.</x:v>
      </x:c>
      <x:c r="E35" s="13" t="str">
        <x:v>6</x:v>
      </x:c>
      <x:c r="F35" s="13" t="str">
        <x:v>รหัสไม่ชัดตามคู่มือ</x:v>
      </x:c>
      <x:c r="G35" s="13" t="str">
        <x:v>เก็บรหัสเดิม; ไม่ระบุหน่วยโต๊ะที่ยืนยันแล้ว</x:v>
      </x:c>
      <x:c r="H35" s="13" t="str">
        <x:v>ใช้คิว/เวลานั่งได้ถ้าผ่านเกณฑ์; ยังไม่ใช้คำนวณความจุโต๊ะ</x:v>
      </x:c>
    </x:row>
    <x:row r="36" ht="62" customHeight="1">
      <x:c r="A36" s="2" t="str">
        <x:v>143_8</x:v>
      </x:c>
      <x:c r="B36" s="2" t="str">
        <x:v>143</x:v>
      </x:c>
      <x:c r="C36" s="2" t="n">
        <x:v>9</x:v>
      </x:c>
      <x:c r="D36" s="13" t="str">
        <x:v>table_no.</x:v>
      </x:c>
      <x:c r="E36" s="13" t="str">
        <x:v>11</x:v>
      </x:c>
      <x:c r="F36" s="13" t="str">
        <x:v>รหัสไม่ชัดตามคู่มือ</x:v>
      </x:c>
      <x:c r="G36" s="13" t="str">
        <x:v>เก็บรหัสเดิม; ไม่ระบุหน่วยโต๊ะที่ยืนยันแล้ว</x:v>
      </x:c>
      <x:c r="H36" s="13" t="str">
        <x:v>ใช้คิว/เวลานั่งได้ถ้าผ่านเกณฑ์; ยังไม่ใช้คำนวณความจุโต๊ะ</x:v>
      </x:c>
    </x:row>
    <x:row r="37" ht="62" customHeight="1">
      <x:c r="A37" s="2" t="str">
        <x:v>143_11</x:v>
      </x:c>
      <x:c r="B37" s="2" t="str">
        <x:v>143</x:v>
      </x:c>
      <x:c r="C37" s="2" t="n">
        <x:v>12</x:v>
      </x:c>
      <x:c r="D37" s="13" t="str">
        <x:v>table_no.</x:v>
      </x:c>
      <x:c r="E37" s="13" t="str">
        <x:v>11</x:v>
      </x:c>
      <x:c r="F37" s="13" t="str">
        <x:v>รหัสไม่ชัดตามคู่มือ</x:v>
      </x:c>
      <x:c r="G37" s="13" t="str">
        <x:v>เก็บรหัสเดิม; ไม่ระบุหน่วยโต๊ะที่ยืนยันแล้ว</x:v>
      </x:c>
      <x:c r="H37" s="13" t="str">
        <x:v>ใช้คิว/เวลานั่งได้ถ้าผ่านเกณฑ์; ยังไม่ใช้คำนวณความจุโต๊ะ</x:v>
      </x:c>
    </x:row>
    <x:row r="38" ht="62" customHeight="1">
      <x:c r="A38" s="2" t="str">
        <x:v>143_21</x:v>
      </x:c>
      <x:c r="B38" s="2" t="str">
        <x:v>143</x:v>
      </x:c>
      <x:c r="C38" s="2" t="n">
        <x:v>22</x:v>
      </x:c>
      <x:c r="D38" s="13" t="str">
        <x:v>table_no.</x:v>
      </x:c>
      <x:c r="E38" s="13" t="str">
        <x:v>16</x:v>
      </x:c>
      <x:c r="F38" s="13" t="str">
        <x:v>รหัสไม่ชัดตามคู่มือ</x:v>
      </x:c>
      <x:c r="G38" s="13" t="str">
        <x:v>เก็บรหัสเดิม; ไม่ระบุหน่วยโต๊ะที่ยืนยันแล้ว</x:v>
      </x:c>
      <x:c r="H38" s="13" t="str">
        <x:v>ใช้คิว/เวลานั่งได้ถ้าผ่านเกณฑ์; ยังไม่ใช้คำนวณความจุโต๊ะ</x:v>
      </x:c>
    </x:row>
    <x:row r="39" ht="62" customHeight="1">
      <x:c r="A39" s="2" t="str">
        <x:v>143_22</x:v>
      </x:c>
      <x:c r="B39" s="2" t="str">
        <x:v>143</x:v>
      </x:c>
      <x:c r="C39" s="2" t="n">
        <x:v>23</x:v>
      </x:c>
      <x:c r="D39" s="13" t="str">
        <x:v>table_no.</x:v>
      </x:c>
      <x:c r="E39" s="13" t="str">
        <x:v>11</x:v>
      </x:c>
      <x:c r="F39" s="13" t="str">
        <x:v>รหัสไม่ชัดตามคู่มือ</x:v>
      </x:c>
      <x:c r="G39" s="13" t="str">
        <x:v>เก็บรหัสเดิม; ไม่ระบุหน่วยโต๊ะที่ยืนยันแล้ว</x:v>
      </x:c>
      <x:c r="H39" s="13" t="str">
        <x:v>ใช้คิว/เวลานั่งได้ถ้าผ่านเกณฑ์; ยังไม่ใช้คำนวณความจุโต๊ะ</x:v>
      </x:c>
    </x:row>
    <x:row r="40" ht="62" customHeight="1">
      <x:c r="A40" s="2" t="str">
        <x:v>143_26</x:v>
      </x:c>
      <x:c r="B40" s="2" t="str">
        <x:v>143</x:v>
      </x:c>
      <x:c r="C40" s="2" t="n">
        <x:v>27</x:v>
      </x:c>
      <x:c r="D40" s="13" t="str">
        <x:v>table_no.</x:v>
      </x:c>
      <x:c r="E40" s="13" t="str">
        <x:v>2</x:v>
      </x:c>
      <x:c r="F40" s="13" t="str">
        <x:v>รหัสไม่ชัดตามคู่มือ</x:v>
      </x:c>
      <x:c r="G40" s="13" t="str">
        <x:v>เก็บรหัสเดิม; ไม่ระบุหน่วยโต๊ะที่ยืนยันแล้ว</x:v>
      </x:c>
      <x:c r="H40" s="13" t="str">
        <x:v>ใช้คิว/เวลานั่งได้ถ้าผ่านเกณฑ์; ยังไม่ใช้คำนวณความจุโต๊ะ</x:v>
      </x:c>
    </x:row>
    <x:row r="41" ht="62" customHeight="1">
      <x:c r="A41" s="2" t="str">
        <x:v>143_32</x:v>
      </x:c>
      <x:c r="B41" s="2" t="str">
        <x:v>143</x:v>
      </x:c>
      <x:c r="C41" s="2" t="n">
        <x:v>33</x:v>
      </x:c>
      <x:c r="D41" s="13" t="str">
        <x:v>table_no.</x:v>
      </x:c>
      <x:c r="E41" s="13" t="str">
        <x:v>16</x:v>
      </x:c>
      <x:c r="F41" s="13" t="str">
        <x:v>รหัสไม่ชัดตามคู่มือ</x:v>
      </x:c>
      <x:c r="G41" s="13" t="str">
        <x:v>เก็บรหัสเดิม; ไม่ระบุหน่วยโต๊ะที่ยืนยันแล้ว</x:v>
      </x:c>
      <x:c r="H41" s="13" t="str">
        <x:v>ใช้คิว/เวลานั่งได้ถ้าผ่านเกณฑ์; ยังไม่ใช้คำนวณความจุโต๊ะ</x:v>
      </x:c>
    </x:row>
    <x:row r="42" ht="62" customHeight="1">
      <x:c r="A42" s="2" t="str">
        <x:v>143_33</x:v>
      </x:c>
      <x:c r="B42" s="2" t="str">
        <x:v>143</x:v>
      </x:c>
      <x:c r="C42" s="2" t="n">
        <x:v>34</x:v>
      </x:c>
      <x:c r="D42" s="13" t="str">
        <x:v>table_no.</x:v>
      </x:c>
      <x:c r="E42" s="13" t="str">
        <x:v>6</x:v>
      </x:c>
      <x:c r="F42" s="13" t="str">
        <x:v>รหัสไม่ชัดตามคู่มือ</x:v>
      </x:c>
      <x:c r="G42" s="13" t="str">
        <x:v>เก็บรหัสเดิม; ไม่ระบุหน่วยโต๊ะที่ยืนยันแล้ว</x:v>
      </x:c>
      <x:c r="H42" s="13" t="str">
        <x:v>ใช้คิว/เวลานั่งได้ถ้าผ่านเกณฑ์; ยังไม่ใช้คำนวณความจุโต๊ะ</x:v>
      </x:c>
    </x:row>
    <x:row r="43" ht="62" customHeight="1">
      <x:c r="A43" s="2" t="str">
        <x:v>143_67</x:v>
      </x:c>
      <x:c r="B43" s="2" t="str">
        <x:v>143</x:v>
      </x:c>
      <x:c r="C43" s="2" t="n">
        <x:v>68</x:v>
      </x:c>
      <x:c r="D43" s="13" t="str">
        <x:v>table_no.</x:v>
      </x:c>
      <x:c r="E43" s="13" t="str">
        <x:v>6</x:v>
      </x:c>
      <x:c r="F43" s="13" t="str">
        <x:v>รหัสไม่ชัดตามคู่มือ</x:v>
      </x:c>
      <x:c r="G43" s="13" t="str">
        <x:v>เก็บรหัสเดิม; ไม่ระบุหน่วยโต๊ะที่ยืนยันแล้ว</x:v>
      </x:c>
      <x:c r="H43" s="13" t="str">
        <x:v>ใช้คิว/เวลานั่งได้ถ้าผ่านเกณฑ์; ยังไม่ใช้คำนวณความจุโต๊ะ</x:v>
      </x:c>
    </x:row>
    <x:row r="44" ht="62" customHeight="1">
      <x:c r="A44" s="2" t="str">
        <x:v>143_71</x:v>
      </x:c>
      <x:c r="B44" s="2" t="str">
        <x:v>143</x:v>
      </x:c>
      <x:c r="C44" s="2" t="n">
        <x:v>72</x:v>
      </x:c>
      <x:c r="D44" s="13" t="str">
        <x:v>table_no.</x:v>
      </x:c>
      <x:c r="E44" s="13" t="str">
        <x:v>11</x:v>
      </x:c>
      <x:c r="F44" s="13" t="str">
        <x:v>รหัสไม่ชัดตามคู่มือ</x:v>
      </x:c>
      <x:c r="G44" s="13" t="str">
        <x:v>เก็บรหัสเดิม; ไม่ระบุหน่วยโต๊ะที่ยืนยันแล้ว</x:v>
      </x:c>
      <x:c r="H44" s="13" t="str">
        <x:v>ใช้คิว/เวลานั่งได้ถ้าผ่านเกณฑ์; ยังไม่ใช้คำนวณความจุโต๊ะ</x:v>
      </x:c>
    </x:row>
    <x:row r="45" ht="62" customHeight="1">
      <x:c r="A45" s="2" t="str">
        <x:v>143_73</x:v>
      </x:c>
      <x:c r="B45" s="2" t="str">
        <x:v>143</x:v>
      </x:c>
      <x:c r="C45" s="2" t="n">
        <x:v>74</x:v>
      </x:c>
      <x:c r="D45" s="13" t="str">
        <x:v>table_no.</x:v>
      </x:c>
      <x:c r="E45" s="13" t="str">
        <x:v>16</x:v>
      </x:c>
      <x:c r="F45" s="13" t="str">
        <x:v>รหัสไม่ชัดตามคู่มือ</x:v>
      </x:c>
      <x:c r="G45" s="13" t="str">
        <x:v>เก็บรหัสเดิม; ไม่ระบุหน่วยโต๊ะที่ยืนยันแล้ว</x:v>
      </x:c>
      <x:c r="H45" s="13" t="str">
        <x:v>ใช้คิว/เวลานั่งได้ถ้าผ่านเกณฑ์; ยังไม่ใช้คำนวณความจุโต๊ะ</x:v>
      </x:c>
    </x:row>
    <x:row r="46" ht="62" customHeight="1">
      <x:c r="A46" s="2" t="str">
        <x:v>143_79</x:v>
      </x:c>
      <x:c r="B46" s="2" t="str">
        <x:v>143</x:v>
      </x:c>
      <x:c r="C46" s="2" t="n">
        <x:v>80</x:v>
      </x:c>
      <x:c r="D46" s="13" t="str">
        <x:v>table_no.</x:v>
      </x:c>
      <x:c r="E46" s="13" t="str">
        <x:v>16</x:v>
      </x:c>
      <x:c r="F46" s="13" t="str">
        <x:v>รหัสไม่ชัดตามคู่มือ</x:v>
      </x:c>
      <x:c r="G46" s="13" t="str">
        <x:v>เก็บรหัสเดิม; ไม่ระบุหน่วยโต๊ะที่ยืนยันแล้ว</x:v>
      </x:c>
      <x:c r="H46" s="13" t="str">
        <x:v>ใช้คิว/เวลานั่งได้ถ้าผ่านเกณฑ์; ยังไม่ใช้คำนวณความจุโต๊ะ</x:v>
      </x:c>
    </x:row>
    <x:row r="47" ht="62" customHeight="1">
      <x:c r="A47" s="2" t="str">
        <x:v>143_81</x:v>
      </x:c>
      <x:c r="B47" s="2" t="str">
        <x:v>143</x:v>
      </x:c>
      <x:c r="C47" s="2" t="n">
        <x:v>82</x:v>
      </x:c>
      <x:c r="D47" s="13" t="str">
        <x:v>table_no.</x:v>
      </x:c>
      <x:c r="E47" s="13" t="str">
        <x:v>6</x:v>
      </x:c>
      <x:c r="F47" s="13" t="str">
        <x:v>รหัสไม่ชัดตามคู่มือ</x:v>
      </x:c>
      <x:c r="G47" s="13" t="str">
        <x:v>เก็บรหัสเดิม; ไม่ระบุหน่วยโต๊ะที่ยืนยันแล้ว</x:v>
      </x:c>
      <x:c r="H47" s="13" t="str">
        <x:v>ใช้คิว/เวลานั่งได้ถ้าผ่านเกณฑ์; ยังไม่ใช้คำนวณความจุโต๊ะ</x:v>
      </x:c>
    </x:row>
    <x:row r="48" ht="62" customHeight="1">
      <x:c r="A48" s="2" t="str">
        <x:v>153_2</x:v>
      </x:c>
      <x:c r="B48" s="2" t="str">
        <x:v>153</x:v>
      </x:c>
      <x:c r="C48" s="2" t="n">
        <x:v>3</x:v>
      </x:c>
      <x:c r="D48" s="13" t="str">
        <x:v>table_no.</x:v>
      </x:c>
      <x:c r="E48" s="13" t="str">
        <x:v>1</x:v>
      </x:c>
      <x:c r="F48" s="13" t="str">
        <x:v>รหัสไม่ชัดตามคู่มือ</x:v>
      </x:c>
      <x:c r="G48" s="13" t="str">
        <x:v>เก็บรหัสเดิม; ไม่ระบุหน่วยโต๊ะที่ยืนยันแล้ว</x:v>
      </x:c>
      <x:c r="H48" s="13" t="str">
        <x:v>ใช้คิว/เวลานั่งได้ถ้าผ่านเกณฑ์; ยังไม่ใช้คำนวณความจุโต๊ะ</x:v>
      </x:c>
    </x:row>
    <x:row r="49" ht="62" customHeight="1">
      <x:c r="A49" s="2" t="str">
        <x:v>153_7</x:v>
      </x:c>
      <x:c r="B49" s="2" t="str">
        <x:v>153</x:v>
      </x:c>
      <x:c r="C49" s="2" t="n">
        <x:v>8</x:v>
      </x:c>
      <x:c r="D49" s="13" t="str">
        <x:v>pax</x:v>
      </x:c>
      <x:c r="E49" s="13" t="str">
        <x:v>0.0</x:v>
      </x:c>
      <x:c r="F49" s="13" t="str">
        <x:v>จำนวนคนเป็นศูนย์หรือหาย</x:v>
      </x:c>
      <x:c r="G49" s="13" t="str">
        <x:v>pax_clean ว่าง; pax_eligible = 0</x:v>
      </x:c>
      <x:c r="H49" s="13" t="str">
        <x:v>ยังใช้วิเคราะห์ระดับกลุ่มและคิวได้เมื่อเวลาถูกต้อง</x:v>
      </x:c>
    </x:row>
    <x:row r="50" ht="62" customHeight="1">
      <x:c r="A50" s="2" t="str">
        <x:v>153_8</x:v>
      </x:c>
      <x:c r="B50" s="2" t="str">
        <x:v>153</x:v>
      </x:c>
      <x:c r="C50" s="2" t="n">
        <x:v>9</x:v>
      </x:c>
      <x:c r="D50" s="13" t="str">
        <x:v>table_no.</x:v>
      </x:c>
      <x:c r="E50" s="13" t="str">
        <x:v>6</x:v>
      </x:c>
      <x:c r="F50" s="13" t="str">
        <x:v>รหัสไม่ชัดตามคู่มือ</x:v>
      </x:c>
      <x:c r="G50" s="13" t="str">
        <x:v>เก็บรหัสเดิม; ไม่ระบุหน่วยโต๊ะที่ยืนยันแล้ว</x:v>
      </x:c>
      <x:c r="H50" s="13" t="str">
        <x:v>ใช้คิว/เวลานั่งได้ถ้าผ่านเกณฑ์; ยังไม่ใช้คำนวณความจุโต๊ะ</x:v>
      </x:c>
    </x:row>
    <x:row r="51" ht="62" customHeight="1">
      <x:c r="A51" s="2" t="str">
        <x:v>153_10</x:v>
      </x:c>
      <x:c r="B51" s="2" t="str">
        <x:v>153</x:v>
      </x:c>
      <x:c r="C51" s="2" t="n">
        <x:v>11</x:v>
      </x:c>
      <x:c r="D51" s="13" t="str">
        <x:v>table_no.</x:v>
      </x:c>
      <x:c r="E51" s="13" t="str">
        <x:v>2</x:v>
      </x:c>
      <x:c r="F51" s="13" t="str">
        <x:v>รหัสไม่ชัดตามคู่มือ</x:v>
      </x:c>
      <x:c r="G51" s="13" t="str">
        <x:v>เก็บรหัสเดิม; ไม่ระบุหน่วยโต๊ะที่ยืนยันแล้ว</x:v>
      </x:c>
      <x:c r="H51" s="13" t="str">
        <x:v>ใช้คิว/เวลานั่งได้ถ้าผ่านเกณฑ์; ยังไม่ใช้คำนวณความจุโต๊ะ</x:v>
      </x:c>
    </x:row>
    <x:row r="52" ht="62" customHeight="1">
      <x:c r="A52" s="2" t="str">
        <x:v>153_12</x:v>
      </x:c>
      <x:c r="B52" s="2" t="str">
        <x:v>153</x:v>
      </x:c>
      <x:c r="C52" s="2" t="n">
        <x:v>13</x:v>
      </x:c>
      <x:c r="D52" s="13" t="str">
        <x:v>table_no.</x:v>
      </x:c>
      <x:c r="E52" s="13" t="str">
        <x:v>16</x:v>
      </x:c>
      <x:c r="F52" s="13" t="str">
        <x:v>รหัสไม่ชัดตามคู่มือ</x:v>
      </x:c>
      <x:c r="G52" s="13" t="str">
        <x:v>เก็บรหัสเดิม; ไม่ระบุหน่วยโต๊ะที่ยืนยันแล้ว</x:v>
      </x:c>
      <x:c r="H52" s="13" t="str">
        <x:v>ใช้คิว/เวลานั่งได้ถ้าผ่านเกณฑ์; ยังไม่ใช้คำนวณความจุโต๊ะ</x:v>
      </x:c>
    </x:row>
    <x:row r="53" ht="62" customHeight="1">
      <x:c r="A53" s="2" t="str">
        <x:v>153_21</x:v>
      </x:c>
      <x:c r="B53" s="2" t="str">
        <x:v>153</x:v>
      </x:c>
      <x:c r="C53" s="2" t="n">
        <x:v>22</x:v>
      </x:c>
      <x:c r="D53" s="13" t="str">
        <x:v>pax</x:v>
      </x:c>
      <x:c r="E53" s="13" t="str">
        <x:v>0.0</x:v>
      </x:c>
      <x:c r="F53" s="13" t="str">
        <x:v>จำนวนคนเป็นศูนย์หรือหาย</x:v>
      </x:c>
      <x:c r="G53" s="13" t="str">
        <x:v>pax_clean ว่าง; pax_eligible = 0</x:v>
      </x:c>
      <x:c r="H53" s="13" t="str">
        <x:v>ยังใช้วิเคราะห์ระดับกลุ่มและคิวได้เมื่อเวลาถูกต้อง</x:v>
      </x:c>
    </x:row>
    <x:row r="54" ht="62" customHeight="1">
      <x:c r="A54" s="2" t="str">
        <x:v>153_22</x:v>
      </x:c>
      <x:c r="B54" s="2" t="str">
        <x:v>153</x:v>
      </x:c>
      <x:c r="C54" s="2" t="n">
        <x:v>23</x:v>
      </x:c>
      <x:c r="D54" s="13" t="str">
        <x:v>table_no.</x:v>
      </x:c>
      <x:c r="E54" s="13" t="str">
        <x:v>9</x:v>
      </x:c>
      <x:c r="F54" s="13" t="str">
        <x:v>รหัสไม่ชัดตามคู่มือ</x:v>
      </x:c>
      <x:c r="G54" s="13" t="str">
        <x:v>เก็บรหัสเดิม; ไม่ระบุหน่วยโต๊ะที่ยืนยันแล้ว</x:v>
      </x:c>
      <x:c r="H54" s="13" t="str">
        <x:v>ใช้คิว/เวลานั่งได้ถ้าผ่านเกณฑ์; ยังไม่ใช้คำนวณความจุโต๊ะ</x:v>
      </x:c>
    </x:row>
    <x:row r="55" ht="62" customHeight="1">
      <x:c r="A55" s="2" t="str">
        <x:v>153_28</x:v>
      </x:c>
      <x:c r="B55" s="2" t="str">
        <x:v>153</x:v>
      </x:c>
      <x:c r="C55" s="2" t="n">
        <x:v>29</x:v>
      </x:c>
      <x:c r="D55" s="13" t="str">
        <x:v>pax</x:v>
      </x:c>
      <x:c r="E55" s="13" t="str">
        <x:v>0.0</x:v>
      </x:c>
      <x:c r="F55" s="13" t="str">
        <x:v>จำนวนคนเป็นศูนย์หรือหาย</x:v>
      </x:c>
      <x:c r="G55" s="13" t="str">
        <x:v>pax_clean ว่าง; pax_eligible = 0</x:v>
      </x:c>
      <x:c r="H55" s="13" t="str">
        <x:v>ยังใช้วิเคราะห์ระดับกลุ่มและคิวได้เมื่อเวลาถูกต้อง</x:v>
      </x:c>
    </x:row>
    <x:row r="56" ht="62" customHeight="1">
      <x:c r="A56" s="2" t="str">
        <x:v>153_32</x:v>
      </x:c>
      <x:c r="B56" s="2" t="str">
        <x:v>153</x:v>
      </x:c>
      <x:c r="C56" s="2" t="n">
        <x:v>33</x:v>
      </x:c>
      <x:c r="D56" s="13" t="str">
        <x:v>table_no.</x:v>
      </x:c>
      <x:c r="E56" s="13" t="str">
        <x:v>2</x:v>
      </x:c>
      <x:c r="F56" s="13" t="str">
        <x:v>รหัสไม่ชัดตามคู่มือ</x:v>
      </x:c>
      <x:c r="G56" s="13" t="str">
        <x:v>เก็บรหัสเดิม; ไม่ระบุหน่วยโต๊ะที่ยืนยันแล้ว</x:v>
      </x:c>
      <x:c r="H56" s="13" t="str">
        <x:v>ใช้คิว/เวลานั่งได้ถ้าผ่านเกณฑ์; ยังไม่ใช้คำนวณความจุโต๊ะ</x:v>
      </x:c>
    </x:row>
    <x:row r="57" ht="62" customHeight="1">
      <x:c r="A57" s="2" t="str">
        <x:v>153_33</x:v>
      </x:c>
      <x:c r="B57" s="2" t="str">
        <x:v>153</x:v>
      </x:c>
      <x:c r="C57" s="2" t="n">
        <x:v>34</x:v>
      </x:c>
      <x:c r="D57" s="13" t="str">
        <x:v>table_no.</x:v>
      </x:c>
      <x:c r="E57" s="13" t="str">
        <x:v>3</x:v>
      </x:c>
      <x:c r="F57" s="13" t="str">
        <x:v>รหัสไม่ชัดตามคู่มือ</x:v>
      </x:c>
      <x:c r="G57" s="13" t="str">
        <x:v>เก็บรหัสเดิม; ไม่ระบุหน่วยโต๊ะที่ยืนยันแล้ว</x:v>
      </x:c>
      <x:c r="H57" s="13" t="str">
        <x:v>ใช้คิว/เวลานั่งได้ถ้าผ่านเกณฑ์; ยังไม่ใช้คำนวณความจุโต๊ะ</x:v>
      </x:c>
    </x:row>
    <x:row r="58" ht="62" customHeight="1">
      <x:c r="A58" s="2" t="str">
        <x:v>153_35</x:v>
      </x:c>
      <x:c r="B58" s="2" t="str">
        <x:v>153</x:v>
      </x:c>
      <x:c r="C58" s="2" t="n">
        <x:v>36</x:v>
      </x:c>
      <x:c r="D58" s="13" t="str">
        <x:v>table_no.</x:v>
      </x:c>
      <x:c r="E58" s="13" t="str">
        <x:v>6</x:v>
      </x:c>
      <x:c r="F58" s="13" t="str">
        <x:v>รหัสไม่ชัดตามคู่มือ</x:v>
      </x:c>
      <x:c r="G58" s="13" t="str">
        <x:v>เก็บรหัสเดิม; ไม่ระบุหน่วยโต๊ะที่ยืนยันแล้ว</x:v>
      </x:c>
      <x:c r="H58" s="13" t="str">
        <x:v>ใช้คิว/เวลานั่งได้ถ้าผ่านเกณฑ์; ยังไม่ใช้คำนวณความจุโต๊ะ</x:v>
      </x:c>
    </x:row>
    <x:row r="59" ht="62" customHeight="1">
      <x:c r="A59" s="2" t="str">
        <x:v>153_36</x:v>
      </x:c>
      <x:c r="B59" s="2" t="str">
        <x:v>153</x:v>
      </x:c>
      <x:c r="C59" s="2" t="n">
        <x:v>37</x:v>
      </x:c>
      <x:c r="D59" s="13" t="str">
        <x:v>table_no.</x:v>
      </x:c>
      <x:c r="E59" s="13" t="str">
        <x:v>4B/5A</x:v>
      </x:c>
      <x:c r="F59" s="13" t="str">
        <x:v>เครื่องหมาย / ไม่ได้อธิบายในคู่มือ</x:v>
      </x:c>
      <x:c r="G59" s="13" t="str">
        <x:v>เก็บรหัสเดิม; ไม่ระบุหน่วยโต๊ะที่ยืนยันแล้ว</x:v>
      </x:c>
      <x:c r="H59" s="13" t="str">
        <x:v>ใช้คิว/เวลานั่งได้ถ้าผ่านเกณฑ์; ยังไม่ใช้คำนวณความจุโต๊ะ</x:v>
      </x:c>
    </x:row>
    <x:row r="60" ht="62" customHeight="1">
      <x:c r="A60" s="2" t="str">
        <x:v>153_38</x:v>
      </x:c>
      <x:c r="B60" s="2" t="str">
        <x:v>153</x:v>
      </x:c>
      <x:c r="C60" s="2" t="n">
        <x:v>39</x:v>
      </x:c>
      <x:c r="D60" s="13" t="str">
        <x:v>table_no.</x:v>
      </x:c>
      <x:c r="E60" s="13" t="str">
        <x:v>9</x:v>
      </x:c>
      <x:c r="F60" s="13" t="str">
        <x:v>รหัสไม่ชัดตามคู่มือ</x:v>
      </x:c>
      <x:c r="G60" s="13" t="str">
        <x:v>เก็บรหัสเดิม; ไม่ระบุหน่วยโต๊ะที่ยืนยันแล้ว</x:v>
      </x:c>
      <x:c r="H60" s="13" t="str">
        <x:v>ใช้คิว/เวลานั่งได้ถ้าผ่านเกณฑ์; ยังไม่ใช้คำนวณความจุโต๊ะ</x:v>
      </x:c>
    </x:row>
    <x:row r="61" ht="62" customHeight="1">
      <x:c r="A61" s="2" t="str">
        <x:v>153_40</x:v>
      </x:c>
      <x:c r="B61" s="2" t="str">
        <x:v>153</x:v>
      </x:c>
      <x:c r="C61" s="2" t="n">
        <x:v>41</x:v>
      </x:c>
      <x:c r="D61" s="13" t="str">
        <x:v>pax</x:v>
      </x:c>
      <x:c r="E61" s="13" t="str">
        <x:v>0.0</x:v>
      </x:c>
      <x:c r="F61" s="13" t="str">
        <x:v>จำนวนคนเป็นศูนย์หรือหาย</x:v>
      </x:c>
      <x:c r="G61" s="13" t="str">
        <x:v>pax_clean ว่าง; pax_eligible = 0</x:v>
      </x:c>
      <x:c r="H61" s="13" t="str">
        <x:v>ยังใช้วิเคราะห์ระดับกลุ่มและคิวได้เมื่อเวลาถูกต้อง</x:v>
      </x:c>
    </x:row>
    <x:row r="62" ht="62" customHeight="1">
      <x:c r="A62" s="2" t="str">
        <x:v>153_46</x:v>
      </x:c>
      <x:c r="B62" s="2" t="str">
        <x:v>153</x:v>
      </x:c>
      <x:c r="C62" s="2" t="n">
        <x:v>47</x:v>
      </x:c>
      <x:c r="D62" s="13" t="str">
        <x:v>table_no.</x:v>
      </x:c>
      <x:c r="E62" s="13" t="str">
        <x:v>16</x:v>
      </x:c>
      <x:c r="F62" s="13" t="str">
        <x:v>รหัสไม่ชัดตามคู่มือ</x:v>
      </x:c>
      <x:c r="G62" s="13" t="str">
        <x:v>เก็บรหัสเดิม; ไม่ระบุหน่วยโต๊ะที่ยืนยันแล้ว</x:v>
      </x:c>
      <x:c r="H62" s="13" t="str">
        <x:v>ใช้คิว/เวลานั่งได้ถ้าผ่านเกณฑ์; ยังไม่ใช้คำนวณความจุโต๊ะ</x:v>
      </x:c>
    </x:row>
    <x:row r="63" ht="62" customHeight="1">
      <x:c r="A63" s="2" t="str">
        <x:v>153_47</x:v>
      </x:c>
      <x:c r="B63" s="2" t="str">
        <x:v>153</x:v>
      </x:c>
      <x:c r="C63" s="2" t="n">
        <x:v>48</x:v>
      </x:c>
      <x:c r="D63" s="13" t="str">
        <x:v>table_no.</x:v>
      </x:c>
      <x:c r="E63" s="13" t="str">
        <x:v>6</x:v>
      </x:c>
      <x:c r="F63" s="13" t="str">
        <x:v>รหัสไม่ชัดตามคู่มือ</x:v>
      </x:c>
      <x:c r="G63" s="13" t="str">
        <x:v>เก็บรหัสเดิม; ไม่ระบุหน่วยโต๊ะที่ยืนยันแล้ว</x:v>
      </x:c>
      <x:c r="H63" s="13" t="str">
        <x:v>ใช้คิว/เวลานั่งได้ถ้าผ่านเกณฑ์; ยังไม่ใช้คำนวณความจุโต๊ะ</x:v>
      </x:c>
    </x:row>
    <x:row r="64" ht="62" customHeight="1">
      <x:c r="A64" s="2" t="str">
        <x:v>153_49</x:v>
      </x:c>
      <x:c r="B64" s="2" t="str">
        <x:v>153</x:v>
      </x:c>
      <x:c r="C64" s="2" t="n">
        <x:v>50</x:v>
      </x:c>
      <x:c r="D64" s="13" t="str">
        <x:v>pax</x:v>
      </x:c>
      <x:c r="E64" s="13" t="str">
        <x:v>0.0</x:v>
      </x:c>
      <x:c r="F64" s="13" t="str">
        <x:v>จำนวนคนเป็นศูนย์หรือหาย</x:v>
      </x:c>
      <x:c r="G64" s="13" t="str">
        <x:v>pax_clean ว่าง; pax_eligible = 0</x:v>
      </x:c>
      <x:c r="H64" s="13" t="str">
        <x:v>ยังใช้วิเคราะห์ระดับกลุ่มและคิวได้เมื่อเวลาถูกต้อง</x:v>
      </x:c>
    </x:row>
    <x:row r="65" ht="62" customHeight="1">
      <x:c r="A65" s="2" t="str">
        <x:v>153_50</x:v>
      </x:c>
      <x:c r="B65" s="2" t="str">
        <x:v>153</x:v>
      </x:c>
      <x:c r="C65" s="2" t="n">
        <x:v>51</x:v>
      </x:c>
      <x:c r="D65" s="13" t="str">
        <x:v>table_no.</x:v>
      </x:c>
      <x:c r="E65" s="13" t="str">
        <x:v>4A/11B</x:v>
      </x:c>
      <x:c r="F65" s="13" t="str">
        <x:v>เครื่องหมาย / ไม่ได้อธิบายในคู่มือ</x:v>
      </x:c>
      <x:c r="G65" s="13" t="str">
        <x:v>เก็บรหัสเดิม; ไม่ระบุหน่วยโต๊ะที่ยืนยันแล้ว</x:v>
      </x:c>
      <x:c r="H65" s="13" t="str">
        <x:v>ใช้คิว/เวลานั่งได้ถ้าผ่านเกณฑ์; ยังไม่ใช้คำนวณความจุโต๊ะ</x:v>
      </x:c>
    </x:row>
    <x:row r="66" ht="62" customHeight="1">
      <x:c r="A66" s="2" t="str">
        <x:v>153_54</x:v>
      </x:c>
      <x:c r="B66" s="2" t="str">
        <x:v>153</x:v>
      </x:c>
      <x:c r="C66" s="2" t="n">
        <x:v>55</x:v>
      </x:c>
      <x:c r="D66" s="13" t="str">
        <x:v>table_no.</x:v>
      </x:c>
      <x:c r="E66" s="13" t="str">
        <x:v>16</x:v>
      </x:c>
      <x:c r="F66" s="13" t="str">
        <x:v>รหัสไม่ชัดตามคู่มือ</x:v>
      </x:c>
      <x:c r="G66" s="13" t="str">
        <x:v>เก็บรหัสเดิม; ไม่ระบุหน่วยโต๊ะที่ยืนยันแล้ว</x:v>
      </x:c>
      <x:c r="H66" s="13" t="str">
        <x:v>ใช้คิว/เวลานั่งได้ถ้าผ่านเกณฑ์; ยังไม่ใช้คำนวณความจุโต๊ะ</x:v>
      </x:c>
    </x:row>
    <x:row r="67" ht="62" customHeight="1">
      <x:c r="A67" s="2" t="str">
        <x:v>153_56</x:v>
      </x:c>
      <x:c r="B67" s="2" t="str">
        <x:v>153</x:v>
      </x:c>
      <x:c r="C67" s="2" t="n">
        <x:v>57</x:v>
      </x:c>
      <x:c r="D67" s="13" t="str">
        <x:v>table_no.</x:v>
      </x:c>
      <x:c r="E67" s="13" t="str">
        <x:v>2</x:v>
      </x:c>
      <x:c r="F67" s="13" t="str">
        <x:v>รหัสไม่ชัดตามคู่มือ</x:v>
      </x:c>
      <x:c r="G67" s="13" t="str">
        <x:v>เก็บรหัสเดิม; ไม่ระบุหน่วยโต๊ะที่ยืนยันแล้ว</x:v>
      </x:c>
      <x:c r="H67" s="13" t="str">
        <x:v>ใช้คิว/เวลานั่งได้ถ้าผ่านเกณฑ์; ยังไม่ใช้คำนวณความจุโต๊ะ</x:v>
      </x:c>
    </x:row>
    <x:row r="68" ht="62" customHeight="1">
      <x:c r="A68" s="2" t="str">
        <x:v>153_59</x:v>
      </x:c>
      <x:c r="B68" s="2" t="str">
        <x:v>153</x:v>
      </x:c>
      <x:c r="C68" s="2" t="n">
        <x:v>60</x:v>
      </x:c>
      <x:c r="D68" s="13" t="str">
        <x:v>table_no.</x:v>
      </x:c>
      <x:c r="E68" s="13" t="str">
        <x:v>4B/5A</x:v>
      </x:c>
      <x:c r="F68" s="13" t="str">
        <x:v>เครื่องหมาย / ไม่ได้อธิบายในคู่มือ</x:v>
      </x:c>
      <x:c r="G68" s="13" t="str">
        <x:v>เก็บรหัสเดิม; ไม่ระบุหน่วยโต๊ะที่ยืนยันแล้ว</x:v>
      </x:c>
      <x:c r="H68" s="13" t="str">
        <x:v>ใช้คิว/เวลานั่งได้ถ้าผ่านเกณฑ์; ยังไม่ใช้คำนวณความจุโต๊ะ</x:v>
      </x:c>
    </x:row>
    <x:row r="69" ht="62" customHeight="1">
      <x:c r="A69" s="2" t="str">
        <x:v>153_60</x:v>
      </x:c>
      <x:c r="B69" s="2" t="str">
        <x:v>153</x:v>
      </x:c>
      <x:c r="C69" s="2" t="n">
        <x:v>61</x:v>
      </x:c>
      <x:c r="D69" s="13" t="str">
        <x:v>pax</x:v>
      </x:c>
      <x:c r="E69" s="13" t="str">
        <x:v>0.0</x:v>
      </x:c>
      <x:c r="F69" s="13" t="str">
        <x:v>จำนวนคนเป็นศูนย์หรือหาย</x:v>
      </x:c>
      <x:c r="G69" s="13" t="str">
        <x:v>pax_clean ว่าง; pax_eligible = 0</x:v>
      </x:c>
      <x:c r="H69" s="13" t="str">
        <x:v>ยังใช้วิเคราะห์ระดับกลุ่มและคิวได้เมื่อเวลาถูกต้อง</x:v>
      </x:c>
    </x:row>
    <x:row r="70" ht="62" customHeight="1">
      <x:c r="A70" s="2" t="str">
        <x:v>153_61</x:v>
      </x:c>
      <x:c r="B70" s="2" t="str">
        <x:v>153</x:v>
      </x:c>
      <x:c r="C70" s="2" t="n">
        <x:v>62</x:v>
      </x:c>
      <x:c r="D70" s="13" t="str">
        <x:v>table_no.</x:v>
      </x:c>
      <x:c r="E70" s="13" t="str">
        <x:v>15A</x:v>
      </x:c>
      <x:c r="F70" s="13" t="str">
        <x:v>รหัสไม่ชัดตามคู่มือ</x:v>
      </x:c>
      <x:c r="G70" s="13" t="str">
        <x:v>เก็บรหัสเดิม; ไม่ระบุหน่วยโต๊ะที่ยืนยันแล้ว</x:v>
      </x:c>
      <x:c r="H70" s="13" t="str">
        <x:v>ใช้คิว/เวลานั่งได้ถ้าผ่านเกณฑ์; ยังไม่ใช้คำนวณความจุโต๊ะ</x:v>
      </x:c>
    </x:row>
    <x:row r="71" ht="62" customHeight="1">
      <x:c r="A71" s="2" t="str">
        <x:v>153_62</x:v>
      </x:c>
      <x:c r="B71" s="2" t="str">
        <x:v>153</x:v>
      </x:c>
      <x:c r="C71" s="2" t="n">
        <x:v>63</x:v>
      </x:c>
      <x:c r="D71" s="13" t="str">
        <x:v>table_no.</x:v>
      </x:c>
      <x:c r="E71" s="13" t="str">
        <x:v>15B</x:v>
      </x:c>
      <x:c r="F71" s="13" t="str">
        <x:v>รหัสไม่ชัดตามคู่มือ</x:v>
      </x:c>
      <x:c r="G71" s="13" t="str">
        <x:v>เก็บรหัสเดิม; ไม่ระบุหน่วยโต๊ะที่ยืนยันแล้ว</x:v>
      </x:c>
      <x:c r="H71" s="13" t="str">
        <x:v>ใช้คิว/เวลานั่งได้ถ้าผ่านเกณฑ์; ยังไม่ใช้คำนวณความจุโต๊ะ</x:v>
      </x:c>
    </x:row>
    <x:row r="72" ht="62" customHeight="1">
      <x:c r="A72" s="2" t="str">
        <x:v>153_66</x:v>
      </x:c>
      <x:c r="B72" s="2" t="str">
        <x:v>153</x:v>
      </x:c>
      <x:c r="C72" s="2" t="n">
        <x:v>67</x:v>
      </x:c>
      <x:c r="D72" s="13" t="str">
        <x:v>table_no.</x:v>
      </x:c>
      <x:c r="E72" s="13" t="str">
        <x:v>3</x:v>
      </x:c>
      <x:c r="F72" s="13" t="str">
        <x:v>รหัสไม่ชัดตามคู่มือ</x:v>
      </x:c>
      <x:c r="G72" s="13" t="str">
        <x:v>เก็บรหัสเดิม; ไม่ระบุหน่วยโต๊ะที่ยืนยันแล้ว</x:v>
      </x:c>
      <x:c r="H72" s="13" t="str">
        <x:v>ใช้คิว/เวลานั่งได้ถ้าผ่านเกณฑ์; ยังไม่ใช้คำนวณความจุโต๊ะ</x:v>
      </x:c>
    </x:row>
    <x:row r="73" ht="62" customHeight="1">
      <x:c r="A73" s="2" t="str">
        <x:v>153_67</x:v>
      </x:c>
      <x:c r="B73" s="2" t="str">
        <x:v>153</x:v>
      </x:c>
      <x:c r="C73" s="2" t="n">
        <x:v>68</x:v>
      </x:c>
      <x:c r="D73" s="13" t="str">
        <x:v>queue / meal</x:v>
      </x:c>
      <x:c r="E73" s="13" t="str">
        <x:v>10:15:00 - 11:06:00 / 10:06:00 - 12:06:00</x:v>
      </x:c>
      <x:c r="F73" s="13" t="str">
        <x:v>เริ่มกินก่อนจบคิว (รายการนี้ก่อนเริ่มคิวด้วย)</x:v>
      </x:c>
      <x:c r="G73" s="13" t="str">
        <x:v>เว้นเวลานั่ง clean และเวลารอ strict; เก็บ wait_minutes_recorded</x:v>
      </x:c>
      <x:c r="H73" s="13" t="str">
        <x:v>นับว่ามีคิวและมื้ออาหาร; ไม่ใช้ค่าเวลาหลักจนยืนยัน</x:v>
      </x:c>
    </x:row>
    <x:row r="74" ht="62" customHeight="1">
      <x:c r="A74" s="2" t="str">
        <x:v>153_73</x:v>
      </x:c>
      <x:c r="B74" s="2" t="str">
        <x:v>153</x:v>
      </x:c>
      <x:c r="C74" s="2" t="n">
        <x:v>74</x:v>
      </x:c>
      <x:c r="D74" s="13" t="str">
        <x:v>table_no.</x:v>
      </x:c>
      <x:c r="E74" s="13" t="str">
        <x:v>16</x:v>
      </x:c>
      <x:c r="F74" s="13" t="str">
        <x:v>รหัสไม่ชัดตามคู่มือ</x:v>
      </x:c>
      <x:c r="G74" s="13" t="str">
        <x:v>เก็บรหัสเดิม; ไม่ระบุหน่วยโต๊ะที่ยืนยันแล้ว</x:v>
      </x:c>
      <x:c r="H74" s="13" t="str">
        <x:v>ใช้คิว/เวลานั่งได้ถ้าผ่านเกณฑ์; ยังไม่ใช้คำนวณความจุโต๊ะ</x:v>
      </x:c>
    </x:row>
    <x:row r="75" ht="62" customHeight="1">
      <x:c r="A75" s="2" t="str">
        <x:v>153_78</x:v>
      </x:c>
      <x:c r="B75" s="2" t="str">
        <x:v>153</x:v>
      </x:c>
      <x:c r="C75" s="2" t="n">
        <x:v>79</x:v>
      </x:c>
      <x:c r="D75" s="13" t="str">
        <x:v>pax</x:v>
      </x:c>
      <x:c r="E75" s="13" t="str">
        <x:v>0.0</x:v>
      </x:c>
      <x:c r="F75" s="13" t="str">
        <x:v>จำนวนคนเป็นศูนย์หรือหาย</x:v>
      </x:c>
      <x:c r="G75" s="13" t="str">
        <x:v>pax_clean ว่าง; pax_eligible = 0</x:v>
      </x:c>
      <x:c r="H75" s="13" t="str">
        <x:v>ยังใช้วิเคราะห์ระดับกลุ่มและคิวได้เมื่อเวลาถูกต้อง</x:v>
      </x:c>
    </x:row>
    <x:row r="76" ht="62" customHeight="1">
      <x:c r="A76" s="2" t="str">
        <x:v>153_83</x:v>
      </x:c>
      <x:c r="B76" s="2" t="str">
        <x:v>153</x:v>
      </x:c>
      <x:c r="C76" s="2" t="n">
        <x:v>84</x:v>
      </x:c>
      <x:c r="D76" s="13" t="str">
        <x:v>table_no.</x:v>
      </x:c>
      <x:c r="E76" s="13" t="str">
        <x:v>15B</x:v>
      </x:c>
      <x:c r="F76" s="13" t="str">
        <x:v>รหัสไม่ชัดตามคู่มือ</x:v>
      </x:c>
      <x:c r="G76" s="13" t="str">
        <x:v>เก็บรหัสเดิม; ไม่ระบุหน่วยโต๊ะที่ยืนยันแล้ว</x:v>
      </x:c>
      <x:c r="H76" s="13" t="str">
        <x:v>ใช้คิว/เวลานั่งได้ถ้าผ่านเกณฑ์; ยังไม่ใช้คำนวณความจุโต๊ะ</x:v>
      </x:c>
    </x:row>
    <x:row r="77" ht="62" customHeight="1">
      <x:c r="A77" s="2" t="str">
        <x:v>153_86</x:v>
      </x:c>
      <x:c r="B77" s="2" t="str">
        <x:v>153</x:v>
      </x:c>
      <x:c r="C77" s="2" t="n">
        <x:v>87</x:v>
      </x:c>
      <x:c r="D77" s="13" t="str">
        <x:v>table_no.</x:v>
      </x:c>
      <x:c r="E77" s="13" t="str">
        <x:v>16</x:v>
      </x:c>
      <x:c r="F77" s="13" t="str">
        <x:v>รหัสไม่ชัดตามคู่มือ</x:v>
      </x:c>
      <x:c r="G77" s="13" t="str">
        <x:v>เก็บรหัสเดิม; ไม่ระบุหน่วยโต๊ะที่ยืนยันแล้ว</x:v>
      </x:c>
      <x:c r="H77" s="13" t="str">
        <x:v>ใช้คิว/เวลานั่งได้ถ้าผ่านเกณฑ์; ยังไม่ใช้คำนวณความจุโต๊ะ</x:v>
      </x:c>
    </x:row>
    <x:row r="78" ht="62" customHeight="1">
      <x:c r="A78" s="2" t="str">
        <x:v>173_2</x:v>
      </x:c>
      <x:c r="B78" s="2" t="str">
        <x:v>173</x:v>
      </x:c>
      <x:c r="C78" s="2" t="n">
        <x:v>3</x:v>
      </x:c>
      <x:c r="D78" s="13" t="str">
        <x:v>table_no.</x:v>
      </x:c>
      <x:c r="E78" s="13" t="str">
        <x:v>5</x:v>
      </x:c>
      <x:c r="F78" s="13" t="str">
        <x:v>รหัสไม่ชัดตามคู่มือ</x:v>
      </x:c>
      <x:c r="G78" s="13" t="str">
        <x:v>เก็บรหัสเดิม; ไม่ระบุหน่วยโต๊ะที่ยืนยันแล้ว</x:v>
      </x:c>
      <x:c r="H78" s="13" t="str">
        <x:v>ใช้คิว/เวลานั่งได้ถ้าผ่านเกณฑ์; ยังไม่ใช้คำนวณความจุโต๊ะ</x:v>
      </x:c>
    </x:row>
    <x:row r="79" ht="62" customHeight="1">
      <x:c r="A79" s="2" t="str">
        <x:v>173_4</x:v>
      </x:c>
      <x:c r="B79" s="2" t="str">
        <x:v>173</x:v>
      </x:c>
      <x:c r="C79" s="2" t="n">
        <x:v>5</x:v>
      </x:c>
      <x:c r="D79" s="13" t="str">
        <x:v>table_no.</x:v>
      </x:c>
      <x:c r="E79" s="13" t="str">
        <x:v>16</x:v>
      </x:c>
      <x:c r="F79" s="13" t="str">
        <x:v>รหัสไม่ชัดตามคู่มือ</x:v>
      </x:c>
      <x:c r="G79" s="13" t="str">
        <x:v>เก็บรหัสเดิม; ไม่ระบุหน่วยโต๊ะที่ยืนยันแล้ว</x:v>
      </x:c>
      <x:c r="H79" s="13" t="str">
        <x:v>ใช้คิว/เวลานั่งได้ถ้าผ่านเกณฑ์; ยังไม่ใช้คำนวณความจุโต๊ะ</x:v>
      </x:c>
    </x:row>
    <x:row r="80" ht="62" customHeight="1">
      <x:c r="A80" s="2" t="str">
        <x:v>173_8</x:v>
      </x:c>
      <x:c r="B80" s="2" t="str">
        <x:v>173</x:v>
      </x:c>
      <x:c r="C80" s="2" t="n">
        <x:v>9</x:v>
      </x:c>
      <x:c r="D80" s="13" t="str">
        <x:v>table_no.</x:v>
      </x:c>
      <x:c r="E80" s="13" t="str">
        <x:v>4</x:v>
      </x:c>
      <x:c r="F80" s="13" t="str">
        <x:v>รหัสไม่ชัดตามคู่มือ</x:v>
      </x:c>
      <x:c r="G80" s="13" t="str">
        <x:v>เก็บรหัสเดิม; ไม่ระบุหน่วยโต๊ะที่ยืนยันแล้ว</x:v>
      </x:c>
      <x:c r="H80" s="13" t="str">
        <x:v>ใช้คิว/เวลานั่งได้ถ้าผ่านเกณฑ์; ยังไม่ใช้คำนวณความจุโต๊ะ</x:v>
      </x:c>
    </x:row>
    <x:row r="81" ht="62" customHeight="1">
      <x:c r="A81" s="2" t="str">
        <x:v>173_13</x:v>
      </x:c>
      <x:c r="B81" s="2" t="str">
        <x:v>173</x:v>
      </x:c>
      <x:c r="C81" s="2" t="n">
        <x:v>14</x:v>
      </x:c>
      <x:c r="D81" s="13" t="str">
        <x:v>table_no.</x:v>
      </x:c>
      <x:c r="E81" s="13" t="str">
        <x:v>4</x:v>
      </x:c>
      <x:c r="F81" s="13" t="str">
        <x:v>รหัสไม่ชัดตามคู่มือ</x:v>
      </x:c>
      <x:c r="G81" s="13" t="str">
        <x:v>เก็บรหัสเดิม; ไม่ระบุหน่วยโต๊ะที่ยืนยันแล้ว</x:v>
      </x:c>
      <x:c r="H81" s="13" t="str">
        <x:v>ใช้คิว/เวลานั่งได้ถ้าผ่านเกณฑ์; ยังไม่ใช้คำนวณความจุโต๊ะ</x:v>
      </x:c>
    </x:row>
    <x:row r="82" ht="62" customHeight="1">
      <x:c r="A82" s="2" t="str">
        <x:v>173_15</x:v>
      </x:c>
      <x:c r="B82" s="2" t="str">
        <x:v>173</x:v>
      </x:c>
      <x:c r="C82" s="2" t="n">
        <x:v>16</x:v>
      </x:c>
      <x:c r="D82" s="13" t="str">
        <x:v>table_no.</x:v>
      </x:c>
      <x:c r="E82" s="13" t="str">
        <x:v>3</x:v>
      </x:c>
      <x:c r="F82" s="13" t="str">
        <x:v>รหัสไม่ชัดตามคู่มือ</x:v>
      </x:c>
      <x:c r="G82" s="13" t="str">
        <x:v>เก็บรหัสเดิม; ไม่ระบุหน่วยโต๊ะที่ยืนยันแล้ว</x:v>
      </x:c>
      <x:c r="H82" s="13" t="str">
        <x:v>ใช้คิว/เวลานั่งได้ถ้าผ่านเกณฑ์; ยังไม่ใช้คำนวณความจุโต๊ะ</x:v>
      </x:c>
    </x:row>
    <x:row r="83" ht="62" customHeight="1">
      <x:c r="A83" s="2" t="str">
        <x:v>173_18</x:v>
      </x:c>
      <x:c r="B83" s="2" t="str">
        <x:v>173</x:v>
      </x:c>
      <x:c r="C83" s="2" t="n">
        <x:v>19</x:v>
      </x:c>
      <x:c r="D83" s="13" t="str">
        <x:v>table_no.</x:v>
      </x:c>
      <x:c r="E83" s="13" t="str">
        <x:v>16</x:v>
      </x:c>
      <x:c r="F83" s="13" t="str">
        <x:v>รหัสไม่ชัดตามคู่มือ</x:v>
      </x:c>
      <x:c r="G83" s="13" t="str">
        <x:v>เก็บรหัสเดิม; ไม่ระบุหน่วยโต๊ะที่ยืนยันแล้ว</x:v>
      </x:c>
      <x:c r="H83" s="13" t="str">
        <x:v>ใช้คิว/เวลานั่งได้ถ้าผ่านเกณฑ์; ยังไม่ใช้คำนวณความจุโต๊ะ</x:v>
      </x:c>
    </x:row>
    <x:row r="84" ht="62" customHeight="1">
      <x:c r="A84" s="2" t="str">
        <x:v>173_19</x:v>
      </x:c>
      <x:c r="B84" s="2" t="str">
        <x:v>173</x:v>
      </x:c>
      <x:c r="C84" s="2" t="n">
        <x:v>20</x:v>
      </x:c>
      <x:c r="D84" s="13" t="str">
        <x:v>table_no.</x:v>
      </x:c>
      <x:c r="E84" s="13" t="str">
        <x:v>6</x:v>
      </x:c>
      <x:c r="F84" s="13" t="str">
        <x:v>รหัสไม่ชัดตามคู่มือ</x:v>
      </x:c>
      <x:c r="G84" s="13" t="str">
        <x:v>เก็บรหัสเดิม; ไม่ระบุหน่วยโต๊ะที่ยืนยันแล้ว</x:v>
      </x:c>
      <x:c r="H84" s="13" t="str">
        <x:v>ใช้คิว/เวลานั่งได้ถ้าผ่านเกณฑ์; ยังไม่ใช้คำนวณความจุโต๊ะ</x:v>
      </x:c>
    </x:row>
    <x:row r="85" ht="62" customHeight="1">
      <x:c r="A85" s="2" t="str">
        <x:v>173_23</x:v>
      </x:c>
      <x:c r="B85" s="2" t="str">
        <x:v>173</x:v>
      </x:c>
      <x:c r="C85" s="2" t="n">
        <x:v>24</x:v>
      </x:c>
      <x:c r="D85" s="13" t="str">
        <x:v>table_no.</x:v>
      </x:c>
      <x:c r="E85" s="13" t="str">
        <x:v>3</x:v>
      </x:c>
      <x:c r="F85" s="13" t="str">
        <x:v>รหัสไม่ชัดตามคู่มือ</x:v>
      </x:c>
      <x:c r="G85" s="13" t="str">
        <x:v>เก็บรหัสเดิม; ไม่ระบุหน่วยโต๊ะที่ยืนยันแล้ว</x:v>
      </x:c>
      <x:c r="H85" s="13" t="str">
        <x:v>ใช้คิว/เวลานั่งได้ถ้าผ่านเกณฑ์; ยังไม่ใช้คำนวณความจุโต๊ะ</x:v>
      </x:c>
    </x:row>
    <x:row r="86" ht="62" customHeight="1">
      <x:c r="A86" s="2" t="str">
        <x:v>173_25</x:v>
      </x:c>
      <x:c r="B86" s="2" t="str">
        <x:v>173</x:v>
      </x:c>
      <x:c r="C86" s="2" t="n">
        <x:v>26</x:v>
      </x:c>
      <x:c r="D86" s="13" t="str">
        <x:v>table_no.</x:v>
      </x:c>
      <x:c r="E86" s="13" t="str">
        <x:v>4</x:v>
      </x:c>
      <x:c r="F86" s="13" t="str">
        <x:v>รหัสไม่ชัดตามคู่มือ</x:v>
      </x:c>
      <x:c r="G86" s="13" t="str">
        <x:v>เก็บรหัสเดิม; ไม่ระบุหน่วยโต๊ะที่ยืนยันแล้ว</x:v>
      </x:c>
      <x:c r="H86" s="13" t="str">
        <x:v>ใช้คิว/เวลานั่งได้ถ้าผ่านเกณฑ์; ยังไม่ใช้คำนวณความจุโต๊ะ</x:v>
      </x:c>
    </x:row>
    <x:row r="87" ht="62" customHeight="1">
      <x:c r="A87" s="2" t="str">
        <x:v>173_28</x:v>
      </x:c>
      <x:c r="B87" s="2" t="str">
        <x:v>173</x:v>
      </x:c>
      <x:c r="C87" s="2" t="n">
        <x:v>29</x:v>
      </x:c>
      <x:c r="D87" s="13" t="str">
        <x:v>table_no.</x:v>
      </x:c>
      <x:c r="E87" s="13" t="str">
        <x:v>9</x:v>
      </x:c>
      <x:c r="F87" s="13" t="str">
        <x:v>รหัสไม่ชัดตามคู่มือ</x:v>
      </x:c>
      <x:c r="G87" s="13" t="str">
        <x:v>เก็บรหัสเดิม; ไม่ระบุหน่วยโต๊ะที่ยืนยันแล้ว</x:v>
      </x:c>
      <x:c r="H87" s="13" t="str">
        <x:v>ใช้คิว/เวลานั่งได้ถ้าผ่านเกณฑ์; ยังไม่ใช้คำนวณความจุโต๊ะ</x:v>
      </x:c>
    </x:row>
    <x:row r="88" ht="62" customHeight="1">
      <x:c r="A88" s="2" t="str">
        <x:v>173_38</x:v>
      </x:c>
      <x:c r="B88" s="2" t="str">
        <x:v>173</x:v>
      </x:c>
      <x:c r="C88" s="2" t="n">
        <x:v>39</x:v>
      </x:c>
      <x:c r="D88" s="13" t="str">
        <x:v>table_no.</x:v>
      </x:c>
      <x:c r="E88" s="13" t="str">
        <x:v>16</x:v>
      </x:c>
      <x:c r="F88" s="13" t="str">
        <x:v>รหัสไม่ชัดตามคู่มือ</x:v>
      </x:c>
      <x:c r="G88" s="13" t="str">
        <x:v>เก็บรหัสเดิม; ไม่ระบุหน่วยโต๊ะที่ยืนยันแล้ว</x:v>
      </x:c>
      <x:c r="H88" s="13" t="str">
        <x:v>ใช้คิว/เวลานั่งได้ถ้าผ่านเกณฑ์; ยังไม่ใช้คำนวณความจุโต๊ะ</x:v>
      </x:c>
    </x:row>
    <x:row r="89" ht="62" customHeight="1">
      <x:c r="A89" s="2" t="str">
        <x:v>173_39</x:v>
      </x:c>
      <x:c r="B89" s="2" t="str">
        <x:v>173</x:v>
      </x:c>
      <x:c r="C89" s="2" t="n">
        <x:v>40</x:v>
      </x:c>
      <x:c r="D89" s="13" t="str">
        <x:v>table_no.</x:v>
      </x:c>
      <x:c r="E89" s="13" t="str">
        <x:v>4</x:v>
      </x:c>
      <x:c r="F89" s="13" t="str">
        <x:v>รหัสไม่ชัดตามคู่มือ</x:v>
      </x:c>
      <x:c r="G89" s="13" t="str">
        <x:v>เก็บรหัสเดิม; ไม่ระบุหน่วยโต๊ะที่ยืนยันแล้ว</x:v>
      </x:c>
      <x:c r="H89" s="13" t="str">
        <x:v>ใช้คิว/เวลานั่งได้ถ้าผ่านเกณฑ์; ยังไม่ใช้คำนวณความจุโต๊ะ</x:v>
      </x:c>
    </x:row>
    <x:row r="90" ht="62" customHeight="1">
      <x:c r="A90" s="2" t="str">
        <x:v>173_43</x:v>
      </x:c>
      <x:c r="B90" s="2" t="str">
        <x:v>173</x:v>
      </x:c>
      <x:c r="C90" s="2" t="n">
        <x:v>44</x:v>
      </x:c>
      <x:c r="D90" s="13" t="str">
        <x:v>table_no.</x:v>
      </x:c>
      <x:c r="E90" s="13" t="str">
        <x:v>11</x:v>
      </x:c>
      <x:c r="F90" s="13" t="str">
        <x:v>รหัสไม่ชัดตามคู่มือ</x:v>
      </x:c>
      <x:c r="G90" s="13" t="str">
        <x:v>เก็บรหัสเดิม; ไม่ระบุหน่วยโต๊ะที่ยืนยันแล้ว</x:v>
      </x:c>
      <x:c r="H90" s="13" t="str">
        <x:v>ใช้คิว/เวลานั่งได้ถ้าผ่านเกณฑ์; ยังไม่ใช้คำนวณความจุโต๊ะ</x:v>
      </x:c>
    </x:row>
    <x:row r="91" ht="62" customHeight="1">
      <x:c r="A91" s="2" t="str">
        <x:v>173_45</x:v>
      </x:c>
      <x:c r="B91" s="2" t="str">
        <x:v>173</x:v>
      </x:c>
      <x:c r="C91" s="2" t="n">
        <x:v>46</x:v>
      </x:c>
      <x:c r="D91" s="13" t="str">
        <x:v>table_no.</x:v>
      </x:c>
      <x:c r="E91" s="13" t="str">
        <x:v>10</x:v>
      </x:c>
      <x:c r="F91" s="13" t="str">
        <x:v>รหัสไม่ชัดตามคู่มือ</x:v>
      </x:c>
      <x:c r="G91" s="13" t="str">
        <x:v>เก็บรหัสเดิม; ไม่ระบุหน่วยโต๊ะที่ยืนยันแล้ว</x:v>
      </x:c>
      <x:c r="H91" s="13" t="str">
        <x:v>ใช้คิว/เวลานั่งได้ถ้าผ่านเกณฑ์; ยังไม่ใช้คำนวณความจุโต๊ะ</x:v>
      </x:c>
    </x:row>
    <x:row r="92" ht="62" customHeight="1">
      <x:c r="A92" s="2" t="str">
        <x:v>173_47</x:v>
      </x:c>
      <x:c r="B92" s="2" t="str">
        <x:v>173</x:v>
      </x:c>
      <x:c r="C92" s="2" t="n">
        <x:v>48</x:v>
      </x:c>
      <x:c r="D92" s="13" t="str">
        <x:v>table_no.</x:v>
      </x:c>
      <x:c r="E92" s="13" t="str">
        <x:v>2</x:v>
      </x:c>
      <x:c r="F92" s="13" t="str">
        <x:v>รหัสไม่ชัดตามคู่มือ</x:v>
      </x:c>
      <x:c r="G92" s="13" t="str">
        <x:v>เก็บรหัสเดิม; ไม่ระบุหน่วยโต๊ะที่ยืนยันแล้ว</x:v>
      </x:c>
      <x:c r="H92" s="13" t="str">
        <x:v>ใช้คิว/เวลานั่งได้ถ้าผ่านเกณฑ์; ยังไม่ใช้คำนวณความจุโต๊ะ</x:v>
      </x:c>
    </x:row>
    <x:row r="93" ht="62" customHeight="1">
      <x:c r="A93" s="2" t="str">
        <x:v>173_48</x:v>
      </x:c>
      <x:c r="B93" s="2" t="str">
        <x:v>173</x:v>
      </x:c>
      <x:c r="C93" s="2" t="n">
        <x:v>49</x:v>
      </x:c>
      <x:c r="D93" s="13" t="str">
        <x:v>table_no.</x:v>
      </x:c>
      <x:c r="E93" s="13" t="str">
        <x:v>16</x:v>
      </x:c>
      <x:c r="F93" s="13" t="str">
        <x:v>รหัสไม่ชัดตามคู่มือ</x:v>
      </x:c>
      <x:c r="G93" s="13" t="str">
        <x:v>เก็บรหัสเดิม; ไม่ระบุหน่วยโต๊ะที่ยืนยันแล้ว</x:v>
      </x:c>
      <x:c r="H93" s="13" t="str">
        <x:v>ใช้คิว/เวลานั่งได้ถ้าผ่านเกณฑ์; ยังไม่ใช้คำนวณความจุโต๊ะ</x:v>
      </x:c>
    </x:row>
    <x:row r="94" ht="62" customHeight="1">
      <x:c r="A94" s="2" t="str">
        <x:v>173_49</x:v>
      </x:c>
      <x:c r="B94" s="2" t="str">
        <x:v>173</x:v>
      </x:c>
      <x:c r="C94" s="2" t="n">
        <x:v>50</x:v>
      </x:c>
      <x:c r="D94" s="13" t="str">
        <x:v>table_no.</x:v>
      </x:c>
      <x:c r="E94" s="13" t="str">
        <x:v>4</x:v>
      </x:c>
      <x:c r="F94" s="13" t="str">
        <x:v>รหัสไม่ชัดตามคู่มือ</x:v>
      </x:c>
      <x:c r="G94" s="13" t="str">
        <x:v>เก็บรหัสเดิม; ไม่ระบุหน่วยโต๊ะที่ยืนยันแล้ว</x:v>
      </x:c>
      <x:c r="H94" s="13" t="str">
        <x:v>ใช้คิว/เวลานั่งได้ถ้าผ่านเกณฑ์; ยังไม่ใช้คำนวณความจุโต๊ะ</x:v>
      </x:c>
    </x:row>
    <x:row r="95" ht="62" customHeight="1">
      <x:c r="A95" s="2" t="str">
        <x:v>173_54</x:v>
      </x:c>
      <x:c r="B95" s="2" t="str">
        <x:v>173</x:v>
      </x:c>
      <x:c r="C95" s="2" t="n">
        <x:v>55</x:v>
      </x:c>
      <x:c r="D95" s="13" t="str">
        <x:v>table_no.</x:v>
      </x:c>
      <x:c r="E95" s="13" t="str">
        <x:v>3</x:v>
      </x:c>
      <x:c r="F95" s="13" t="str">
        <x:v>รหัสไม่ชัดตามคู่มือ</x:v>
      </x:c>
      <x:c r="G95" s="13" t="str">
        <x:v>เก็บรหัสเดิม; ไม่ระบุหน่วยโต๊ะที่ยืนยันแล้ว</x:v>
      </x:c>
      <x:c r="H95" s="13" t="str">
        <x:v>ใช้คิว/เวลานั่งได้ถ้าผ่านเกณฑ์; ยังไม่ใช้คำนวณความจุโต๊ะ</x:v>
      </x:c>
    </x:row>
    <x:row r="96" ht="62" customHeight="1">
      <x:c r="A96" s="2" t="str">
        <x:v>173_55</x:v>
      </x:c>
      <x:c r="B96" s="2" t="str">
        <x:v>173</x:v>
      </x:c>
      <x:c r="C96" s="2" t="n">
        <x:v>56</x:v>
      </x:c>
      <x:c r="D96" s="13" t="str">
        <x:v>table_no.</x:v>
      </x:c>
      <x:c r="E96" s="13" t="str">
        <x:v>9</x:v>
      </x:c>
      <x:c r="F96" s="13" t="str">
        <x:v>รหัสไม่ชัดตามคู่มือ</x:v>
      </x:c>
      <x:c r="G96" s="13" t="str">
        <x:v>เก็บรหัสเดิม; ไม่ระบุหน่วยโต๊ะที่ยืนยันแล้ว</x:v>
      </x:c>
      <x:c r="H96" s="13" t="str">
        <x:v>ใช้คิว/เวลานั่งได้ถ้าผ่านเกณฑ์; ยังไม่ใช้คำนวณความจุโต๊ะ</x:v>
      </x:c>
    </x:row>
    <x:row r="97" ht="62" customHeight="1">
      <x:c r="A97" s="2" t="str">
        <x:v>173_56</x:v>
      </x:c>
      <x:c r="B97" s="2" t="str">
        <x:v>173</x:v>
      </x:c>
      <x:c r="C97" s="2" t="n">
        <x:v>57</x:v>
      </x:c>
      <x:c r="D97" s="13" t="str">
        <x:v>table_no.</x:v>
      </x:c>
      <x:c r="E97" s="13" t="str">
        <x:v>2</x:v>
      </x:c>
      <x:c r="F97" s="13" t="str">
        <x:v>รหัสไม่ชัดตามคู่มือ</x:v>
      </x:c>
      <x:c r="G97" s="13" t="str">
        <x:v>เก็บรหัสเดิม; ไม่ระบุหน่วยโต๊ะที่ยืนยันแล้ว</x:v>
      </x:c>
      <x:c r="H97" s="13" t="str">
        <x:v>ใช้คิว/เวลานั่งได้ถ้าผ่านเกณฑ์; ยังไม่ใช้คำนวณความจุโต๊ะ</x:v>
      </x:c>
    </x:row>
    <x:row r="98" ht="62" customHeight="1">
      <x:c r="A98" s="2" t="str">
        <x:v>173_58</x:v>
      </x:c>
      <x:c r="B98" s="2" t="str">
        <x:v>173</x:v>
      </x:c>
      <x:c r="C98" s="2" t="n">
        <x:v>59</x:v>
      </x:c>
      <x:c r="D98" s="13" t="str">
        <x:v>table_no.</x:v>
      </x:c>
      <x:c r="E98" s="13" t="str">
        <x:v>7B/7A</x:v>
      </x:c>
      <x:c r="F98" s="13" t="str">
        <x:v>เครื่องหมาย / ไม่ได้อธิบายในคู่มือ</x:v>
      </x:c>
      <x:c r="G98" s="13" t="str">
        <x:v>เก็บรหัสเดิม; ไม่ระบุหน่วยโต๊ะที่ยืนยันแล้ว</x:v>
      </x:c>
      <x:c r="H98" s="13" t="str">
        <x:v>ใช้คิว/เวลานั่งได้ถ้าผ่านเกณฑ์; ยังไม่ใช้คำนวณความจุโต๊ะ</x:v>
      </x:c>
    </x:row>
    <x:row r="99" ht="62" customHeight="1">
      <x:c r="A99" s="2" t="str">
        <x:v>173_59</x:v>
      </x:c>
      <x:c r="B99" s="2" t="str">
        <x:v>173</x:v>
      </x:c>
      <x:c r="C99" s="2" t="n">
        <x:v>60</x:v>
      </x:c>
      <x:c r="D99" s="13" t="str">
        <x:v>table_no.</x:v>
      </x:c>
      <x:c r="E99" s="13" t="str">
        <x:v>10</x:v>
      </x:c>
      <x:c r="F99" s="13" t="str">
        <x:v>รหัสไม่ชัดตามคู่มือ</x:v>
      </x:c>
      <x:c r="G99" s="13" t="str">
        <x:v>เก็บรหัสเดิม; ไม่ระบุหน่วยโต๊ะที่ยืนยันแล้ว</x:v>
      </x:c>
      <x:c r="H99" s="13" t="str">
        <x:v>ใช้คิว/เวลานั่งได้ถ้าผ่านเกณฑ์; ยังไม่ใช้คำนวณความจุโต๊ะ</x:v>
      </x:c>
    </x:row>
    <x:row r="100" ht="62" customHeight="1">
      <x:c r="A100" s="2" t="str">
        <x:v>173_62</x:v>
      </x:c>
      <x:c r="B100" s="2" t="str">
        <x:v>173</x:v>
      </x:c>
      <x:c r="C100" s="2" t="n">
        <x:v>63</x:v>
      </x:c>
      <x:c r="D100" s="13" t="str">
        <x:v>table_no.</x:v>
      </x:c>
      <x:c r="E100" s="13" t="str">
        <x:v>16</x:v>
      </x:c>
      <x:c r="F100" s="13" t="str">
        <x:v>รหัสไม่ชัดตามคู่มือ</x:v>
      </x:c>
      <x:c r="G100" s="13" t="str">
        <x:v>เก็บรหัสเดิม; ไม่ระบุหน่วยโต๊ะที่ยืนยันแล้ว</x:v>
      </x:c>
      <x:c r="H100" s="13" t="str">
        <x:v>ใช้คิว/เวลานั่งได้ถ้าผ่านเกณฑ์; ยังไม่ใช้คำนวณความจุโต๊ะ</x:v>
      </x:c>
    </x:row>
    <x:row r="101" ht="62" customHeight="1">
      <x:c r="A101" s="2" t="str">
        <x:v>173_64</x:v>
      </x:c>
      <x:c r="B101" s="2" t="str">
        <x:v>173</x:v>
      </x:c>
      <x:c r="C101" s="2" t="n">
        <x:v>65</x:v>
      </x:c>
      <x:c r="D101" s="13" t="str">
        <x:v>table_no.</x:v>
      </x:c>
      <x:c r="E101" s="13" t="str">
        <x:v>5</x:v>
      </x:c>
      <x:c r="F101" s="13" t="str">
        <x:v>รหัสไม่ชัดตามคู่มือ</x:v>
      </x:c>
      <x:c r="G101" s="13" t="str">
        <x:v>เก็บรหัสเดิม; ไม่ระบุหน่วยโต๊ะที่ยืนยันแล้ว</x:v>
      </x:c>
      <x:c r="H101" s="13" t="str">
        <x:v>ใช้คิว/เวลานั่งได้ถ้าผ่านเกณฑ์; ยังไม่ใช้คำนวณความจุโต๊ะ</x:v>
      </x:c>
    </x:row>
    <x:row r="102" ht="62" customHeight="1">
      <x:c r="A102" s="2" t="str">
        <x:v>173_67</x:v>
      </x:c>
      <x:c r="B102" s="2" t="str">
        <x:v>173</x:v>
      </x:c>
      <x:c r="C102" s="2" t="n">
        <x:v>68</x:v>
      </x:c>
      <x:c r="D102" s="13" t="str">
        <x:v>table_no.</x:v>
      </x:c>
      <x:c r="E102" s="13" t="str">
        <x:v>9</x:v>
      </x:c>
      <x:c r="F102" s="13" t="str">
        <x:v>รหัสไม่ชัดตามคู่มือ</x:v>
      </x:c>
      <x:c r="G102" s="13" t="str">
        <x:v>เก็บรหัสเดิม; ไม่ระบุหน่วยโต๊ะที่ยืนยันแล้ว</x:v>
      </x:c>
      <x:c r="H102" s="13" t="str">
        <x:v>ใช้คิว/เวลานั่งได้ถ้าผ่านเกณฑ์; ยังไม่ใช้คำนวณความจุโต๊ะ</x:v>
      </x:c>
    </x:row>
    <x:row r="103" ht="62" customHeight="1">
      <x:c r="A103" s="2" t="str">
        <x:v>173_68</x:v>
      </x:c>
      <x:c r="B103" s="2" t="str">
        <x:v>173</x:v>
      </x:c>
      <x:c r="C103" s="2" t="n">
        <x:v>69</x:v>
      </x:c>
      <x:c r="D103" s="13" t="str">
        <x:v>table_no.</x:v>
      </x:c>
      <x:c r="E103" s="13" t="str">
        <x:v>1</x:v>
      </x:c>
      <x:c r="F103" s="13" t="str">
        <x:v>รหัสไม่ชัดตามคู่มือ</x:v>
      </x:c>
      <x:c r="G103" s="13" t="str">
        <x:v>เก็บรหัสเดิม; ไม่ระบุหน่วยโต๊ะที่ยืนยันแล้ว</x:v>
      </x:c>
      <x:c r="H103" s="13" t="str">
        <x:v>ใช้คิว/เวลานั่งได้ถ้าผ่านเกณฑ์; ยังไม่ใช้คำนวณความจุโต๊ะ</x:v>
      </x:c>
    </x:row>
    <x:row r="104" ht="62" customHeight="1">
      <x:c r="A104" s="2" t="str">
        <x:v>173_70</x:v>
      </x:c>
      <x:c r="B104" s="2" t="str">
        <x:v>173</x:v>
      </x:c>
      <x:c r="C104" s="2" t="n">
        <x:v>71</x:v>
      </x:c>
      <x:c r="D104" s="13" t="str">
        <x:v>all_time_fields</x:v>
      </x:c>
      <x:c r="E104" s="13" t="str">
        <x:v>ว่างทุกช่อง</x:v>
      </x:c>
      <x:c r="F104" s="13" t="str">
        <x:v>ไม่มีหลักฐานเวลาใช้บริการ</x:v>
      </x:c>
      <x:c r="G104" s="13" t="str">
        <x:v>แยกจาก Clean_Data แต่เก็บทั้งแถวใน Raw_Data</x:v>
      </x:c>
      <x:c r="H104" s="13" t="str">
        <x:v>ไม่นับเป็นกลุ่มใช้บริการ; ไม่ใช่ Walk-away</x:v>
      </x:c>
    </x:row>
    <x:row r="105" ht="62" customHeight="1">
      <x:c r="A105" s="2" t="str">
        <x:v>183_2</x:v>
      </x:c>
      <x:c r="B105" s="2" t="str">
        <x:v>183</x:v>
      </x:c>
      <x:c r="C105" s="2" t="n">
        <x:v>3</x:v>
      </x:c>
      <x:c r="D105" s="13" t="str">
        <x:v>table_no.</x:v>
      </x:c>
      <x:c r="E105" s="13" t="str">
        <x:v>11</x:v>
      </x:c>
      <x:c r="F105" s="13" t="str">
        <x:v>รหัสไม่ชัดตามคู่มือ</x:v>
      </x:c>
      <x:c r="G105" s="13" t="str">
        <x:v>เก็บรหัสเดิม; ไม่ระบุหน่วยโต๊ะที่ยืนยันแล้ว</x:v>
      </x:c>
      <x:c r="H105" s="13" t="str">
        <x:v>ใช้คิว/เวลานั่งได้ถ้าผ่านเกณฑ์; ยังไม่ใช้คำนวณความจุโต๊ะ</x:v>
      </x:c>
    </x:row>
    <x:row r="106" ht="62" customHeight="1">
      <x:c r="A106" s="2" t="str">
        <x:v>183_4</x:v>
      </x:c>
      <x:c r="B106" s="2" t="str">
        <x:v>183</x:v>
      </x:c>
      <x:c r="C106" s="2" t="n">
        <x:v>5</x:v>
      </x:c>
      <x:c r="D106" s="13" t="str">
        <x:v>table_no.</x:v>
      </x:c>
      <x:c r="E106" s="13" t="str">
        <x:v>16</x:v>
      </x:c>
      <x:c r="F106" s="13" t="str">
        <x:v>รหัสไม่ชัดตามคู่มือ</x:v>
      </x:c>
      <x:c r="G106" s="13" t="str">
        <x:v>เก็บรหัสเดิม; ไม่ระบุหน่วยโต๊ะที่ยืนยันแล้ว</x:v>
      </x:c>
      <x:c r="H106" s="13" t="str">
        <x:v>ใช้คิว/เวลานั่งได้ถ้าผ่านเกณฑ์; ยังไม่ใช้คำนวณความจุโต๊ะ</x:v>
      </x:c>
    </x:row>
    <x:row r="107" ht="62" customHeight="1">
      <x:c r="A107" s="2" t="str">
        <x:v>183_5</x:v>
      </x:c>
      <x:c r="B107" s="2" t="str">
        <x:v>183</x:v>
      </x:c>
      <x:c r="C107" s="2" t="n">
        <x:v>6</x:v>
      </x:c>
      <x:c r="D107" s="13" t="str">
        <x:v>meal_start / meal_end</x:v>
      </x:c>
      <x:c r="E107" s="13" t="str">
        <x:v>02:29:00 - 07:50:00</x:v>
      </x:c>
      <x:c r="F107" s="13" t="str">
        <x:v>เริ่ม 02:29 และกิน 321 นาที; อาจเป็นไปได้แต่ต้องยืนยัน</x:v>
      </x:c>
      <x:c r="G107" s="13" t="str">
        <x:v>พักการใช้เวลานั่ง; ไม่เดาว่าควรเป็น 07:29</x:v>
      </x:c>
      <x:c r="H107" s="13" t="str">
        <x:v>นับกลุ่มได้; 06:00 เป็นเกณฑ์ทบทวนสมมติ ไม่ใช่เวลาเปิดที่ยืนยัน</x:v>
      </x:c>
    </x:row>
    <x:row r="108" ht="62" customHeight="1">
      <x:c r="A108" s="2" t="str">
        <x:v>183_7</x:v>
      </x:c>
      <x:c r="B108" s="2" t="str">
        <x:v>183</x:v>
      </x:c>
      <x:c r="C108" s="2" t="n">
        <x:v>8</x:v>
      </x:c>
      <x:c r="D108" s="13" t="str">
        <x:v>table_no.</x:v>
      </x:c>
      <x:c r="E108" s="13" t="str">
        <x:v>6</x:v>
      </x:c>
      <x:c r="F108" s="13" t="str">
        <x:v>รหัสไม่ชัดตามคู่มือ</x:v>
      </x:c>
      <x:c r="G108" s="13" t="str">
        <x:v>เก็บรหัสเดิม; ไม่ระบุหน่วยโต๊ะที่ยืนยันแล้ว</x:v>
      </x:c>
      <x:c r="H108" s="13" t="str">
        <x:v>ใช้คิว/เวลานั่งได้ถ้าผ่านเกณฑ์; ยังไม่ใช้คำนวณความจุโต๊ะ</x:v>
      </x:c>
    </x:row>
    <x:row r="109" ht="62" customHeight="1">
      <x:c r="A109" s="2" t="str">
        <x:v>183_9</x:v>
      </x:c>
      <x:c r="B109" s="2" t="str">
        <x:v>183</x:v>
      </x:c>
      <x:c r="C109" s="2" t="n">
        <x:v>10</x:v>
      </x:c>
      <x:c r="D109" s="13" t="str">
        <x:v>table_no.</x:v>
      </x:c>
      <x:c r="E109" s="13" t="str">
        <x:v>1</x:v>
      </x:c>
      <x:c r="F109" s="13" t="str">
        <x:v>รหัสไม่ชัดตามคู่มือ</x:v>
      </x:c>
      <x:c r="G109" s="13" t="str">
        <x:v>เก็บรหัสเดิม; ไม่ระบุหน่วยโต๊ะที่ยืนยันแล้ว</x:v>
      </x:c>
      <x:c r="H109" s="13" t="str">
        <x:v>ใช้คิว/เวลานั่งได้ถ้าผ่านเกณฑ์; ยังไม่ใช้คำนวณความจุโต๊ะ</x:v>
      </x:c>
    </x:row>
    <x:row r="110" ht="62" customHeight="1">
      <x:c r="A110" s="2" t="str">
        <x:v>183_10</x:v>
      </x:c>
      <x:c r="B110" s="2" t="str">
        <x:v>183</x:v>
      </x:c>
      <x:c r="C110" s="2" t="n">
        <x:v>11</x:v>
      </x:c>
      <x:c r="D110" s="13" t="str">
        <x:v>table_no.</x:v>
      </x:c>
      <x:c r="E110" s="13" t="str">
        <x:v>6</x:v>
      </x:c>
      <x:c r="F110" s="13" t="str">
        <x:v>รหัสไม่ชัดตามคู่มือ</x:v>
      </x:c>
      <x:c r="G110" s="13" t="str">
        <x:v>เก็บรหัสเดิม; ไม่ระบุหน่วยโต๊ะที่ยืนยันแล้ว</x:v>
      </x:c>
      <x:c r="H110" s="13" t="str">
        <x:v>ใช้คิว/เวลานั่งได้ถ้าผ่านเกณฑ์; ยังไม่ใช้คำนวณความจุโต๊ะ</x:v>
      </x:c>
    </x:row>
    <x:row r="111" ht="62" customHeight="1">
      <x:c r="A111" s="2" t="str">
        <x:v>183_14</x:v>
      </x:c>
      <x:c r="B111" s="2" t="str">
        <x:v>183</x:v>
      </x:c>
      <x:c r="C111" s="2" t="n">
        <x:v>15</x:v>
      </x:c>
      <x:c r="D111" s="13" t="str">
        <x:v>table_no.</x:v>
      </x:c>
      <x:c r="E111" s="13" t="str">
        <x:v>16</x:v>
      </x:c>
      <x:c r="F111" s="13" t="str">
        <x:v>รหัสไม่ชัดตามคู่มือ</x:v>
      </x:c>
      <x:c r="G111" s="13" t="str">
        <x:v>เก็บรหัสเดิม; ไม่ระบุหน่วยโต๊ะที่ยืนยันแล้ว</x:v>
      </x:c>
      <x:c r="H111" s="13" t="str">
        <x:v>ใช้คิว/เวลานั่งได้ถ้าผ่านเกณฑ์; ยังไม่ใช้คำนวณความจุโต๊ะ</x:v>
      </x:c>
    </x:row>
    <x:row r="112" ht="62" customHeight="1">
      <x:c r="A112" s="2" t="str">
        <x:v>183_20</x:v>
      </x:c>
      <x:c r="B112" s="2" t="str">
        <x:v>183</x:v>
      </x:c>
      <x:c r="C112" s="2" t="n">
        <x:v>21</x:v>
      </x:c>
      <x:c r="D112" s="13" t="str">
        <x:v>table_no.</x:v>
      </x:c>
      <x:c r="E112" s="13" t="str">
        <x:v>3</x:v>
      </x:c>
      <x:c r="F112" s="13" t="str">
        <x:v>รหัสไม่ชัดตามคู่มือ</x:v>
      </x:c>
      <x:c r="G112" s="13" t="str">
        <x:v>เก็บรหัสเดิม; ไม่ระบุหน่วยโต๊ะที่ยืนยันแล้ว</x:v>
      </x:c>
      <x:c r="H112" s="13" t="str">
        <x:v>ใช้คิว/เวลานั่งได้ถ้าผ่านเกณฑ์; ยังไม่ใช้คำนวณความจุโต๊ะ</x:v>
      </x:c>
    </x:row>
    <x:row r="113" ht="62" customHeight="1">
      <x:c r="A113" s="2" t="str">
        <x:v>183_23</x:v>
      </x:c>
      <x:c r="B113" s="2" t="str">
        <x:v>183</x:v>
      </x:c>
      <x:c r="C113" s="2" t="n">
        <x:v>24</x:v>
      </x:c>
      <x:c r="D113" s="13" t="str">
        <x:v>table_no.</x:v>
      </x:c>
      <x:c r="E113" s="13" t="str">
        <x:v>2</x:v>
      </x:c>
      <x:c r="F113" s="13" t="str">
        <x:v>รหัสไม่ชัดตามคู่มือ</x:v>
      </x:c>
      <x:c r="G113" s="13" t="str">
        <x:v>เก็บรหัสเดิม; ไม่ระบุหน่วยโต๊ะที่ยืนยันแล้ว</x:v>
      </x:c>
      <x:c r="H113" s="13" t="str">
        <x:v>ใช้คิว/เวลานั่งได้ถ้าผ่านเกณฑ์; ยังไม่ใช้คำนวณความจุโต๊ะ</x:v>
      </x:c>
    </x:row>
    <x:row r="114" ht="62" customHeight="1">
      <x:c r="A114" s="2" t="str">
        <x:v>183_24</x:v>
      </x:c>
      <x:c r="B114" s="2" t="str">
        <x:v>183</x:v>
      </x:c>
      <x:c r="C114" s="2" t="n">
        <x:v>25</x:v>
      </x:c>
      <x:c r="D114" s="13" t="str">
        <x:v>table_no.</x:v>
      </x:c>
      <x:c r="E114" s="13" t="str">
        <x:v>16</x:v>
      </x:c>
      <x:c r="F114" s="13" t="str">
        <x:v>รหัสไม่ชัดตามคู่มือ</x:v>
      </x:c>
      <x:c r="G114" s="13" t="str">
        <x:v>เก็บรหัสเดิม; ไม่ระบุหน่วยโต๊ะที่ยืนยันแล้ว</x:v>
      </x:c>
      <x:c r="H114" s="13" t="str">
        <x:v>ใช้คิว/เวลานั่งได้ถ้าผ่านเกณฑ์; ยังไม่ใช้คำนวณความจุโต๊ะ</x:v>
      </x:c>
    </x:row>
    <x:row r="115" ht="62" customHeight="1">
      <x:c r="A115" s="2" t="str">
        <x:v>183_26</x:v>
      </x:c>
      <x:c r="B115" s="2" t="str">
        <x:v>183</x:v>
      </x:c>
      <x:c r="C115" s="2" t="n">
        <x:v>27</x:v>
      </x:c>
      <x:c r="D115" s="13" t="str">
        <x:v>table_no.</x:v>
      </x:c>
      <x:c r="E115" s="13" t="str">
        <x:v>5</x:v>
      </x:c>
      <x:c r="F115" s="13" t="str">
        <x:v>รหัสไม่ชัดตามคู่มือ</x:v>
      </x:c>
      <x:c r="G115" s="13" t="str">
        <x:v>เก็บรหัสเดิม; ไม่ระบุหน่วยโต๊ะที่ยืนยันแล้ว</x:v>
      </x:c>
      <x:c r="H115" s="13" t="str">
        <x:v>ใช้คิว/เวลานั่งได้ถ้าผ่านเกณฑ์; ยังไม่ใช้คำนวณความจุโต๊ะ</x:v>
      </x:c>
    </x:row>
    <x:row r="116" ht="62" customHeight="1">
      <x:c r="A116" s="2" t="str">
        <x:v>183_28</x:v>
      </x:c>
      <x:c r="B116" s="2" t="str">
        <x:v>183</x:v>
      </x:c>
      <x:c r="C116" s="2" t="n">
        <x:v>29</x:v>
      </x:c>
      <x:c r="D116" s="13" t="str">
        <x:v>table_no.</x:v>
      </x:c>
      <x:c r="E116" s="13" t="str">
        <x:v>12/13</x:v>
      </x:c>
      <x:c r="F116" s="13" t="str">
        <x:v>เครื่องหมาย / ไม่ได้อธิบายในคู่มือ</x:v>
      </x:c>
      <x:c r="G116" s="13" t="str">
        <x:v>เก็บรหัสเดิม; ไม่ระบุหน่วยโต๊ะที่ยืนยันแล้ว</x:v>
      </x:c>
      <x:c r="H116" s="13" t="str">
        <x:v>ใช้คิว/เวลานั่งได้ถ้าผ่านเกณฑ์; ยังไม่ใช้คำนวณความจุโต๊ะ</x:v>
      </x:c>
    </x:row>
    <x:row r="117" ht="62" customHeight="1">
      <x:c r="A117" s="2" t="str">
        <x:v>183_35</x:v>
      </x:c>
      <x:c r="B117" s="2" t="str">
        <x:v>183</x:v>
      </x:c>
      <x:c r="C117" s="2" t="n">
        <x:v>36</x:v>
      </x:c>
      <x:c r="D117" s="13" t="str">
        <x:v>table_no.</x:v>
      </x:c>
      <x:c r="E117" s="13" t="str">
        <x:v>9</x:v>
      </x:c>
      <x:c r="F117" s="13" t="str">
        <x:v>รหัสไม่ชัดตามคู่มือ</x:v>
      </x:c>
      <x:c r="G117" s="13" t="str">
        <x:v>เก็บรหัสเดิม; ไม่ระบุหน่วยโต๊ะที่ยืนยันแล้ว</x:v>
      </x:c>
      <x:c r="H117" s="13" t="str">
        <x:v>ใช้คิว/เวลานั่งได้ถ้าผ่านเกณฑ์; ยังไม่ใช้คำนวณความจุโต๊ะ</x:v>
      </x:c>
    </x:row>
    <x:row r="118" ht="62" customHeight="1">
      <x:c r="A118" s="2" t="str">
        <x:v>183_36</x:v>
      </x:c>
      <x:c r="B118" s="2" t="str">
        <x:v>183</x:v>
      </x:c>
      <x:c r="C118" s="2" t="n">
        <x:v>37</x:v>
      </x:c>
      <x:c r="D118" s="13" t="str">
        <x:v>table_no.</x:v>
      </x:c>
      <x:c r="E118" s="13" t="str">
        <x:v>3</x:v>
      </x:c>
      <x:c r="F118" s="13" t="str">
        <x:v>รหัสไม่ชัดตามคู่มือ</x:v>
      </x:c>
      <x:c r="G118" s="13" t="str">
        <x:v>เก็บรหัสเดิม; ไม่ระบุหน่วยโต๊ะที่ยืนยันแล้ว</x:v>
      </x:c>
      <x:c r="H118" s="13" t="str">
        <x:v>ใช้คิว/เวลานั่งได้ถ้าผ่านเกณฑ์; ยังไม่ใช้คำนวณความจุโต๊ะ</x:v>
      </x:c>
    </x:row>
    <x:row r="119" ht="62" customHeight="1">
      <x:c r="A119" s="2" t="str">
        <x:v>183_37</x:v>
      </x:c>
      <x:c r="B119" s="2" t="str">
        <x:v>183</x:v>
      </x:c>
      <x:c r="C119" s="2" t="n">
        <x:v>38</x:v>
      </x:c>
      <x:c r="D119" s="13" t="str">
        <x:v>table_no.</x:v>
      </x:c>
      <x:c r="E119" s="13" t="str">
        <x:v>4B/5A</x:v>
      </x:c>
      <x:c r="F119" s="13" t="str">
        <x:v>เครื่องหมาย / ไม่ได้อธิบายในคู่มือ</x:v>
      </x:c>
      <x:c r="G119" s="13" t="str">
        <x:v>เก็บรหัสเดิม; ไม่ระบุหน่วยโต๊ะที่ยืนยันแล้ว</x:v>
      </x:c>
      <x:c r="H119" s="13" t="str">
        <x:v>ใช้คิว/เวลานั่งได้ถ้าผ่านเกณฑ์; ยังไม่ใช้คำนวณความจุโต๊ะ</x:v>
      </x:c>
    </x:row>
    <x:row r="120" ht="62" customHeight="1">
      <x:c r="A120" s="2" t="str">
        <x:v>183_42</x:v>
      </x:c>
      <x:c r="B120" s="2" t="str">
        <x:v>183</x:v>
      </x:c>
      <x:c r="C120" s="2" t="n">
        <x:v>43</x:v>
      </x:c>
      <x:c r="D120" s="13" t="str">
        <x:v>table_no.</x:v>
      </x:c>
      <x:c r="E120" s="13" t="str">
        <x:v>2</x:v>
      </x:c>
      <x:c r="F120" s="13" t="str">
        <x:v>รหัสไม่ชัดตามคู่มือ</x:v>
      </x:c>
      <x:c r="G120" s="13" t="str">
        <x:v>เก็บรหัสเดิม; ไม่ระบุหน่วยโต๊ะที่ยืนยันแล้ว</x:v>
      </x:c>
      <x:c r="H120" s="13" t="str">
        <x:v>ใช้คิว/เวลานั่งได้ถ้าผ่านเกณฑ์; ยังไม่ใช้คำนวณความจุโต๊ะ</x:v>
      </x:c>
    </x:row>
    <x:row r="121" ht="62" customHeight="1">
      <x:c r="A121" s="2" t="str">
        <x:v>183_43</x:v>
      </x:c>
      <x:c r="B121" s="2" t="str">
        <x:v>183</x:v>
      </x:c>
      <x:c r="C121" s="2" t="n">
        <x:v>44</x:v>
      </x:c>
      <x:c r="D121" s="13" t="str">
        <x:v>table_no.</x:v>
      </x:c>
      <x:c r="E121" s="13" t="str">
        <x:v>16</x:v>
      </x:c>
      <x:c r="F121" s="13" t="str">
        <x:v>รหัสไม่ชัดตามคู่มือ</x:v>
      </x:c>
      <x:c r="G121" s="13" t="str">
        <x:v>เก็บรหัสเดิม; ไม่ระบุหน่วยโต๊ะที่ยืนยันแล้ว</x:v>
      </x:c>
      <x:c r="H121" s="13" t="str">
        <x:v>ใช้คิว/เวลานั่งได้ถ้าผ่านเกณฑ์; ยังไม่ใช้คำนวณความจุโต๊ะ</x:v>
      </x:c>
    </x:row>
    <x:row r="122" ht="62" customHeight="1">
      <x:c r="A122" s="2" t="str">
        <x:v>183_47</x:v>
      </x:c>
      <x:c r="B122" s="2" t="str">
        <x:v>183</x:v>
      </x:c>
      <x:c r="C122" s="2" t="n">
        <x:v>48</x:v>
      </x:c>
      <x:c r="D122" s="13" t="str">
        <x:v>table_no.</x:v>
      </x:c>
      <x:c r="E122" s="13" t="str">
        <x:v>4B/5A</x:v>
      </x:c>
      <x:c r="F122" s="13" t="str">
        <x:v>เครื่องหมาย / ไม่ได้อธิบายในคู่มือ</x:v>
      </x:c>
      <x:c r="G122" s="13" t="str">
        <x:v>เก็บรหัสเดิม; ไม่ระบุหน่วยโต๊ะที่ยืนยันแล้ว</x:v>
      </x:c>
      <x:c r="H122" s="13" t="str">
        <x:v>ใช้คิว/เวลานั่งได้ถ้าผ่านเกณฑ์; ยังไม่ใช้คำนวณความจุโต๊ะ</x:v>
      </x:c>
    </x:row>
    <x:row r="123" ht="62" customHeight="1">
      <x:c r="A123" s="2" t="str">
        <x:v>183_51</x:v>
      </x:c>
      <x:c r="B123" s="2" t="str">
        <x:v>183</x:v>
      </x:c>
      <x:c r="C123" s="2" t="n">
        <x:v>52</x:v>
      </x:c>
      <x:c r="D123" s="13" t="str">
        <x:v>table_no.</x:v>
      </x:c>
      <x:c r="E123" s="13" t="str">
        <x:v>9</x:v>
      </x:c>
      <x:c r="F123" s="13" t="str">
        <x:v>รหัสไม่ชัดตามคู่มือ</x:v>
      </x:c>
      <x:c r="G123" s="13" t="str">
        <x:v>เก็บรหัสเดิม; ไม่ระบุหน่วยโต๊ะที่ยืนยันแล้ว</x:v>
      </x:c>
      <x:c r="H123" s="13" t="str">
        <x:v>ใช้คิว/เวลานั่งได้ถ้าผ่านเกณฑ์; ยังไม่ใช้คำนวณความจุโต๊ะ</x:v>
      </x:c>
    </x:row>
    <x:row r="124" ht="62" customHeight="1">
      <x:c r="A124" s="2" t="str">
        <x:v>183_57</x:v>
      </x:c>
      <x:c r="B124" s="2" t="str">
        <x:v>183</x:v>
      </x:c>
      <x:c r="C124" s="2" t="n">
        <x:v>58</x:v>
      </x:c>
      <x:c r="D124" s="13" t="str">
        <x:v>table_no.</x:v>
      </x:c>
      <x:c r="E124" s="13" t="str">
        <x:v>3</x:v>
      </x:c>
      <x:c r="F124" s="13" t="str">
        <x:v>รหัสไม่ชัดตามคู่มือ</x:v>
      </x:c>
      <x:c r="G124" s="13" t="str">
        <x:v>เก็บรหัสเดิม; ไม่ระบุหน่วยโต๊ะที่ยืนยันแล้ว</x:v>
      </x:c>
      <x:c r="H124" s="13" t="str">
        <x:v>ใช้คิว/เวลานั่งได้ถ้าผ่านเกณฑ์; ยังไม่ใช้คำนวณความจุโต๊ะ</x:v>
      </x:c>
    </x:row>
    <x:row r="125" ht="62" customHeight="1">
      <x:c r="A125" s="2" t="str">
        <x:v>183_59</x:v>
      </x:c>
      <x:c r="B125" s="2" t="str">
        <x:v>183</x:v>
      </x:c>
      <x:c r="C125" s="2" t="n">
        <x:v>60</x:v>
      </x:c>
      <x:c r="D125" s="13" t="str">
        <x:v>table_no.</x:v>
      </x:c>
      <x:c r="E125" s="13" t="str">
        <x:v>12/13</x:v>
      </x:c>
      <x:c r="F125" s="13" t="str">
        <x:v>เครื่องหมาย / ไม่ได้อธิบายในคู่มือ</x:v>
      </x:c>
      <x:c r="G125" s="13" t="str">
        <x:v>เก็บรหัสเดิม; ไม่ระบุหน่วยโต๊ะที่ยืนยันแล้ว</x:v>
      </x:c>
      <x:c r="H125" s="13" t="str">
        <x:v>ใช้คิว/เวลานั่งได้ถ้าผ่านเกณฑ์; ยังไม่ใช้คำนวณความจุโต๊ะ</x:v>
      </x:c>
    </x:row>
    <x:row r="126" ht="62" customHeight="1">
      <x:c r="A126" s="2" t="str">
        <x:v>183_60</x:v>
      </x:c>
      <x:c r="B126" s="2" t="str">
        <x:v>183</x:v>
      </x:c>
      <x:c r="C126" s="2" t="n">
        <x:v>61</x:v>
      </x:c>
      <x:c r="D126" s="13" t="str">
        <x:v>table_no.</x:v>
      </x:c>
      <x:c r="E126" s="13" t="str">
        <x:v>16</x:v>
      </x:c>
      <x:c r="F126" s="13" t="str">
        <x:v>รหัสไม่ชัดตามคู่มือ</x:v>
      </x:c>
      <x:c r="G126" s="13" t="str">
        <x:v>เก็บรหัสเดิม; ไม่ระบุหน่วยโต๊ะที่ยืนยันแล้ว</x:v>
      </x:c>
      <x:c r="H126" s="13" t="str">
        <x:v>ใช้คิว/เวลานั่งได้ถ้าผ่านเกณฑ์; ยังไม่ใช้คำนวณความจุโต๊ะ</x:v>
      </x:c>
    </x:row>
    <x:row r="127" ht="62" customHeight="1">
      <x:c r="A127" s="2" t="str">
        <x:v>183_62</x:v>
      </x:c>
      <x:c r="B127" s="2" t="str">
        <x:v>183</x:v>
      </x:c>
      <x:c r="C127" s="2" t="n">
        <x:v>63</x:v>
      </x:c>
      <x:c r="D127" s="13" t="str">
        <x:v>meal_start / meal_end</x:v>
      </x:c>
      <x:c r="E127" s="13" t="str">
        <x:v>11:53:00 - 11:28:00</x:v>
      </x:c>
      <x:c r="F127" s="13" t="str">
        <x:v>เวลาจบก่อนเริ่ม; ผลต่าง -25 นาที</x:v>
      </x:c>
      <x:c r="G127" s="13" t="str">
        <x:v>เว้นเวลานั่ง clean; ไม่สลับเวลาและไม่ใช้ค่าสัมบูรณ์</x:v>
      </x:c>
      <x:c r="H127" s="13" t="str">
        <x:v>นับกลุ่มได้; เวลานั่งต้องยืนยัน</x:v>
      </x:c>
    </x:row>
    <x:row r="128" ht="62" customHeight="1">
      <x:c r="A128" s="2" t="str">
        <x:v>183_65</x:v>
      </x:c>
      <x:c r="B128" s="2" t="str">
        <x:v>183</x:v>
      </x:c>
      <x:c r="C128" s="2" t="n">
        <x:v>66</x:v>
      </x:c>
      <x:c r="D128" s="13" t="str">
        <x:v>table_no.</x:v>
      </x:c>
      <x:c r="E128" s="13" t="str">
        <x:v>11A/11B</x:v>
      </x:c>
      <x:c r="F128" s="13" t="str">
        <x:v>เครื่องหมาย / ไม่ได้อธิบายในคู่มือ</x:v>
      </x:c>
      <x:c r="G128" s="13" t="str">
        <x:v>เก็บรหัสเดิม; ไม่ระบุหน่วยโต๊ะที่ยืนยันแล้ว</x:v>
      </x:c>
      <x:c r="H128" s="13" t="str">
        <x:v>ใช้คิว/เวลานั่งได้ถ้าผ่านเกณฑ์; ยังไม่ใช้คำนวณความจุโต๊ะ</x:v>
      </x:c>
    </x:row>
    <x:row r="129" ht="62" customHeight="1">
      <x:c r="A129" s="2" t="str">
        <x:v>183_68</x:v>
      </x:c>
      <x:c r="B129" s="2" t="str">
        <x:v>183</x:v>
      </x:c>
      <x:c r="C129" s="2" t="n">
        <x:v>69</x:v>
      </x:c>
      <x:c r="D129" s="13" t="str">
        <x:v>table_no.</x:v>
      </x:c>
      <x:c r="E129" s="13" t="str">
        <x:v>4</x:v>
      </x:c>
      <x:c r="F129" s="13" t="str">
        <x:v>รหัสไม่ชัดตามคู่มือ</x:v>
      </x:c>
      <x:c r="G129" s="13" t="str">
        <x:v>เก็บรหัสเดิม; ไม่ระบุหน่วยโต๊ะที่ยืนยันแล้ว</x:v>
      </x:c>
      <x:c r="H129" s="13" t="str">
        <x:v>ใช้คิว/เวลานั่งได้ถ้าผ่านเกณฑ์; ยังไม่ใช้คำนวณความจุโต๊ะ</x:v>
      </x:c>
    </x:row>
  </x:sheetData>
  <x:pageMargins left="0.7" right="0.7" top="0.75" bottom="0.75" header="0.3" footer="0.3"/>
  <x:tableParts count="1">
    <x:tablePart xmlns:r="http://schemas.openxmlformats.org/officeDocument/2006/relationships" r:id="R1ac7fc2379c9496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5" hidden="0" customWidth="1"/>
    <x:col min="13" max="13" width="25" hidden="0" customWidth="1"/>
    <x:col min="14" max="14" width="20" hidden="0" customWidth="1"/>
    <x:col min="15" max="15" width="20" hidden="0" customWidth="1"/>
  </x:cols>
  <x:sheetData>
    <x:row r="1" ht="44" customHeight="1">
      <x:c r="A1" s="6" t="str">
        <x:v>group_id</x:v>
      </x:c>
      <x:c r="B1" s="6" t="str">
        <x:v>source_sheet</x:v>
      </x:c>
      <x:c r="C1" s="6" t="str">
        <x:v>source_row</x:v>
      </x:c>
      <x:c r="D1" s="6" t="str">
        <x:v>service_no.</x:v>
      </x:c>
      <x:c r="E1" s="6" t="str">
        <x:v>pax</x:v>
      </x:c>
      <x:c r="F1" s="6" t="str">
        <x:v>queue_start</x:v>
      </x:c>
      <x:c r="G1" s="6" t="str">
        <x:v>queue_end</x:v>
      </x:c>
      <x:c r="H1" s="6" t="str">
        <x:v>table_no.</x:v>
      </x:c>
      <x:c r="I1" s="6" t="str">
        <x:v>meal_start</x:v>
      </x:c>
      <x:c r="J1" s="6" t="str">
        <x:v>meal_end</x:v>
      </x:c>
      <x:c r="K1" s="6" t="str">
        <x:v>Guest_type</x:v>
      </x:c>
      <x:c r="L1" s="6" t="str">
        <x:v>extra_I_formula_text</x:v>
      </x:c>
      <x:c r="M1" s="6" t="str">
        <x:v>extra_J_formula_text</x:v>
      </x:c>
      <x:c r="N1" s="6" t="str">
        <x:v>extra_I_cached</x:v>
      </x:c>
      <x:c r="O1" s="6" t="str">
        <x:v>extra_J_cached</x:v>
      </x:c>
    </x:row>
    <x:row r="2" ht="24" customHeight="1">
      <x:c r="A2" s="2" t="str">
        <x:v>133_1</x:v>
      </x:c>
      <x:c r="B2" s="10" t="str">
        <x:v>133</x:v>
      </x:c>
      <x:c r="C2" s="10" t="n">
        <x:v>2</x:v>
      </x:c>
      <x:c r="D2" s="10" t="n">
        <x:v>1</x:v>
      </x:c>
      <x:c r="E2" s="10" t="n">
        <x:v>1</x:v>
      </x:c>
      <x:c r="F2" s="12"/>
      <x:c r="G2" s="12"/>
      <x:c r="H2" s="10" t="n">
        <x:v>6</x:v>
      </x:c>
      <x:c r="I2" s="12" t="n">
        <x:v>0.2791666666666667</x:v>
      </x:c>
      <x:c r="J2" s="12" t="n">
        <x:v>0.2916666666666667</x:v>
      </x:c>
      <x:c r="K2" s="2" t="str">
        <x:v>In house</x:v>
      </x:c>
      <x:c r="L2" s="2"/>
      <x:c r="M2" s="2"/>
      <x:c r="N2" s="14"/>
      <x:c r="O2" s="14"/>
    </x:row>
    <x:row r="3" ht="24" customHeight="1">
      <x:c r="A3" s="2" t="str">
        <x:v>133_2</x:v>
      </x:c>
      <x:c r="B3" s="10" t="str">
        <x:v>133</x:v>
      </x:c>
      <x:c r="C3" s="10" t="n">
        <x:v>3</x:v>
      </x:c>
      <x:c r="D3" s="10" t="n">
        <x:v>2</x:v>
      </x:c>
      <x:c r="E3" s="10" t="n">
        <x:v>2</x:v>
      </x:c>
      <x:c r="F3" s="12"/>
      <x:c r="G3" s="12"/>
      <x:c r="H3" s="10" t="n">
        <x:v>2</x:v>
      </x:c>
      <x:c r="I3" s="12" t="n">
        <x:v>0.28055555555555556</x:v>
      </x:c>
      <x:c r="J3" s="12" t="n">
        <x:v>0.2986111111111111</x:v>
      </x:c>
      <x:c r="K3" s="2" t="str">
        <x:v>Walk in</x:v>
      </x:c>
      <x:c r="L3" s="2"/>
      <x:c r="M3" s="2"/>
      <x:c r="N3" s="14"/>
      <x:c r="O3" s="14"/>
    </x:row>
    <x:row r="4" ht="24" customHeight="1">
      <x:c r="A4" s="2" t="str">
        <x:v>133_3</x:v>
      </x:c>
      <x:c r="B4" s="10" t="str">
        <x:v>133</x:v>
      </x:c>
      <x:c r="C4" s="10" t="n">
        <x:v>4</x:v>
      </x:c>
      <x:c r="D4" s="10" t="n">
        <x:v>3</x:v>
      </x:c>
      <x:c r="E4" s="10" t="n">
        <x:v>2</x:v>
      </x:c>
      <x:c r="F4" s="12"/>
      <x:c r="G4" s="12"/>
      <x:c r="H4" s="10" t="str">
        <x:v>7A</x:v>
      </x:c>
      <x:c r="I4" s="12" t="n">
        <x:v>0.2951388888888889</x:v>
      </x:c>
      <x:c r="J4" s="12" t="n">
        <x:v>0.3388888888888889</x:v>
      </x:c>
      <x:c r="K4" s="2" t="str">
        <x:v>Walk in</x:v>
      </x:c>
      <x:c r="L4" s="2"/>
      <x:c r="M4" s="2"/>
      <x:c r="N4" s="14"/>
      <x:c r="O4" s="14"/>
    </x:row>
    <x:row r="5" ht="24" customHeight="1">
      <x:c r="A5" s="2" t="str">
        <x:v>133_4</x:v>
      </x:c>
      <x:c r="B5" s="10" t="str">
        <x:v>133</x:v>
      </x:c>
      <x:c r="C5" s="10" t="n">
        <x:v>5</x:v>
      </x:c>
      <x:c r="D5" s="10" t="n">
        <x:v>4</x:v>
      </x:c>
      <x:c r="E5" s="10" t="n">
        <x:v>1</x:v>
      </x:c>
      <x:c r="F5" s="12"/>
      <x:c r="G5" s="12"/>
      <x:c r="H5" s="10" t="str">
        <x:v>8A</x:v>
      </x:c>
      <x:c r="I5" s="12" t="n">
        <x:v>0.3055555555555556</x:v>
      </x:c>
      <x:c r="J5" s="12" t="n">
        <x:v>0.3458333333333333</x:v>
      </x:c>
      <x:c r="K5" s="2" t="str">
        <x:v>In house</x:v>
      </x:c>
      <x:c r="L5" s="2"/>
      <x:c r="M5" s="2"/>
      <x:c r="N5" s="14"/>
      <x:c r="O5" s="14"/>
    </x:row>
    <x:row r="6" ht="24" customHeight="1">
      <x:c r="A6" s="2" t="str">
        <x:v>133_5</x:v>
      </x:c>
      <x:c r="B6" s="10" t="str">
        <x:v>133</x:v>
      </x:c>
      <x:c r="C6" s="10" t="n">
        <x:v>6</x:v>
      </x:c>
      <x:c r="D6" s="10" t="n">
        <x:v>5</x:v>
      </x:c>
      <x:c r="E6" s="10" t="n">
        <x:v>1</x:v>
      </x:c>
      <x:c r="F6" s="12"/>
      <x:c r="G6" s="12"/>
      <x:c r="H6" s="10" t="str">
        <x:v>10A</x:v>
      </x:c>
      <x:c r="I6" s="12" t="n">
        <x:v>0.3090277777777778</x:v>
      </x:c>
      <x:c r="J6" s="12" t="n">
        <x:v>0.3229166666666667</x:v>
      </x:c>
      <x:c r="K6" s="2" t="str">
        <x:v>In house</x:v>
      </x:c>
      <x:c r="L6" s="2"/>
      <x:c r="M6" s="2"/>
      <x:c r="N6" s="14"/>
      <x:c r="O6" s="14"/>
    </x:row>
    <x:row r="7" ht="24" customHeight="1">
      <x:c r="A7" s="2" t="str">
        <x:v>133_6</x:v>
      </x:c>
      <x:c r="B7" s="10" t="str">
        <x:v>133</x:v>
      </x:c>
      <x:c r="C7" s="10" t="n">
        <x:v>7</x:v>
      </x:c>
      <x:c r="D7" s="10" t="n">
        <x:v>6</x:v>
      </x:c>
      <x:c r="E7" s="10" t="n">
        <x:v>1</x:v>
      </x:c>
      <x:c r="F7" s="12"/>
      <x:c r="G7" s="12"/>
      <x:c r="H7" s="10" t="str">
        <x:v>8B</x:v>
      </x:c>
      <x:c r="I7" s="12" t="n">
        <x:v>0.3111111111111111</x:v>
      </x:c>
      <x:c r="J7" s="12" t="n">
        <x:v>0.3472222222222222</x:v>
      </x:c>
      <x:c r="K7" s="2" t="str">
        <x:v>In house</x:v>
      </x:c>
      <x:c r="L7" s="2"/>
      <x:c r="M7" s="2"/>
      <x:c r="N7" s="14"/>
      <x:c r="O7" s="14"/>
    </x:row>
    <x:row r="8" ht="24" customHeight="1">
      <x:c r="A8" s="2" t="str">
        <x:v>133_7</x:v>
      </x:c>
      <x:c r="B8" s="10" t="str">
        <x:v>133</x:v>
      </x:c>
      <x:c r="C8" s="10" t="n">
        <x:v>8</x:v>
      </x:c>
      <x:c r="D8" s="10" t="n">
        <x:v>7</x:v>
      </x:c>
      <x:c r="E8" s="10" t="n">
        <x:v>1</x:v>
      </x:c>
      <x:c r="F8" s="12"/>
      <x:c r="G8" s="12"/>
      <x:c r="H8" s="10" t="n">
        <x:v>9</x:v>
      </x:c>
      <x:c r="I8" s="12" t="n">
        <x:v>0.3145833333333333</x:v>
      </x:c>
      <x:c r="J8" s="12" t="n">
        <x:v>0.3368055555555556</x:v>
      </x:c>
      <x:c r="K8" s="2" t="str">
        <x:v>In house</x:v>
      </x:c>
      <x:c r="L8" s="2"/>
      <x:c r="M8" s="2"/>
      <x:c r="N8" s="14"/>
      <x:c r="O8" s="14"/>
    </x:row>
    <x:row r="9" ht="24" customHeight="1">
      <x:c r="A9" s="2" t="str">
        <x:v>133_8</x:v>
      </x:c>
      <x:c r="B9" s="10" t="str">
        <x:v>133</x:v>
      </x:c>
      <x:c r="C9" s="10" t="n">
        <x:v>9</x:v>
      </x:c>
      <x:c r="D9" s="10" t="n">
        <x:v>8</x:v>
      </x:c>
      <x:c r="E9" s="10" t="n">
        <x:v>5</x:v>
      </x:c>
      <x:c r="F9" s="12"/>
      <x:c r="G9" s="12"/>
      <x:c r="H9" s="10" t="n">
        <x:v>4</x:v>
      </x:c>
      <x:c r="I9" s="12" t="n">
        <x:v>0.32083333333333336</x:v>
      </x:c>
      <x:c r="J9" s="12" t="n">
        <x:v>0.3611111111111111</x:v>
      </x:c>
      <x:c r="K9" s="2" t="str">
        <x:v>Walk in</x:v>
      </x:c>
      <x:c r="L9" s="2"/>
      <x:c r="M9" s="2"/>
      <x:c r="N9" s="14"/>
      <x:c r="O9" s="14"/>
    </x:row>
    <x:row r="10" ht="24" customHeight="1">
      <x:c r="A10" s="2" t="str">
        <x:v>133_9</x:v>
      </x:c>
      <x:c r="B10" s="10" t="str">
        <x:v>133</x:v>
      </x:c>
      <x:c r="C10" s="10" t="n">
        <x:v>10</x:v>
      </x:c>
      <x:c r="D10" s="10" t="n">
        <x:v>9</x:v>
      </x:c>
      <x:c r="E10" s="10" t="n">
        <x:v>4</x:v>
      </x:c>
      <x:c r="F10" s="12"/>
      <x:c r="G10" s="12"/>
      <x:c r="H10" s="10" t="n">
        <x:v>11</x:v>
      </x:c>
      <x:c r="I10" s="12" t="n">
        <x:v>0.325</x:v>
      </x:c>
      <x:c r="J10" s="12" t="n">
        <x:v>0.34791666666666665</x:v>
      </x:c>
      <x:c r="K10" s="2" t="str">
        <x:v>In house</x:v>
      </x:c>
      <x:c r="L10" s="2"/>
      <x:c r="M10" s="2"/>
      <x:c r="N10" s="14"/>
      <x:c r="O10" s="14"/>
    </x:row>
    <x:row r="11" ht="24" customHeight="1">
      <x:c r="A11" s="2" t="str">
        <x:v>133_10</x:v>
      </x:c>
      <x:c r="B11" s="10" t="str">
        <x:v>133</x:v>
      </x:c>
      <x:c r="C11" s="10" t="n">
        <x:v>11</x:v>
      </x:c>
      <x:c r="D11" s="10" t="n">
        <x:v>10</x:v>
      </x:c>
      <x:c r="E11" s="10" t="n">
        <x:v>2</x:v>
      </x:c>
      <x:c r="F11" s="12"/>
      <x:c r="G11" s="12"/>
      <x:c r="H11" s="10" t="n">
        <x:v>16</x:v>
      </x:c>
      <x:c r="I11" s="12" t="n">
        <x:v>0.325</x:v>
      </x:c>
      <x:c r="J11" s="12" t="n">
        <x:v>0.3576388888888889</x:v>
      </x:c>
      <x:c r="K11" s="2" t="str">
        <x:v>In house</x:v>
      </x:c>
      <x:c r="L11" s="2"/>
      <x:c r="M11" s="2"/>
      <x:c r="N11" s="14"/>
      <x:c r="O11" s="14"/>
    </x:row>
    <x:row r="12" ht="24" customHeight="1">
      <x:c r="A12" s="2" t="str">
        <x:v>133_11</x:v>
      </x:c>
      <x:c r="B12" s="10" t="str">
        <x:v>133</x:v>
      </x:c>
      <x:c r="C12" s="10" t="n">
        <x:v>12</x:v>
      </x:c>
      <x:c r="D12" s="10" t="n">
        <x:v>11</x:v>
      </x:c>
      <x:c r="E12" s="10" t="n">
        <x:v>2</x:v>
      </x:c>
      <x:c r="F12" s="12"/>
      <x:c r="G12" s="12"/>
      <x:c r="H12" s="10" t="n">
        <x:v>6</x:v>
      </x:c>
      <x:c r="I12" s="12" t="n">
        <x:v>0.3263888888888889</x:v>
      </x:c>
      <x:c r="J12" s="12" t="n">
        <x:v>0.36666666666666664</x:v>
      </x:c>
      <x:c r="K12" s="2" t="str">
        <x:v>Walk in</x:v>
      </x:c>
      <x:c r="L12" s="2"/>
      <x:c r="M12" s="2"/>
      <x:c r="N12" s="14"/>
      <x:c r="O12" s="14"/>
    </x:row>
    <x:row r="13" ht="24" customHeight="1">
      <x:c r="A13" s="2" t="str">
        <x:v>133_12</x:v>
      </x:c>
      <x:c r="B13" s="10" t="str">
        <x:v>133</x:v>
      </x:c>
      <x:c r="C13" s="10" t="n">
        <x:v>13</x:v>
      </x:c>
      <x:c r="D13" s="10" t="n">
        <x:v>12</x:v>
      </x:c>
      <x:c r="E13" s="10" t="n">
        <x:v>1</x:v>
      </x:c>
      <x:c r="F13" s="12"/>
      <x:c r="G13" s="12"/>
      <x:c r="H13" s="10" t="str">
        <x:v>7B</x:v>
      </x:c>
      <x:c r="I13" s="12" t="n">
        <x:v>0.33055555555555555</x:v>
      </x:c>
      <x:c r="J13" s="12" t="n">
        <x:v>0.34375</x:v>
      </x:c>
      <x:c r="K13" s="2" t="str">
        <x:v>In house</x:v>
      </x:c>
      <x:c r="L13" s="2"/>
      <x:c r="M13" s="2"/>
      <x:c r="N13" s="14"/>
      <x:c r="O13" s="14"/>
    </x:row>
    <x:row r="14" ht="24" customHeight="1">
      <x:c r="A14" s="2" t="str">
        <x:v>133_13</x:v>
      </x:c>
      <x:c r="B14" s="10" t="str">
        <x:v>133</x:v>
      </x:c>
      <x:c r="C14" s="10" t="n">
        <x:v>14</x:v>
      </x:c>
      <x:c r="D14" s="10" t="n">
        <x:v>13</x:v>
      </x:c>
      <x:c r="E14" s="10" t="n">
        <x:v>1</x:v>
      </x:c>
      <x:c r="F14" s="12"/>
      <x:c r="G14" s="12"/>
      <x:c r="H14" s="10" t="str">
        <x:v>10A</x:v>
      </x:c>
      <x:c r="I14" s="12" t="n">
        <x:v>0.3326388888888889</x:v>
      </x:c>
      <x:c r="J14" s="12" t="n">
        <x:v>0.3576388888888889</x:v>
      </x:c>
      <x:c r="K14" s="2" t="str">
        <x:v>In house</x:v>
      </x:c>
      <x:c r="L14" s="2"/>
      <x:c r="M14" s="2"/>
      <x:c r="N14" s="14"/>
      <x:c r="O14" s="14"/>
    </x:row>
    <x:row r="15" ht="24" customHeight="1">
      <x:c r="A15" s="2" t="str">
        <x:v>133_14</x:v>
      </x:c>
      <x:c r="B15" s="10" t="str">
        <x:v>133</x:v>
      </x:c>
      <x:c r="C15" s="10" t="n">
        <x:v>15</x:v>
      </x:c>
      <x:c r="D15" s="10" t="n">
        <x:v>14</x:v>
      </x:c>
      <x:c r="E15" s="10" t="n">
        <x:v>1</x:v>
      </x:c>
      <x:c r="F15" s="12"/>
      <x:c r="G15" s="12"/>
      <x:c r="H15" s="10" t="n">
        <x:v>1</x:v>
      </x:c>
      <x:c r="I15" s="12" t="n">
        <x:v>0.3333333333333333</x:v>
      </x:c>
      <x:c r="J15" s="12" t="n">
        <x:v>0.38819444444444445</x:v>
      </x:c>
      <x:c r="K15" s="2" t="str">
        <x:v>Walk in</x:v>
      </x:c>
      <x:c r="L15" s="2"/>
      <x:c r="M15" s="2"/>
      <x:c r="N15" s="14"/>
      <x:c r="O15" s="14"/>
    </x:row>
    <x:row r="16" ht="24" customHeight="1">
      <x:c r="A16" s="2" t="str">
        <x:v>133_15</x:v>
      </x:c>
      <x:c r="B16" s="10" t="str">
        <x:v>133</x:v>
      </x:c>
      <x:c r="C16" s="10" t="n">
        <x:v>16</x:v>
      </x:c>
      <x:c r="D16" s="10" t="n">
        <x:v>15</x:v>
      </x:c>
      <x:c r="E16" s="10" t="n">
        <x:v>1</x:v>
      </x:c>
      <x:c r="F16" s="12"/>
      <x:c r="G16" s="12"/>
      <x:c r="H16" s="10" t="str">
        <x:v>8C</x:v>
      </x:c>
      <x:c r="I16" s="12" t="n">
        <x:v>0.33541666666666664</x:v>
      </x:c>
      <x:c r="J16" s="12" t="n">
        <x:v>0.35208333333333336</x:v>
      </x:c>
      <x:c r="K16" s="2" t="str">
        <x:v>Walk in</x:v>
      </x:c>
      <x:c r="L16" s="2"/>
      <x:c r="M16" s="2"/>
      <x:c r="N16" s="14"/>
      <x:c r="O16" s="14"/>
    </x:row>
    <x:row r="17" ht="24" customHeight="1">
      <x:c r="A17" s="2" t="str">
        <x:v>133_16</x:v>
      </x:c>
      <x:c r="B17" s="10" t="str">
        <x:v>133</x:v>
      </x:c>
      <x:c r="C17" s="10" t="n">
        <x:v>17</x:v>
      </x:c>
      <x:c r="D17" s="10" t="n">
        <x:v>16</x:v>
      </x:c>
      <x:c r="E17" s="10" t="n">
        <x:v>2</x:v>
      </x:c>
      <x:c r="F17" s="12"/>
      <x:c r="G17" s="12"/>
      <x:c r="H17" s="10" t="n">
        <x:v>12</x:v>
      </x:c>
      <x:c r="I17" s="12" t="n">
        <x:v>0.3368055555555556</x:v>
      </x:c>
      <x:c r="J17" s="12" t="n">
        <x:v>0.3506944444444444</x:v>
      </x:c>
      <x:c r="K17" s="2" t="str">
        <x:v>In house</x:v>
      </x:c>
      <x:c r="L17" s="2"/>
      <x:c r="M17" s="2"/>
      <x:c r="N17" s="14"/>
      <x:c r="O17" s="14"/>
    </x:row>
    <x:row r="18" ht="24" customHeight="1">
      <x:c r="A18" s="2" t="str">
        <x:v>133_17</x:v>
      </x:c>
      <x:c r="B18" s="10" t="str">
        <x:v>133</x:v>
      </x:c>
      <x:c r="C18" s="10" t="n">
        <x:v>18</x:v>
      </x:c>
      <x:c r="D18" s="10" t="n">
        <x:v>17</x:v>
      </x:c>
      <x:c r="E18" s="10" t="n">
        <x:v>1</x:v>
      </x:c>
      <x:c r="F18" s="12"/>
      <x:c r="G18" s="12"/>
      <x:c r="H18" s="10" t="n">
        <x:v>14</x:v>
      </x:c>
      <x:c r="I18" s="12" t="n">
        <x:v>0.34305555555555556</x:v>
      </x:c>
      <x:c r="J18" s="12" t="n">
        <x:v>0.3770833333333333</x:v>
      </x:c>
      <x:c r="K18" s="2" t="str">
        <x:v>In house</x:v>
      </x:c>
      <x:c r="L18" s="2"/>
      <x:c r="M18" s="2"/>
      <x:c r="N18" s="14"/>
      <x:c r="O18" s="14"/>
    </x:row>
    <x:row r="19" ht="24" customHeight="1">
      <x:c r="A19" s="2" t="str">
        <x:v>133_18</x:v>
      </x:c>
      <x:c r="B19" s="10" t="str">
        <x:v>133</x:v>
      </x:c>
      <x:c r="C19" s="10" t="n">
        <x:v>19</x:v>
      </x:c>
      <x:c r="D19" s="10" t="n">
        <x:v>18</x:v>
      </x:c>
      <x:c r="E19" s="10" t="n">
        <x:v>2</x:v>
      </x:c>
      <x:c r="F19" s="12"/>
      <x:c r="G19" s="12"/>
      <x:c r="H19" s="10" t="str">
        <x:v>7A</x:v>
      </x:c>
      <x:c r="I19" s="12" t="n">
        <x:v>0.34375</x:v>
      </x:c>
      <x:c r="J19" s="12" t="n">
        <x:v>0.3958333333333333</x:v>
      </x:c>
      <x:c r="K19" s="2" t="str">
        <x:v>Walk in</x:v>
      </x:c>
      <x:c r="L19" s="2"/>
      <x:c r="M19" s="2"/>
      <x:c r="N19" s="14"/>
      <x:c r="O19" s="14"/>
    </x:row>
    <x:row r="20" ht="24" customHeight="1">
      <x:c r="A20" s="2" t="str">
        <x:v>133_19</x:v>
      </x:c>
      <x:c r="B20" s="10" t="str">
        <x:v>133</x:v>
      </x:c>
      <x:c r="C20" s="10" t="n">
        <x:v>20</x:v>
      </x:c>
      <x:c r="D20" s="10" t="n">
        <x:v>19</x:v>
      </x:c>
      <x:c r="E20" s="10" t="n">
        <x:v>1</x:v>
      </x:c>
      <x:c r="F20" s="12"/>
      <x:c r="G20" s="12"/>
      <x:c r="H20" s="10" t="str">
        <x:v>15A</x:v>
      </x:c>
      <x:c r="I20" s="12" t="n">
        <x:v>0.34444444444444444</x:v>
      </x:c>
      <x:c r="J20" s="12" t="n">
        <x:v>0.3784722222222222</x:v>
      </x:c>
      <x:c r="K20" s="2" t="str">
        <x:v>In house</x:v>
      </x:c>
      <x:c r="L20" s="2"/>
      <x:c r="M20" s="2"/>
      <x:c r="N20" s="14"/>
      <x:c r="O20" s="14"/>
    </x:row>
    <x:row r="21" ht="24" customHeight="1">
      <x:c r="A21" s="2" t="str">
        <x:v>133_20</x:v>
      </x:c>
      <x:c r="B21" s="10" t="str">
        <x:v>133</x:v>
      </x:c>
      <x:c r="C21" s="10" t="n">
        <x:v>21</x:v>
      </x:c>
      <x:c r="D21" s="10" t="n">
        <x:v>20</x:v>
      </x:c>
      <x:c r="E21" s="10" t="n">
        <x:v>1</x:v>
      </x:c>
      <x:c r="F21" s="12"/>
      <x:c r="G21" s="12"/>
      <x:c r="H21" s="10" t="str">
        <x:v>10B</x:v>
      </x:c>
      <x:c r="I21" s="12" t="n">
        <x:v>0.34652777777777777</x:v>
      </x:c>
      <x:c r="J21" s="12" t="n">
        <x:v>0.3576388888888889</x:v>
      </x:c>
      <x:c r="K21" s="2" t="str">
        <x:v>In house</x:v>
      </x:c>
      <x:c r="L21" s="2"/>
      <x:c r="M21" s="2"/>
      <x:c r="N21" s="14"/>
      <x:c r="O21" s="14"/>
    </x:row>
    <x:row r="22" ht="24" customHeight="1">
      <x:c r="A22" s="2" t="str">
        <x:v>133_21</x:v>
      </x:c>
      <x:c r="B22" s="10" t="str">
        <x:v>133</x:v>
      </x:c>
      <x:c r="C22" s="10" t="n">
        <x:v>22</x:v>
      </x:c>
      <x:c r="D22" s="10" t="n">
        <x:v>21</x:v>
      </x:c>
      <x:c r="E22" s="10" t="n">
        <x:v>4</x:v>
      </x:c>
      <x:c r="F22" s="12"/>
      <x:c r="G22" s="12"/>
      <x:c r="H22" s="10" t="n">
        <x:v>3</x:v>
      </x:c>
      <x:c r="I22" s="12" t="n">
        <x:v>0.35</x:v>
      </x:c>
      <x:c r="J22" s="12" t="n">
        <x:v>0.4486111111111111</x:v>
      </x:c>
      <x:c r="K22" s="2" t="str">
        <x:v>Walk in</x:v>
      </x:c>
      <x:c r="L22" s="2"/>
      <x:c r="M22" s="2"/>
      <x:c r="N22" s="14"/>
      <x:c r="O22" s="14"/>
    </x:row>
    <x:row r="23" ht="24" customHeight="1">
      <x:c r="A23" s="2" t="str">
        <x:v>133_22</x:v>
      </x:c>
      <x:c r="B23" s="10" t="str">
        <x:v>133</x:v>
      </x:c>
      <x:c r="C23" s="10" t="n">
        <x:v>23</x:v>
      </x:c>
      <x:c r="D23" s="10" t="n">
        <x:v>22</x:v>
      </x:c>
      <x:c r="E23" s="10" t="n">
        <x:v>2</x:v>
      </x:c>
      <x:c r="F23" s="12"/>
      <x:c r="G23" s="12"/>
      <x:c r="H23" s="10" t="n">
        <x:v>5</x:v>
      </x:c>
      <x:c r="I23" s="12" t="n">
        <x:v>0.3506944444444444</x:v>
      </x:c>
      <x:c r="J23" s="12" t="n">
        <x:v>0.3902777777777778</x:v>
      </x:c>
      <x:c r="K23" s="2" t="str">
        <x:v>In house</x:v>
      </x:c>
      <x:c r="L23" s="2"/>
      <x:c r="M23" s="2"/>
      <x:c r="N23" s="14"/>
      <x:c r="O23" s="14"/>
    </x:row>
    <x:row r="24" ht="24" customHeight="1">
      <x:c r="A24" s="2" t="str">
        <x:v>133_23</x:v>
      </x:c>
      <x:c r="B24" s="10" t="str">
        <x:v>133</x:v>
      </x:c>
      <x:c r="C24" s="10" t="n">
        <x:v>24</x:v>
      </x:c>
      <x:c r="D24" s="10" t="n">
        <x:v>23</x:v>
      </x:c>
      <x:c r="E24" s="10" t="n">
        <x:v>2</x:v>
      </x:c>
      <x:c r="F24" s="12"/>
      <x:c r="G24" s="12"/>
      <x:c r="H24" s="10" t="n">
        <x:v>2</x:v>
      </x:c>
      <x:c r="I24" s="12" t="n">
        <x:v>0.3506944444444444</x:v>
      </x:c>
      <x:c r="J24" s="12" t="n">
        <x:v>0.425</x:v>
      </x:c>
      <x:c r="K24" s="2" t="str">
        <x:v>Walk in</x:v>
      </x:c>
      <x:c r="L24" s="2"/>
      <x:c r="M24" s="2"/>
      <x:c r="N24" s="14"/>
      <x:c r="O24" s="14"/>
    </x:row>
    <x:row r="25" ht="24" customHeight="1">
      <x:c r="A25" s="2" t="str">
        <x:v>133_24</x:v>
      </x:c>
      <x:c r="B25" s="10" t="str">
        <x:v>133</x:v>
      </x:c>
      <x:c r="C25" s="10" t="n">
        <x:v>25</x:v>
      </x:c>
      <x:c r="D25" s="10" t="n">
        <x:v>24</x:v>
      </x:c>
      <x:c r="E25" s="10" t="n">
        <x:v>1</x:v>
      </x:c>
      <x:c r="F25" s="12"/>
      <x:c r="G25" s="12"/>
      <x:c r="H25" s="10" t="str">
        <x:v>8A</x:v>
      </x:c>
      <x:c r="I25" s="12" t="n">
        <x:v>0.35625</x:v>
      </x:c>
      <x:c r="J25" s="12" t="n">
        <x:v>0.3958333333333333</x:v>
      </x:c>
      <x:c r="K25" s="2" t="str">
        <x:v>Walk in</x:v>
      </x:c>
      <x:c r="L25" s="2"/>
      <x:c r="M25" s="2"/>
      <x:c r="N25" s="14"/>
      <x:c r="O25" s="14"/>
    </x:row>
    <x:row r="26" ht="24" customHeight="1">
      <x:c r="A26" s="2" t="str">
        <x:v>133_25</x:v>
      </x:c>
      <x:c r="B26" s="10" t="str">
        <x:v>133</x:v>
      </x:c>
      <x:c r="C26" s="10" t="n">
        <x:v>26</x:v>
      </x:c>
      <x:c r="D26" s="10" t="n">
        <x:v>25</x:v>
      </x:c>
      <x:c r="E26" s="10" t="n">
        <x:v>1</x:v>
      </x:c>
      <x:c r="F26" s="12"/>
      <x:c r="G26" s="12"/>
      <x:c r="H26" s="10" t="str">
        <x:v>11A</x:v>
      </x:c>
      <x:c r="I26" s="12" t="n">
        <x:v>0.36180555555555555</x:v>
      </x:c>
      <x:c r="J26" s="12" t="n">
        <x:v>0.3923611111111111</x:v>
      </x:c>
      <x:c r="K26" s="2" t="str">
        <x:v>Walk in</x:v>
      </x:c>
      <x:c r="L26" s="2"/>
      <x:c r="M26" s="2"/>
      <x:c r="N26" s="14"/>
      <x:c r="O26" s="14"/>
    </x:row>
    <x:row r="27" ht="24" customHeight="1">
      <x:c r="A27" s="2" t="str">
        <x:v>133_26</x:v>
      </x:c>
      <x:c r="B27" s="10" t="str">
        <x:v>133</x:v>
      </x:c>
      <x:c r="C27" s="10" t="n">
        <x:v>27</x:v>
      </x:c>
      <x:c r="D27" s="10" t="n">
        <x:v>26</x:v>
      </x:c>
      <x:c r="E27" s="10" t="n">
        <x:v>1</x:v>
      </x:c>
      <x:c r="F27" s="12"/>
      <x:c r="G27" s="12"/>
      <x:c r="H27" s="10" t="n">
        <x:v>16</x:v>
      </x:c>
      <x:c r="I27" s="12" t="n">
        <x:v>0.36319444444444443</x:v>
      </x:c>
      <x:c r="J27" s="12" t="n">
        <x:v>0.3993055555555556</x:v>
      </x:c>
      <x:c r="K27" s="2" t="str">
        <x:v>Walk in</x:v>
      </x:c>
      <x:c r="L27" s="2"/>
      <x:c r="M27" s="2"/>
      <x:c r="N27" s="14"/>
      <x:c r="O27" s="14"/>
    </x:row>
    <x:row r="28" ht="24" customHeight="1">
      <x:c r="A28" s="2" t="str">
        <x:v>133_27</x:v>
      </x:c>
      <x:c r="B28" s="10" t="str">
        <x:v>133</x:v>
      </x:c>
      <x:c r="C28" s="10" t="n">
        <x:v>28</x:v>
      </x:c>
      <x:c r="D28" s="10" t="n">
        <x:v>27</x:v>
      </x:c>
      <x:c r="E28" s="10" t="n">
        <x:v>1</x:v>
      </x:c>
      <x:c r="F28" s="12"/>
      <x:c r="G28" s="12"/>
      <x:c r="H28" s="10" t="n">
        <x:v>12</x:v>
      </x:c>
      <x:c r="I28" s="12" t="n">
        <x:v>0.3659722222222222</x:v>
      </x:c>
      <x:c r="J28" s="12" t="n">
        <x:v>0.3875</x:v>
      </x:c>
      <x:c r="K28" s="2" t="str">
        <x:v>In house</x:v>
      </x:c>
      <x:c r="L28" s="2"/>
      <x:c r="M28" s="2"/>
      <x:c r="N28" s="14"/>
      <x:c r="O28" s="14"/>
    </x:row>
    <x:row r="29" ht="24" customHeight="1">
      <x:c r="A29" s="2" t="str">
        <x:v>133_28</x:v>
      </x:c>
      <x:c r="B29" s="10" t="str">
        <x:v>133</x:v>
      </x:c>
      <x:c r="C29" s="10" t="n">
        <x:v>29</x:v>
      </x:c>
      <x:c r="D29" s="10" t="n">
        <x:v>28</x:v>
      </x:c>
      <x:c r="E29" s="10" t="n">
        <x:v>2</x:v>
      </x:c>
      <x:c r="F29" s="12"/>
      <x:c r="G29" s="12"/>
      <x:c r="H29" s="10" t="str">
        <x:v>10A</x:v>
      </x:c>
      <x:c r="I29" s="12" t="n">
        <x:v>0.3701388888888889</x:v>
      </x:c>
      <x:c r="J29" s="12" t="n">
        <x:v>0.39444444444444443</x:v>
      </x:c>
      <x:c r="K29" s="2" t="str">
        <x:v>In house</x:v>
      </x:c>
      <x:c r="L29" s="2"/>
      <x:c r="M29" s="2"/>
      <x:c r="N29" s="14"/>
      <x:c r="O29" s="14"/>
    </x:row>
    <x:row r="30" ht="24" customHeight="1">
      <x:c r="A30" s="2" t="str">
        <x:v>133_29</x:v>
      </x:c>
      <x:c r="B30" s="10" t="str">
        <x:v>133</x:v>
      </x:c>
      <x:c r="C30" s="10" t="n">
        <x:v>30</x:v>
      </x:c>
      <x:c r="D30" s="10" t="n">
        <x:v>29</x:v>
      </x:c>
      <x:c r="E30" s="10" t="n">
        <x:v>1</x:v>
      </x:c>
      <x:c r="F30" s="12"/>
      <x:c r="G30" s="12"/>
      <x:c r="H30" s="10" t="str">
        <x:v>7B</x:v>
      </x:c>
      <x:c r="I30" s="12" t="n">
        <x:v>0.3701388888888889</x:v>
      </x:c>
      <x:c r="J30" s="12" t="n">
        <x:v>0.3840277777777778</x:v>
      </x:c>
      <x:c r="K30" s="2" t="str">
        <x:v>In house</x:v>
      </x:c>
      <x:c r="L30" s="2"/>
      <x:c r="M30" s="2"/>
      <x:c r="N30" s="14"/>
      <x:c r="O30" s="14"/>
    </x:row>
    <x:row r="31" ht="24" customHeight="1">
      <x:c r="A31" s="2" t="str">
        <x:v>133_30</x:v>
      </x:c>
      <x:c r="B31" s="10" t="str">
        <x:v>133</x:v>
      </x:c>
      <x:c r="C31" s="10" t="n">
        <x:v>31</x:v>
      </x:c>
      <x:c r="D31" s="10" t="n">
        <x:v>30</x:v>
      </x:c>
      <x:c r="E31" s="10" t="n">
        <x:v>3</x:v>
      </x:c>
      <x:c r="F31" s="12"/>
      <x:c r="G31" s="12"/>
      <x:c r="H31" s="10" t="n">
        <x:v>6</x:v>
      </x:c>
      <x:c r="I31" s="12" t="n">
        <x:v>0.375</x:v>
      </x:c>
      <x:c r="J31" s="12" t="n">
        <x:v>0.39791666666666664</x:v>
      </x:c>
      <x:c r="K31" s="2" t="str">
        <x:v>In house</x:v>
      </x:c>
      <x:c r="L31" s="2"/>
      <x:c r="M31" s="2"/>
      <x:c r="N31" s="14"/>
      <x:c r="O31" s="14"/>
    </x:row>
    <x:row r="32" ht="24" customHeight="1">
      <x:c r="A32" s="2" t="str">
        <x:v>133_31</x:v>
      </x:c>
      <x:c r="B32" s="10" t="str">
        <x:v>133</x:v>
      </x:c>
      <x:c r="C32" s="10" t="n">
        <x:v>32</x:v>
      </x:c>
      <x:c r="D32" s="10" t="n">
        <x:v>31</x:v>
      </x:c>
      <x:c r="E32" s="10" t="n">
        <x:v>2</x:v>
      </x:c>
      <x:c r="F32" s="12"/>
      <x:c r="G32" s="12"/>
      <x:c r="H32" s="10" t="n">
        <x:v>4</x:v>
      </x:c>
      <x:c r="I32" s="12" t="n">
        <x:v>0.3784722222222222</x:v>
      </x:c>
      <x:c r="J32" s="12" t="n">
        <x:v>0.4166666666666667</x:v>
      </x:c>
      <x:c r="K32" s="2" t="str">
        <x:v>Walk in</x:v>
      </x:c>
      <x:c r="L32" s="2"/>
      <x:c r="M32" s="2"/>
      <x:c r="N32" s="14"/>
      <x:c r="O32" s="14"/>
    </x:row>
    <x:row r="33" ht="24" customHeight="1">
      <x:c r="A33" s="2" t="str">
        <x:v>133_32</x:v>
      </x:c>
      <x:c r="B33" s="10" t="str">
        <x:v>133</x:v>
      </x:c>
      <x:c r="C33" s="10" t="n">
        <x:v>33</x:v>
      </x:c>
      <x:c r="D33" s="10" t="n">
        <x:v>32</x:v>
      </x:c>
      <x:c r="E33" s="10" t="n">
        <x:v>2</x:v>
      </x:c>
      <x:c r="F33" s="12"/>
      <x:c r="G33" s="12"/>
      <x:c r="H33" s="10" t="str">
        <x:v>8B</x:v>
      </x:c>
      <x:c r="I33" s="12" t="n">
        <x:v>0.3784722222222222</x:v>
      </x:c>
      <x:c r="J33" s="12" t="n">
        <x:v>0.40208333333333335</x:v>
      </x:c>
      <x:c r="K33" s="2" t="str">
        <x:v>In house</x:v>
      </x:c>
      <x:c r="L33" s="2"/>
      <x:c r="M33" s="2"/>
      <x:c r="N33" s="14"/>
      <x:c r="O33" s="14"/>
    </x:row>
    <x:row r="34" ht="24" customHeight="1">
      <x:c r="A34" s="2" t="str">
        <x:v>133_33</x:v>
      </x:c>
      <x:c r="B34" s="10" t="str">
        <x:v>133</x:v>
      </x:c>
      <x:c r="C34" s="10" t="n">
        <x:v>34</x:v>
      </x:c>
      <x:c r="D34" s="10" t="n">
        <x:v>33</x:v>
      </x:c>
      <x:c r="E34" s="10" t="n">
        <x:v>2</x:v>
      </x:c>
      <x:c r="F34" s="12"/>
      <x:c r="G34" s="12"/>
      <x:c r="H34" s="10" t="str">
        <x:v>15A</x:v>
      </x:c>
      <x:c r="I34" s="12" t="n">
        <x:v>0.3798611111111111</x:v>
      </x:c>
      <x:c r="J34" s="12" t="n">
        <x:v>0.4215277777777778</x:v>
      </x:c>
      <x:c r="K34" s="2" t="str">
        <x:v>Walk in</x:v>
      </x:c>
      <x:c r="L34" s="2"/>
      <x:c r="M34" s="2"/>
      <x:c r="N34" s="14"/>
      <x:c r="O34" s="14"/>
    </x:row>
    <x:row r="35" ht="24" customHeight="1">
      <x:c r="A35" s="2" t="str">
        <x:v>133_34</x:v>
      </x:c>
      <x:c r="B35" s="10" t="str">
        <x:v>133</x:v>
      </x:c>
      <x:c r="C35" s="10" t="n">
        <x:v>35</x:v>
      </x:c>
      <x:c r="D35" s="10" t="n">
        <x:v>34</x:v>
      </x:c>
      <x:c r="E35" s="10" t="n">
        <x:v>2</x:v>
      </x:c>
      <x:c r="F35" s="12"/>
      <x:c r="G35" s="12"/>
      <x:c r="H35" s="10" t="str">
        <x:v>8A</x:v>
      </x:c>
      <x:c r="I35" s="12" t="n">
        <x:v>0.38055555555555554</x:v>
      </x:c>
      <x:c r="J35" s="12" t="n">
        <x:v>0.42291666666666666</x:v>
      </x:c>
      <x:c r="K35" s="2" t="str">
        <x:v>In house</x:v>
      </x:c>
      <x:c r="L35" s="2"/>
      <x:c r="M35" s="2"/>
      <x:c r="N35" s="14"/>
      <x:c r="O35" s="14"/>
    </x:row>
    <x:row r="36" ht="24" customHeight="1">
      <x:c r="A36" s="2" t="str">
        <x:v>133_35</x:v>
      </x:c>
      <x:c r="B36" s="10" t="str">
        <x:v>133</x:v>
      </x:c>
      <x:c r="C36" s="10" t="n">
        <x:v>36</x:v>
      </x:c>
      <x:c r="D36" s="10" t="n">
        <x:v>35</x:v>
      </x:c>
      <x:c r="E36" s="10" t="n">
        <x:v>2</x:v>
      </x:c>
      <x:c r="F36" s="12"/>
      <x:c r="G36" s="12"/>
      <x:c r="H36" s="10" t="n">
        <x:v>8</x:v>
      </x:c>
      <x:c r="I36" s="12" t="n">
        <x:v>0.3861111111111111</x:v>
      </x:c>
      <x:c r="J36" s="12" t="n">
        <x:v>0.42083333333333334</x:v>
      </x:c>
      <x:c r="K36" s="2" t="str">
        <x:v>Walk in</x:v>
      </x:c>
      <x:c r="L36" s="2"/>
      <x:c r="M36" s="2"/>
      <x:c r="N36" s="14"/>
      <x:c r="O36" s="14"/>
    </x:row>
    <x:row r="37" ht="24" customHeight="1">
      <x:c r="A37" s="2" t="str">
        <x:v>133_36</x:v>
      </x:c>
      <x:c r="B37" s="10" t="str">
        <x:v>133</x:v>
      </x:c>
      <x:c r="C37" s="10" t="n">
        <x:v>37</x:v>
      </x:c>
      <x:c r="D37" s="10" t="n">
        <x:v>36</x:v>
      </x:c>
      <x:c r="E37" s="10" t="n">
        <x:v>1</x:v>
      </x:c>
      <x:c r="F37" s="12"/>
      <x:c r="G37" s="12"/>
      <x:c r="H37" s="10" t="n">
        <x:v>12</x:v>
      </x:c>
      <x:c r="I37" s="12" t="n">
        <x:v>0.3909722222222222</x:v>
      </x:c>
      <x:c r="J37" s="12" t="n">
        <x:v>0.41458333333333336</x:v>
      </x:c>
      <x:c r="K37" s="2" t="str">
        <x:v>In house</x:v>
      </x:c>
      <x:c r="L37" s="2"/>
      <x:c r="M37" s="2"/>
      <x:c r="N37" s="14"/>
      <x:c r="O37" s="14"/>
    </x:row>
    <x:row r="38" ht="24" customHeight="1">
      <x:c r="A38" s="2" t="str">
        <x:v>133_37</x:v>
      </x:c>
      <x:c r="B38" s="10" t="str">
        <x:v>133</x:v>
      </x:c>
      <x:c r="C38" s="10" t="n">
        <x:v>38</x:v>
      </x:c>
      <x:c r="D38" s="10" t="n">
        <x:v>37</x:v>
      </x:c>
      <x:c r="E38" s="10" t="n">
        <x:v>1</x:v>
      </x:c>
      <x:c r="F38" s="12"/>
      <x:c r="G38" s="12"/>
      <x:c r="H38" s="10" t="str">
        <x:v>7C</x:v>
      </x:c>
      <x:c r="I38" s="12" t="n">
        <x:v>0.3527777777777778</x:v>
      </x:c>
      <x:c r="J38" s="12" t="n">
        <x:v>0.3958333333333333</x:v>
      </x:c>
      <x:c r="K38" s="2" t="str">
        <x:v>In house</x:v>
      </x:c>
      <x:c r="L38" s="2"/>
      <x:c r="M38" s="2"/>
      <x:c r="N38" s="14"/>
      <x:c r="O38" s="14"/>
    </x:row>
    <x:row r="39" ht="24" customHeight="1">
      <x:c r="A39" s="2" t="str">
        <x:v>133_38</x:v>
      </x:c>
      <x:c r="B39" s="10" t="str">
        <x:v>133</x:v>
      </x:c>
      <x:c r="C39" s="10" t="n">
        <x:v>39</x:v>
      </x:c>
      <x:c r="D39" s="10" t="n">
        <x:v>38</x:v>
      </x:c>
      <x:c r="E39" s="10" t="n">
        <x:v>1</x:v>
      </x:c>
      <x:c r="F39" s="12"/>
      <x:c r="G39" s="12"/>
      <x:c r="H39" s="10" t="str">
        <x:v>11A</x:v>
      </x:c>
      <x:c r="I39" s="12" t="n">
        <x:v>0.3958333333333333</x:v>
      </x:c>
      <x:c r="J39" s="12" t="n">
        <x:v>0.4201388888888889</x:v>
      </x:c>
      <x:c r="K39" s="2" t="str">
        <x:v>In house</x:v>
      </x:c>
      <x:c r="L39" s="2"/>
      <x:c r="M39" s="2"/>
      <x:c r="N39" s="14"/>
      <x:c r="O39" s="14"/>
    </x:row>
    <x:row r="40" ht="24" customHeight="1">
      <x:c r="A40" s="2" t="str">
        <x:v>133_39</x:v>
      </x:c>
      <x:c r="B40" s="10" t="str">
        <x:v>133</x:v>
      </x:c>
      <x:c r="C40" s="10" t="n">
        <x:v>40</x:v>
      </x:c>
      <x:c r="D40" s="10" t="n">
        <x:v>39</x:v>
      </x:c>
      <x:c r="E40" s="10" t="n">
        <x:v>3</x:v>
      </x:c>
      <x:c r="F40" s="12"/>
      <x:c r="G40" s="12"/>
      <x:c r="H40" s="10" t="n">
        <x:v>1</x:v>
      </x:c>
      <x:c r="I40" s="12" t="n">
        <x:v>0.4</x:v>
      </x:c>
      <x:c r="J40" s="12" t="n">
        <x:v>0.4513888888888889</x:v>
      </x:c>
      <x:c r="K40" s="2" t="str">
        <x:v>In house</x:v>
      </x:c>
      <x:c r="L40" s="2"/>
      <x:c r="M40" s="2"/>
      <x:c r="N40" s="14"/>
      <x:c r="O40" s="14"/>
    </x:row>
    <x:row r="41" ht="24" customHeight="1">
      <x:c r="A41" s="2" t="str">
        <x:v>133_40</x:v>
      </x:c>
      <x:c r="B41" s="10" t="str">
        <x:v>133</x:v>
      </x:c>
      <x:c r="C41" s="10" t="n">
        <x:v>41</x:v>
      </x:c>
      <x:c r="D41" s="10" t="n">
        <x:v>40</x:v>
      </x:c>
      <x:c r="E41" s="10" t="n">
        <x:v>2</x:v>
      </x:c>
      <x:c r="F41" s="12"/>
      <x:c r="G41" s="12"/>
      <x:c r="H41" s="10" t="n">
        <x:v>5</x:v>
      </x:c>
      <x:c r="I41" s="12" t="n">
        <x:v>0.39861111111111114</x:v>
      </x:c>
      <x:c r="J41" s="12" t="n">
        <x:v>0.4444444444444444</x:v>
      </x:c>
      <x:c r="K41" s="2" t="str">
        <x:v>Walk in</x:v>
      </x:c>
      <x:c r="L41" s="2"/>
      <x:c r="M41" s="2"/>
      <x:c r="N41" s="14"/>
      <x:c r="O41" s="14"/>
    </x:row>
    <x:row r="42" ht="24" customHeight="1">
      <x:c r="A42" s="2" t="str">
        <x:v>133_41</x:v>
      </x:c>
      <x:c r="B42" s="10" t="str">
        <x:v>133</x:v>
      </x:c>
      <x:c r="C42" s="10" t="n">
        <x:v>42</x:v>
      </x:c>
      <x:c r="D42" s="10" t="n">
        <x:v>41</x:v>
      </x:c>
      <x:c r="E42" s="10" t="n">
        <x:v>2</x:v>
      </x:c>
      <x:c r="F42" s="12"/>
      <x:c r="G42" s="12"/>
      <x:c r="H42" s="10" t="n">
        <x:v>6</x:v>
      </x:c>
      <x:c r="I42" s="12" t="n">
        <x:v>0.4041666666666667</x:v>
      </x:c>
      <x:c r="J42" s="12" t="n">
        <x:v>0.4375</x:v>
      </x:c>
      <x:c r="K42" s="2" t="str">
        <x:v>In house</x:v>
      </x:c>
      <x:c r="L42" s="2"/>
      <x:c r="M42" s="2"/>
      <x:c r="N42" s="14"/>
      <x:c r="O42" s="14"/>
    </x:row>
    <x:row r="43" ht="24" customHeight="1">
      <x:c r="A43" s="2" t="str">
        <x:v>133_42</x:v>
      </x:c>
      <x:c r="B43" s="10" t="str">
        <x:v>133</x:v>
      </x:c>
      <x:c r="C43" s="10" t="n">
        <x:v>43</x:v>
      </x:c>
      <x:c r="D43" s="10" t="n">
        <x:v>42</x:v>
      </x:c>
      <x:c r="E43" s="10" t="n">
        <x:v>1</x:v>
      </x:c>
      <x:c r="F43" s="12"/>
      <x:c r="G43" s="12"/>
      <x:c r="H43" s="10" t="str">
        <x:v>7A</x:v>
      </x:c>
      <x:c r="I43" s="12" t="n">
        <x:v>0.41180555555555554</x:v>
      </x:c>
      <x:c r="J43" s="12" t="n">
        <x:v>0.4583333333333333</x:v>
      </x:c>
      <x:c r="K43" s="2" t="str">
        <x:v>Walk in</x:v>
      </x:c>
      <x:c r="L43" s="2"/>
      <x:c r="M43" s="2"/>
      <x:c r="N43" s="14"/>
      <x:c r="O43" s="14"/>
    </x:row>
    <x:row r="44" ht="24" customHeight="1">
      <x:c r="A44" s="2" t="str">
        <x:v>133_43</x:v>
      </x:c>
      <x:c r="B44" s="10" t="str">
        <x:v>133</x:v>
      </x:c>
      <x:c r="C44" s="10" t="n">
        <x:v>44</x:v>
      </x:c>
      <x:c r="D44" s="10" t="n">
        <x:v>43</x:v>
      </x:c>
      <x:c r="E44" s="10" t="n">
        <x:v>2</x:v>
      </x:c>
      <x:c r="F44" s="12"/>
      <x:c r="G44" s="12"/>
      <x:c r="H44" s="10" t="n">
        <x:v>16</x:v>
      </x:c>
      <x:c r="I44" s="12" t="n">
        <x:v>0.4131944444444444</x:v>
      </x:c>
      <x:c r="J44" s="12" t="n">
        <x:v>0.44027777777777777</x:v>
      </x:c>
      <x:c r="K44" s="2" t="str">
        <x:v>In house</x:v>
      </x:c>
      <x:c r="L44" s="2"/>
      <x:c r="M44" s="2"/>
      <x:c r="N44" s="14"/>
      <x:c r="O44" s="14"/>
    </x:row>
    <x:row r="45" ht="24" customHeight="1">
      <x:c r="A45" s="2" t="str">
        <x:v>133_44</x:v>
      </x:c>
      <x:c r="B45" s="10" t="str">
        <x:v>133</x:v>
      </x:c>
      <x:c r="C45" s="10" t="n">
        <x:v>45</x:v>
      </x:c>
      <x:c r="D45" s="10" t="n">
        <x:v>44</x:v>
      </x:c>
      <x:c r="E45" s="10" t="n">
        <x:v>2</x:v>
      </x:c>
      <x:c r="F45" s="12"/>
      <x:c r="G45" s="12"/>
      <x:c r="H45" s="10" t="str">
        <x:v>7B</x:v>
      </x:c>
      <x:c r="I45" s="12" t="n">
        <x:v>0.41875</x:v>
      </x:c>
      <x:c r="J45" s="12" t="n">
        <x:v>0.4409722222222222</x:v>
      </x:c>
      <x:c r="K45" s="2" t="str">
        <x:v>In house</x:v>
      </x:c>
      <x:c r="L45" s="2"/>
      <x:c r="M45" s="2"/>
      <x:c r="N45" s="14"/>
      <x:c r="O45" s="14"/>
    </x:row>
    <x:row r="46" ht="24" customHeight="1">
      <x:c r="A46" s="2" t="str">
        <x:v>133_45</x:v>
      </x:c>
      <x:c r="B46" s="10" t="str">
        <x:v>133</x:v>
      </x:c>
      <x:c r="C46" s="10" t="n">
        <x:v>46</x:v>
      </x:c>
      <x:c r="D46" s="10" t="n">
        <x:v>45</x:v>
      </x:c>
      <x:c r="E46" s="10" t="n">
        <x:v>2</x:v>
      </x:c>
      <x:c r="F46" s="12"/>
      <x:c r="G46" s="12"/>
      <x:c r="H46" s="10" t="n">
        <x:v>12</x:v>
      </x:c>
      <x:c r="I46" s="12" t="n">
        <x:v>0.4201388888888889</x:v>
      </x:c>
      <x:c r="J46" s="12" t="n">
        <x:v>0.4625</x:v>
      </x:c>
      <x:c r="K46" s="2" t="str">
        <x:v>In house</x:v>
      </x:c>
      <x:c r="L46" s="2"/>
      <x:c r="M46" s="2"/>
      <x:c r="N46" s="14"/>
      <x:c r="O46" s="14"/>
    </x:row>
    <x:row r="47" ht="24" customHeight="1">
      <x:c r="A47" s="2" t="str">
        <x:v>133_46</x:v>
      </x:c>
      <x:c r="B47" s="10" t="str">
        <x:v>133</x:v>
      </x:c>
      <x:c r="C47" s="10" t="n">
        <x:v>47</x:v>
      </x:c>
      <x:c r="D47" s="10" t="n">
        <x:v>46</x:v>
      </x:c>
      <x:c r="E47" s="10" t="n">
        <x:v>2</x:v>
      </x:c>
      <x:c r="F47" s="12"/>
      <x:c r="G47" s="12"/>
      <x:c r="H47" s="10" t="str">
        <x:v>10A</x:v>
      </x:c>
      <x:c r="I47" s="12" t="n">
        <x:v>0.4222222222222222</x:v>
      </x:c>
      <x:c r="J47" s="12" t="n">
        <x:v>0.4513888888888889</x:v>
      </x:c>
      <x:c r="K47" s="2" t="str">
        <x:v>In house</x:v>
      </x:c>
      <x:c r="L47" s="2"/>
      <x:c r="M47" s="2"/>
      <x:c r="N47" s="14"/>
      <x:c r="O47" s="14"/>
    </x:row>
    <x:row r="48" ht="24" customHeight="1">
      <x:c r="A48" s="2" t="str">
        <x:v>133_47</x:v>
      </x:c>
      <x:c r="B48" s="10" t="str">
        <x:v>133</x:v>
      </x:c>
      <x:c r="C48" s="10" t="n">
        <x:v>48</x:v>
      </x:c>
      <x:c r="D48" s="10" t="n">
        <x:v>47</x:v>
      </x:c>
      <x:c r="E48" s="10" t="n">
        <x:v>2</x:v>
      </x:c>
      <x:c r="F48" s="12"/>
      <x:c r="G48" s="12"/>
      <x:c r="H48" s="10" t="str">
        <x:v>8B</x:v>
      </x:c>
      <x:c r="I48" s="12" t="n">
        <x:v>0.4236111111111111</x:v>
      </x:c>
      <x:c r="J48" s="12" t="n">
        <x:v>0.4652777777777778</x:v>
      </x:c>
      <x:c r="K48" s="2" t="str">
        <x:v>Walk in</x:v>
      </x:c>
      <x:c r="L48" s="2"/>
      <x:c r="M48" s="2"/>
      <x:c r="N48" s="14"/>
      <x:c r="O48" s="14"/>
    </x:row>
    <x:row r="49" ht="24" customHeight="1">
      <x:c r="A49" s="2" t="str">
        <x:v>133_48</x:v>
      </x:c>
      <x:c r="B49" s="10" t="str">
        <x:v>133</x:v>
      </x:c>
      <x:c r="C49" s="10" t="n">
        <x:v>49</x:v>
      </x:c>
      <x:c r="D49" s="10" t="n">
        <x:v>48</x:v>
      </x:c>
      <x:c r="E49" s="10" t="n">
        <x:v>2</x:v>
      </x:c>
      <x:c r="F49" s="12"/>
      <x:c r="G49" s="12"/>
      <x:c r="H49" s="10" t="n">
        <x:v>4</x:v>
      </x:c>
      <x:c r="I49" s="12" t="n">
        <x:v>0.4305555555555556</x:v>
      </x:c>
      <x:c r="J49" s="12" t="n">
        <x:v>0.45625</x:v>
      </x:c>
      <x:c r="K49" s="2" t="str">
        <x:v>In house</x:v>
      </x:c>
      <x:c r="L49" s="2"/>
      <x:c r="M49" s="2"/>
      <x:c r="N49" s="14"/>
      <x:c r="O49" s="14"/>
    </x:row>
    <x:row r="50" ht="24" customHeight="1">
      <x:c r="A50" s="2" t="str">
        <x:v>133_49</x:v>
      </x:c>
      <x:c r="B50" s="10" t="str">
        <x:v>133</x:v>
      </x:c>
      <x:c r="C50" s="10" t="n">
        <x:v>50</x:v>
      </x:c>
      <x:c r="D50" s="10" t="n">
        <x:v>49</x:v>
      </x:c>
      <x:c r="E50" s="10" t="n">
        <x:v>2</x:v>
      </x:c>
      <x:c r="F50" s="12"/>
      <x:c r="G50" s="12"/>
      <x:c r="H50" s="10" t="n">
        <x:v>2</x:v>
      </x:c>
      <x:c r="I50" s="12" t="n">
        <x:v>0.4388888888888889</x:v>
      </x:c>
      <x:c r="J50" s="12" t="n">
        <x:v>0.4583333333333333</x:v>
      </x:c>
      <x:c r="K50" s="2" t="str">
        <x:v>Walk in</x:v>
      </x:c>
      <x:c r="L50" s="2"/>
      <x:c r="M50" s="2"/>
      <x:c r="N50" s="14"/>
      <x:c r="O50" s="14"/>
    </x:row>
    <x:row r="51" ht="24" customHeight="1">
      <x:c r="A51" s="2" t="str">
        <x:v>133_50</x:v>
      </x:c>
      <x:c r="B51" s="10" t="str">
        <x:v>133</x:v>
      </x:c>
      <x:c r="C51" s="10" t="n">
        <x:v>51</x:v>
      </x:c>
      <x:c r="D51" s="10" t="n">
        <x:v>50</x:v>
      </x:c>
      <x:c r="E51" s="10" t="n">
        <x:v>2</x:v>
      </x:c>
      <x:c r="F51" s="12"/>
      <x:c r="G51" s="12"/>
      <x:c r="H51" s="10" t="n">
        <x:v>6</x:v>
      </x:c>
      <x:c r="I51" s="12" t="n">
        <x:v>0.4409722222222222</x:v>
      </x:c>
      <x:c r="J51" s="12" t="n">
        <x:v>0.4722222222222222</x:v>
      </x:c>
      <x:c r="K51" s="2" t="str">
        <x:v>Walk in</x:v>
      </x:c>
      <x:c r="L51" s="2"/>
      <x:c r="M51" s="2"/>
      <x:c r="N51" s="14"/>
      <x:c r="O51" s="14"/>
    </x:row>
    <x:row r="52" ht="24" customHeight="1">
      <x:c r="A52" s="2" t="str">
        <x:v>133_51</x:v>
      </x:c>
      <x:c r="B52" s="10" t="str">
        <x:v>133</x:v>
      </x:c>
      <x:c r="C52" s="10" t="n">
        <x:v>52</x:v>
      </x:c>
      <x:c r="D52" s="10" t="n">
        <x:v>51</x:v>
      </x:c>
      <x:c r="E52" s="10" t="n">
        <x:v>2</x:v>
      </x:c>
      <x:c r="F52" s="12"/>
      <x:c r="G52" s="12"/>
      <x:c r="H52" s="10" t="n">
        <x:v>5</x:v>
      </x:c>
      <x:c r="I52" s="12" t="n">
        <x:v>0.4479166666666667</x:v>
      </x:c>
      <x:c r="J52" s="12" t="n">
        <x:v>0.47708333333333336</x:v>
      </x:c>
      <x:c r="K52" s="2" t="str">
        <x:v>In house</x:v>
      </x:c>
      <x:c r="L52" s="2"/>
      <x:c r="M52" s="2"/>
      <x:c r="N52" s="14"/>
      <x:c r="O52" s="14"/>
    </x:row>
    <x:row r="53" ht="24" customHeight="1">
      <x:c r="A53" s="2" t="str">
        <x:v>133_52</x:v>
      </x:c>
      <x:c r="B53" s="10" t="str">
        <x:v>133</x:v>
      </x:c>
      <x:c r="C53" s="10" t="n">
        <x:v>53</x:v>
      </x:c>
      <x:c r="D53" s="10" t="n">
        <x:v>52</x:v>
      </x:c>
      <x:c r="E53" s="10" t="n">
        <x:v>2</x:v>
      </x:c>
      <x:c r="F53" s="12"/>
      <x:c r="G53" s="12"/>
      <x:c r="H53" s="10" t="n">
        <x:v>9</x:v>
      </x:c>
      <x:c r="I53" s="12" t="n">
        <x:v>0.4534722222222222</x:v>
      </x:c>
      <x:c r="J53" s="12" t="n">
        <x:v>0.4979166666666667</x:v>
      </x:c>
      <x:c r="K53" s="2" t="str">
        <x:v>Walk in</x:v>
      </x:c>
      <x:c r="L53" s="2"/>
      <x:c r="M53" s="2"/>
      <x:c r="N53" s="14"/>
      <x:c r="O53" s="14"/>
    </x:row>
    <x:row r="54" ht="24" customHeight="1">
      <x:c r="A54" s="2" t="str">
        <x:v>133_53</x:v>
      </x:c>
      <x:c r="B54" s="10" t="str">
        <x:v>133</x:v>
      </x:c>
      <x:c r="C54" s="10" t="n">
        <x:v>54</x:v>
      </x:c>
      <x:c r="D54" s="10" t="n">
        <x:v>53</x:v>
      </x:c>
      <x:c r="E54" s="10" t="n">
        <x:v>2</x:v>
      </x:c>
      <x:c r="F54" s="12"/>
      <x:c r="G54" s="12"/>
      <x:c r="H54" s="10" t="n">
        <x:v>1</x:v>
      </x:c>
      <x:c r="I54" s="12" t="n">
        <x:v>0.45694444444444443</x:v>
      </x:c>
      <x:c r="J54" s="12" t="n">
        <x:v>0.4979166666666667</x:v>
      </x:c>
      <x:c r="K54" s="2" t="str">
        <x:v>Walk in</x:v>
      </x:c>
      <x:c r="L54" s="2"/>
      <x:c r="M54" s="2"/>
      <x:c r="N54" s="14"/>
      <x:c r="O54" s="14"/>
    </x:row>
    <x:row r="55" ht="24" customHeight="1">
      <x:c r="A55" s="2" t="str">
        <x:v>133_54</x:v>
      </x:c>
      <x:c r="B55" s="10" t="str">
        <x:v>133</x:v>
      </x:c>
      <x:c r="C55" s="10" t="n">
        <x:v>55</x:v>
      </x:c>
      <x:c r="D55" s="10" t="n">
        <x:v>54</x:v>
      </x:c>
      <x:c r="E55" s="10" t="n">
        <x:v>2</x:v>
      </x:c>
      <x:c r="F55" s="12"/>
      <x:c r="G55" s="12"/>
      <x:c r="H55" s="10" t="n">
        <x:v>4</x:v>
      </x:c>
      <x:c r="I55" s="12" t="n">
        <x:v>0.4583333333333333</x:v>
      </x:c>
      <x:c r="J55" s="12" t="n">
        <x:v>0.5020833333333333</x:v>
      </x:c>
      <x:c r="K55" s="2" t="str">
        <x:v>Walk in</x:v>
      </x:c>
      <x:c r="L55" s="2"/>
      <x:c r="M55" s="2"/>
      <x:c r="N55" s="14"/>
      <x:c r="O55" s="14"/>
    </x:row>
    <x:row r="56" ht="24" customHeight="1">
      <x:c r="A56" s="2" t="str">
        <x:v>133_55</x:v>
      </x:c>
      <x:c r="B56" s="10" t="str">
        <x:v>133</x:v>
      </x:c>
      <x:c r="C56" s="10" t="n">
        <x:v>56</x:v>
      </x:c>
      <x:c r="D56" s="10" t="n">
        <x:v>55</x:v>
      </x:c>
      <x:c r="E56" s="10" t="n">
        <x:v>2</x:v>
      </x:c>
      <x:c r="F56" s="12"/>
      <x:c r="G56" s="12"/>
      <x:c r="H56" s="10" t="n">
        <x:v>16</x:v>
      </x:c>
      <x:c r="I56" s="12" t="n">
        <x:v>0.4583333333333333</x:v>
      </x:c>
      <x:c r="J56" s="12" t="n">
        <x:v>0.4895833333333333</x:v>
      </x:c>
      <x:c r="K56" s="2" t="str">
        <x:v>Walk in</x:v>
      </x:c>
      <x:c r="L56" s="2"/>
      <x:c r="M56" s="2"/>
      <x:c r="N56" s="14"/>
      <x:c r="O56" s="14"/>
    </x:row>
    <x:row r="57" ht="24" customHeight="1">
      <x:c r="A57" s="2" t="str">
        <x:v>133_56</x:v>
      </x:c>
      <x:c r="B57" s="10" t="str">
        <x:v>133</x:v>
      </x:c>
      <x:c r="C57" s="10" t="n">
        <x:v>57</x:v>
      </x:c>
      <x:c r="D57" s="10" t="n">
        <x:v>56</x:v>
      </x:c>
      <x:c r="E57" s="10" t="n">
        <x:v>2</x:v>
      </x:c>
      <x:c r="F57" s="12"/>
      <x:c r="G57" s="12"/>
      <x:c r="H57" s="10" t="n">
        <x:v>3</x:v>
      </x:c>
      <x:c r="I57" s="12" t="n">
        <x:v>0.46875</x:v>
      </x:c>
      <x:c r="J57" s="12" t="n">
        <x:v>0.48819444444444443</x:v>
      </x:c>
      <x:c r="K57" s="2" t="str">
        <x:v>In house</x:v>
      </x:c>
      <x:c r="L57" s="2"/>
      <x:c r="M57" s="2"/>
      <x:c r="N57" s="14"/>
      <x:c r="O57" s="14"/>
    </x:row>
    <x:row r="58" ht="24" customHeight="1">
      <x:c r="A58" s="2" t="str">
        <x:v>133_57</x:v>
      </x:c>
      <x:c r="B58" s="10" t="str">
        <x:v>133</x:v>
      </x:c>
      <x:c r="C58" s="10" t="n">
        <x:v>58</x:v>
      </x:c>
      <x:c r="D58" s="10" t="n">
        <x:v>57</x:v>
      </x:c>
      <x:c r="E58" s="10" t="n">
        <x:v>2</x:v>
      </x:c>
      <x:c r="F58" s="12"/>
      <x:c r="G58" s="12"/>
      <x:c r="H58" s="10" t="n">
        <x:v>2</x:v>
      </x:c>
      <x:c r="I58" s="12" t="n">
        <x:v>0.46944444444444444</x:v>
      </x:c>
      <x:c r="J58" s="12" t="n">
        <x:v>0.5</x:v>
      </x:c>
      <x:c r="K58" s="2" t="str">
        <x:v>Walk in</x:v>
      </x:c>
      <x:c r="L58" s="2"/>
      <x:c r="M58" s="2"/>
      <x:c r="N58" s="14"/>
      <x:c r="O58" s="14"/>
    </x:row>
    <x:row r="59" ht="24" customHeight="1">
      <x:c r="A59" s="2" t="str">
        <x:v>143_1</x:v>
      </x:c>
      <x:c r="B59" s="10" t="str">
        <x:v>143</x:v>
      </x:c>
      <x:c r="C59" s="10" t="n">
        <x:v>2</x:v>
      </x:c>
      <x:c r="D59" s="10" t="n">
        <x:v>1</x:v>
      </x:c>
      <x:c r="E59" s="10" t="n">
        <x:v>1</x:v>
      </x:c>
      <x:c r="F59" s="12"/>
      <x:c r="G59" s="12"/>
      <x:c r="H59" s="10" t="str">
        <x:v>5B</x:v>
      </x:c>
      <x:c r="I59" s="12" t="n">
        <x:v>0.2701388888888889</x:v>
      </x:c>
      <x:c r="J59" s="12" t="n">
        <x:v>0.4263888888888889</x:v>
      </x:c>
      <x:c r="K59" s="2" t="str">
        <x:v>Walk in</x:v>
      </x:c>
      <x:c r="L59" s="2"/>
      <x:c r="M59" s="2"/>
      <x:c r="N59" s="14"/>
      <x:c r="O59" s="14"/>
    </x:row>
    <x:row r="60" ht="24" customHeight="1">
      <x:c r="A60" s="2" t="str">
        <x:v>143_2</x:v>
      </x:c>
      <x:c r="B60" s="10" t="str">
        <x:v>143</x:v>
      </x:c>
      <x:c r="C60" s="10" t="n">
        <x:v>3</x:v>
      </x:c>
      <x:c r="D60" s="10" t="n">
        <x:v>2</x:v>
      </x:c>
      <x:c r="E60" s="10" t="n">
        <x:v>2</x:v>
      </x:c>
      <x:c r="F60" s="12"/>
      <x:c r="G60" s="12"/>
      <x:c r="H60" s="10" t="str">
        <x:v>7A</x:v>
      </x:c>
      <x:c r="I60" s="12" t="n">
        <x:v>0.2722222222222222</x:v>
      </x:c>
      <x:c r="J60" s="12" t="n">
        <x:v>0.3347222222222222</x:v>
      </x:c>
      <x:c r="K60" s="2" t="str">
        <x:v>Walk in</x:v>
      </x:c>
      <x:c r="L60" s="2"/>
      <x:c r="M60" s="2"/>
      <x:c r="N60" s="14"/>
      <x:c r="O60" s="14"/>
    </x:row>
    <x:row r="61" ht="24" customHeight="1">
      <x:c r="A61" s="2" t="str">
        <x:v>143_3</x:v>
      </x:c>
      <x:c r="B61" s="10" t="str">
        <x:v>143</x:v>
      </x:c>
      <x:c r="C61" s="10" t="n">
        <x:v>4</x:v>
      </x:c>
      <x:c r="D61" s="10" t="n">
        <x:v>3</x:v>
      </x:c>
      <x:c r="E61" s="10" t="n">
        <x:v>1</x:v>
      </x:c>
      <x:c r="F61" s="12"/>
      <x:c r="G61" s="12"/>
      <x:c r="H61" s="10" t="str">
        <x:v>1A</x:v>
      </x:c>
      <x:c r="I61" s="12" t="n">
        <x:v>0.27291666666666664</x:v>
      </x:c>
      <x:c r="J61" s="12" t="n">
        <x:v>0.32430555555555557</x:v>
      </x:c>
      <x:c r="K61" s="2" t="str">
        <x:v>Walk in</x:v>
      </x:c>
      <x:c r="L61" s="2"/>
      <x:c r="M61" s="2"/>
      <x:c r="N61" s="14"/>
      <x:c r="O61" s="14"/>
    </x:row>
    <x:row r="62" ht="24" customHeight="1">
      <x:c r="A62" s="2" t="str">
        <x:v>143_4</x:v>
      </x:c>
      <x:c r="B62" s="10" t="str">
        <x:v>143</x:v>
      </x:c>
      <x:c r="C62" s="10" t="n">
        <x:v>5</x:v>
      </x:c>
      <x:c r="D62" s="10" t="n">
        <x:v>4</x:v>
      </x:c>
      <x:c r="E62" s="10" t="n">
        <x:v>4</x:v>
      </x:c>
      <x:c r="F62" s="12"/>
      <x:c r="G62" s="12"/>
      <x:c r="H62" s="10" t="str">
        <x:v>4B</x:v>
      </x:c>
      <x:c r="I62" s="12" t="n">
        <x:v>0.27291666666666664</x:v>
      </x:c>
      <x:c r="J62" s="12" t="n">
        <x:v>0.33958333333333335</x:v>
      </x:c>
      <x:c r="K62" s="2" t="str">
        <x:v>Walk in</x:v>
      </x:c>
      <x:c r="L62" s="2"/>
      <x:c r="M62" s="2"/>
      <x:c r="N62" s="14"/>
      <x:c r="O62" s="14"/>
    </x:row>
    <x:row r="63" ht="24" customHeight="1">
      <x:c r="A63" s="2" t="str">
        <x:v>143_5</x:v>
      </x:c>
      <x:c r="B63" s="10" t="str">
        <x:v>143</x:v>
      </x:c>
      <x:c r="C63" s="10" t="n">
        <x:v>6</x:v>
      </x:c>
      <x:c r="D63" s="10" t="n">
        <x:v>5</x:v>
      </x:c>
      <x:c r="E63" s="10" t="n">
        <x:v>2</x:v>
      </x:c>
      <x:c r="F63" s="12"/>
      <x:c r="G63" s="12"/>
      <x:c r="H63" s="10" t="n">
        <x:v>16</x:v>
      </x:c>
      <x:c r="I63" s="12" t="n">
        <x:v>0.275</x:v>
      </x:c>
      <x:c r="J63" s="12" t="n">
        <x:v>0.3229166666666667</x:v>
      </x:c>
      <x:c r="K63" s="2" t="str">
        <x:v>Walk in</x:v>
      </x:c>
      <x:c r="L63" s="2"/>
      <x:c r="M63" s="2"/>
      <x:c r="N63" s="14"/>
      <x:c r="O63" s="14"/>
    </x:row>
    <x:row r="64" ht="24" customHeight="1">
      <x:c r="A64" s="2" t="str">
        <x:v>143_6</x:v>
      </x:c>
      <x:c r="B64" s="10" t="str">
        <x:v>143</x:v>
      </x:c>
      <x:c r="C64" s="10" t="n">
        <x:v>7</x:v>
      </x:c>
      <x:c r="D64" s="10" t="n">
        <x:v>6</x:v>
      </x:c>
      <x:c r="E64" s="10" t="n">
        <x:v>1</x:v>
      </x:c>
      <x:c r="F64" s="12"/>
      <x:c r="G64" s="12"/>
      <x:c r="H64" s="10" t="n">
        <x:v>3</x:v>
      </x:c>
      <x:c r="I64" s="12" t="n">
        <x:v>0.28055555555555556</x:v>
      </x:c>
      <x:c r="J64" s="12" t="n">
        <x:v>0.30277777777777776</x:v>
      </x:c>
      <x:c r="K64" s="2" t="str">
        <x:v>Walk in</x:v>
      </x:c>
      <x:c r="L64" s="2"/>
      <x:c r="M64" s="2"/>
      <x:c r="N64" s="14"/>
      <x:c r="O64" s="14"/>
    </x:row>
    <x:row r="65" ht="24" customHeight="1">
      <x:c r="A65" s="2" t="str">
        <x:v>143_7</x:v>
      </x:c>
      <x:c r="B65" s="10" t="str">
        <x:v>143</x:v>
      </x:c>
      <x:c r="C65" s="10" t="n">
        <x:v>8</x:v>
      </x:c>
      <x:c r="D65" s="10" t="n">
        <x:v>7</x:v>
      </x:c>
      <x:c r="E65" s="10" t="n">
        <x:v>1</x:v>
      </x:c>
      <x:c r="F65" s="12"/>
      <x:c r="G65" s="12"/>
      <x:c r="H65" s="10" t="n">
        <x:v>6</x:v>
      </x:c>
      <x:c r="I65" s="12" t="n">
        <x:v>0.28055555555555556</x:v>
      </x:c>
      <x:c r="J65" s="12" t="n">
        <x:v>0.35208333333333336</x:v>
      </x:c>
      <x:c r="K65" s="2" t="str">
        <x:v>Walk in</x:v>
      </x:c>
      <x:c r="L65" s="2"/>
      <x:c r="M65" s="2"/>
      <x:c r="N65" s="14"/>
      <x:c r="O65" s="14"/>
    </x:row>
    <x:row r="66" ht="24" customHeight="1">
      <x:c r="A66" s="2" t="str">
        <x:v>143_8</x:v>
      </x:c>
      <x:c r="B66" s="10" t="str">
        <x:v>143</x:v>
      </x:c>
      <x:c r="C66" s="10" t="n">
        <x:v>9</x:v>
      </x:c>
      <x:c r="D66" s="10" t="n">
        <x:v>8</x:v>
      </x:c>
      <x:c r="E66" s="10" t="n">
        <x:v>1</x:v>
      </x:c>
      <x:c r="F66" s="12"/>
      <x:c r="G66" s="12"/>
      <x:c r="H66" s="10" t="n">
        <x:v>11</x:v>
      </x:c>
      <x:c r="I66" s="12" t="n">
        <x:v>0.28055555555555556</x:v>
      </x:c>
      <x:c r="J66" s="12" t="n">
        <x:v>0.325</x:v>
      </x:c>
      <x:c r="K66" s="2" t="str">
        <x:v>Walk in</x:v>
      </x:c>
      <x:c r="L66" s="2"/>
      <x:c r="M66" s="2"/>
      <x:c r="N66" s="14"/>
      <x:c r="O66" s="14"/>
    </x:row>
    <x:row r="67" ht="24" customHeight="1">
      <x:c r="A67" s="2" t="str">
        <x:v>143_9</x:v>
      </x:c>
      <x:c r="B67" s="10" t="str">
        <x:v>143</x:v>
      </x:c>
      <x:c r="C67" s="10" t="n">
        <x:v>10</x:v>
      </x:c>
      <x:c r="D67" s="10" t="n">
        <x:v>9</x:v>
      </x:c>
      <x:c r="E67" s="10" t="n">
        <x:v>2</x:v>
      </x:c>
      <x:c r="F67" s="12"/>
      <x:c r="G67" s="12"/>
      <x:c r="H67" s="10" t="str">
        <x:v>4A</x:v>
      </x:c>
      <x:c r="I67" s="12" t="n">
        <x:v>0.2833333333333333</x:v>
      </x:c>
      <x:c r="J67" s="12" t="n">
        <x:v>0.3263888888888889</x:v>
      </x:c>
      <x:c r="K67" s="2" t="str">
        <x:v>Walk in</x:v>
      </x:c>
      <x:c r="L67" s="2"/>
      <x:c r="M67" s="2"/>
      <x:c r="N67" s="14"/>
      <x:c r="O67" s="14"/>
    </x:row>
    <x:row r="68" ht="24" customHeight="1">
      <x:c r="A68" s="2" t="str">
        <x:v>143_10</x:v>
      </x:c>
      <x:c r="B68" s="10" t="str">
        <x:v>143</x:v>
      </x:c>
      <x:c r="C68" s="10" t="n">
        <x:v>11</x:v>
      </x:c>
      <x:c r="D68" s="10" t="n">
        <x:v>10</x:v>
      </x:c>
      <x:c r="E68" s="10" t="n">
        <x:v>1</x:v>
      </x:c>
      <x:c r="F68" s="12" t="n">
        <x:v>0.2965277777777778</x:v>
      </x:c>
      <x:c r="G68" s="12" t="n">
        <x:v>0.3020833333333333</x:v>
      </x:c>
      <x:c r="H68" s="10" t="str">
        <x:v>3B</x:v>
      </x:c>
      <x:c r="I68" s="12" t="n">
        <x:v>0.3034722222222222</x:v>
      </x:c>
      <x:c r="J68" s="12" t="n">
        <x:v>0.39305555555555555</x:v>
      </x:c>
      <x:c r="K68" s="2" t="str">
        <x:v>Walk in</x:v>
      </x:c>
      <x:c r="L68" s="2"/>
      <x:c r="M68" s="2"/>
      <x:c r="N68" s="14"/>
      <x:c r="O68" s="14"/>
    </x:row>
    <x:row r="69" ht="24" customHeight="1">
      <x:c r="A69" s="2" t="str">
        <x:v>143_11</x:v>
      </x:c>
      <x:c r="B69" s="10" t="str">
        <x:v>143</x:v>
      </x:c>
      <x:c r="C69" s="10" t="n">
        <x:v>12</x:v>
      </x:c>
      <x:c r="D69" s="10" t="n">
        <x:v>11</x:v>
      </x:c>
      <x:c r="E69" s="10" t="n">
        <x:v>1</x:v>
      </x:c>
      <x:c r="F69" s="12"/>
      <x:c r="G69" s="12"/>
      <x:c r="H69" s="10" t="n">
        <x:v>11</x:v>
      </x:c>
      <x:c r="I69" s="12" t="n">
        <x:v>0.2972222222222222</x:v>
      </x:c>
      <x:c r="J69" s="12" t="n">
        <x:v>0.3263888888888889</x:v>
      </x:c>
      <x:c r="K69" s="2" t="str">
        <x:v>Walk in</x:v>
      </x:c>
      <x:c r="L69" s="2"/>
      <x:c r="M69" s="2"/>
      <x:c r="N69" s="14"/>
      <x:c r="O69" s="14"/>
    </x:row>
    <x:row r="70" ht="24" customHeight="1">
      <x:c r="A70" s="2" t="str">
        <x:v>143_12</x:v>
      </x:c>
      <x:c r="B70" s="10" t="str">
        <x:v>143</x:v>
      </x:c>
      <x:c r="C70" s="10" t="n">
        <x:v>13</x:v>
      </x:c>
      <x:c r="D70" s="10" t="n">
        <x:v>12</x:v>
      </x:c>
      <x:c r="E70" s="10" t="n">
        <x:v>2</x:v>
      </x:c>
      <x:c r="F70" s="12"/>
      <x:c r="G70" s="12"/>
      <x:c r="H70" s="10" t="str">
        <x:v>8B</x:v>
      </x:c>
      <x:c r="I70" s="12" t="n">
        <x:v>0.3020833333333333</x:v>
      </x:c>
      <x:c r="J70" s="12" t="n">
        <x:v>0.35208333333333336</x:v>
      </x:c>
      <x:c r="K70" s="2" t="str">
        <x:v>In house</x:v>
      </x:c>
      <x:c r="L70" s="2"/>
      <x:c r="M70" s="2"/>
      <x:c r="N70" s="14"/>
      <x:c r="O70" s="14"/>
    </x:row>
    <x:row r="71" ht="24" customHeight="1">
      <x:c r="A71" s="2" t="str">
        <x:v>143_13</x:v>
      </x:c>
      <x:c r="B71" s="10" t="str">
        <x:v>143</x:v>
      </x:c>
      <x:c r="C71" s="10" t="n">
        <x:v>14</x:v>
      </x:c>
      <x:c r="D71" s="10" t="n">
        <x:v>13</x:v>
      </x:c>
      <x:c r="E71" s="10" t="n">
        <x:v>2</x:v>
      </x:c>
      <x:c r="F71" s="12"/>
      <x:c r="G71" s="12"/>
      <x:c r="H71" s="10" t="str">
        <x:v>8C</x:v>
      </x:c>
      <x:c r="I71" s="12" t="n">
        <x:v>0.3090277777777778</x:v>
      </x:c>
      <x:c r="J71" s="12" t="n">
        <x:v>0.35208333333333336</x:v>
      </x:c>
      <x:c r="K71" s="2" t="str">
        <x:v>In house</x:v>
      </x:c>
      <x:c r="L71" s="2"/>
      <x:c r="M71" s="2"/>
      <x:c r="N71" s="14"/>
      <x:c r="O71" s="14"/>
    </x:row>
    <x:row r="72" ht="24" customHeight="1">
      <x:c r="A72" s="2" t="str">
        <x:v>143_14</x:v>
      </x:c>
      <x:c r="B72" s="10" t="str">
        <x:v>143</x:v>
      </x:c>
      <x:c r="C72" s="10" t="n">
        <x:v>15</x:v>
      </x:c>
      <x:c r="D72" s="10" t="n">
        <x:v>14</x:v>
      </x:c>
      <x:c r="E72" s="10" t="n">
        <x:v>1</x:v>
      </x:c>
      <x:c r="F72" s="12"/>
      <x:c r="G72" s="12"/>
      <x:c r="H72" s="10" t="str">
        <x:v>8A</x:v>
      </x:c>
      <x:c r="I72" s="12" t="n">
        <x:v>0.30972222222222223</x:v>
      </x:c>
      <x:c r="J72" s="12" t="n">
        <x:v>0.35833333333333334</x:v>
      </x:c>
      <x:c r="K72" s="2" t="str">
        <x:v>Walk in</x:v>
      </x:c>
      <x:c r="L72" s="2"/>
      <x:c r="M72" s="2"/>
      <x:c r="N72" s="14"/>
      <x:c r="O72" s="14"/>
    </x:row>
    <x:row r="73" ht="24" customHeight="1">
      <x:c r="A73" s="2" t="str">
        <x:v>143_15</x:v>
      </x:c>
      <x:c r="B73" s="10" t="str">
        <x:v>143</x:v>
      </x:c>
      <x:c r="C73" s="10" t="n">
        <x:v>16</x:v>
      </x:c>
      <x:c r="D73" s="10" t="n">
        <x:v>15</x:v>
      </x:c>
      <x:c r="E73" s="10" t="n">
        <x:v>2</x:v>
      </x:c>
      <x:c r="F73" s="12"/>
      <x:c r="G73" s="12"/>
      <x:c r="H73" s="10" t="str">
        <x:v>7B</x:v>
      </x:c>
      <x:c r="I73" s="12" t="n">
        <x:v>0.3111111111111111</x:v>
      </x:c>
      <x:c r="J73" s="12" t="n">
        <x:v>0.34652777777777777</x:v>
      </x:c>
      <x:c r="K73" s="2" t="str">
        <x:v>In house</x:v>
      </x:c>
      <x:c r="L73" s="2"/>
      <x:c r="M73" s="2"/>
      <x:c r="N73" s="14"/>
      <x:c r="O73" s="14"/>
    </x:row>
    <x:row r="74" ht="24" customHeight="1">
      <x:c r="A74" s="2" t="str">
        <x:v>143_16</x:v>
      </x:c>
      <x:c r="B74" s="10" t="str">
        <x:v>143</x:v>
      </x:c>
      <x:c r="C74" s="10" t="n">
        <x:v>17</x:v>
      </x:c>
      <x:c r="D74" s="10" t="n">
        <x:v>16</x:v>
      </x:c>
      <x:c r="E74" s="10" t="n">
        <x:v>4</x:v>
      </x:c>
      <x:c r="F74" s="12"/>
      <x:c r="G74" s="12"/>
      <x:c r="H74" s="10" t="n">
        <x:v>15</x:v>
      </x:c>
      <x:c r="I74" s="12" t="n">
        <x:v>0.31180555555555556</x:v>
      </x:c>
      <x:c r="J74" s="12" t="n">
        <x:v>0.3597222222222222</x:v>
      </x:c>
      <x:c r="K74" s="2" t="str">
        <x:v>Walk in</x:v>
      </x:c>
      <x:c r="L74" s="2"/>
      <x:c r="M74" s="2"/>
      <x:c r="N74" s="14"/>
      <x:c r="O74" s="14"/>
    </x:row>
    <x:row r="75" ht="24" customHeight="1">
      <x:c r="A75" s="2" t="str">
        <x:v>143_17</x:v>
      </x:c>
      <x:c r="B75" s="10" t="str">
        <x:v>143</x:v>
      </x:c>
      <x:c r="C75" s="10" t="n">
        <x:v>18</x:v>
      </x:c>
      <x:c r="D75" s="10" t="n">
        <x:v>17</x:v>
      </x:c>
      <x:c r="E75" s="10" t="n">
        <x:v>2</x:v>
      </x:c>
      <x:c r="F75" s="12"/>
      <x:c r="G75" s="12"/>
      <x:c r="H75" s="10" t="str">
        <x:v>9A</x:v>
      </x:c>
      <x:c r="I75" s="12" t="n">
        <x:v>0.3159722222222222</x:v>
      </x:c>
      <x:c r="J75" s="12" t="n">
        <x:v>0.33819444444444446</x:v>
      </x:c>
      <x:c r="K75" s="2" t="str">
        <x:v>In house</x:v>
      </x:c>
      <x:c r="L75" s="2"/>
      <x:c r="M75" s="2"/>
      <x:c r="N75" s="14"/>
      <x:c r="O75" s="14"/>
    </x:row>
    <x:row r="76" ht="24" customHeight="1">
      <x:c r="A76" s="2" t="str">
        <x:v>143_18</x:v>
      </x:c>
      <x:c r="B76" s="10" t="str">
        <x:v>143</x:v>
      </x:c>
      <x:c r="C76" s="10" t="n">
        <x:v>19</x:v>
      </x:c>
      <x:c r="D76" s="10" t="n">
        <x:v>18</x:v>
      </x:c>
      <x:c r="E76" s="10" t="n">
        <x:v>2</x:v>
      </x:c>
      <x:c r="F76" s="12"/>
      <x:c r="G76" s="12"/>
      <x:c r="H76" s="10" t="n">
        <x:v>14</x:v>
      </x:c>
      <x:c r="I76" s="12" t="n">
        <x:v>0.31805555555555554</x:v>
      </x:c>
      <x:c r="J76" s="12" t="n">
        <x:v>0.3541666666666667</x:v>
      </x:c>
      <x:c r="K76" s="2" t="str">
        <x:v>In house</x:v>
      </x:c>
      <x:c r="L76" s="2"/>
      <x:c r="M76" s="2"/>
      <x:c r="N76" s="14"/>
      <x:c r="O76" s="14"/>
    </x:row>
    <x:row r="77" ht="24" customHeight="1">
      <x:c r="A77" s="2" t="str">
        <x:v>143_19</x:v>
      </x:c>
      <x:c r="B77" s="10" t="str">
        <x:v>143</x:v>
      </x:c>
      <x:c r="C77" s="10" t="n">
        <x:v>20</x:v>
      </x:c>
      <x:c r="D77" s="10" t="n">
        <x:v>19</x:v>
      </x:c>
      <x:c r="E77" s="10" t="n">
        <x:v>2</x:v>
      </x:c>
      <x:c r="F77" s="12"/>
      <x:c r="G77" s="12"/>
      <x:c r="H77" s="10" t="n">
        <x:v>12</x:v>
      </x:c>
      <x:c r="I77" s="12" t="n">
        <x:v>0.3194444444444444</x:v>
      </x:c>
      <x:c r="J77" s="12" t="n">
        <x:v>0.39652777777777776</x:v>
      </x:c>
      <x:c r="K77" s="2" t="str">
        <x:v>Walk in</x:v>
      </x:c>
      <x:c r="L77" s="2"/>
      <x:c r="M77" s="2"/>
      <x:c r="N77" s="14"/>
      <x:c r="O77" s="14"/>
    </x:row>
    <x:row r="78" ht="24" customHeight="1">
      <x:c r="A78" s="2" t="str">
        <x:v>143_20</x:v>
      </x:c>
      <x:c r="B78" s="10" t="str">
        <x:v>143</x:v>
      </x:c>
      <x:c r="C78" s="10" t="n">
        <x:v>21</x:v>
      </x:c>
      <x:c r="D78" s="10" t="n">
        <x:v>20</x:v>
      </x:c>
      <x:c r="E78" s="10" t="n">
        <x:v>1</x:v>
      </x:c>
      <x:c r="F78" s="12"/>
      <x:c r="G78" s="12"/>
      <x:c r="H78" s="10" t="str">
        <x:v>7C</x:v>
      </x:c>
      <x:c r="I78" s="12" t="n">
        <x:v>0.32430555555555557</x:v>
      </x:c>
      <x:c r="J78" s="12" t="n">
        <x:v>0.3423611111111111</x:v>
      </x:c>
      <x:c r="K78" s="2" t="str">
        <x:v>Walk in</x:v>
      </x:c>
      <x:c r="L78" s="2"/>
      <x:c r="M78" s="2"/>
      <x:c r="N78" s="14"/>
      <x:c r="O78" s="14"/>
    </x:row>
    <x:row r="79" ht="24" customHeight="1">
      <x:c r="A79" s="2" t="str">
        <x:v>143_21</x:v>
      </x:c>
      <x:c r="B79" s="10" t="str">
        <x:v>143</x:v>
      </x:c>
      <x:c r="C79" s="10" t="n">
        <x:v>22</x:v>
      </x:c>
      <x:c r="D79" s="10" t="n">
        <x:v>21</x:v>
      </x:c>
      <x:c r="E79" s="10" t="n">
        <x:v>2</x:v>
      </x:c>
      <x:c r="F79" s="12"/>
      <x:c r="G79" s="12"/>
      <x:c r="H79" s="10" t="n">
        <x:v>16</x:v>
      </x:c>
      <x:c r="I79" s="12" t="n">
        <x:v>0.32569444444444445</x:v>
      </x:c>
      <x:c r="J79" s="12" t="n">
        <x:v>0.3416666666666667</x:v>
      </x:c>
      <x:c r="K79" s="2" t="str">
        <x:v>In house</x:v>
      </x:c>
      <x:c r="L79" s="2"/>
      <x:c r="M79" s="2"/>
      <x:c r="N79" s="14"/>
      <x:c r="O79" s="14"/>
    </x:row>
    <x:row r="80" ht="24" customHeight="1">
      <x:c r="A80" s="2" t="str">
        <x:v>143_22</x:v>
      </x:c>
      <x:c r="B80" s="10" t="str">
        <x:v>143</x:v>
      </x:c>
      <x:c r="C80" s="10" t="n">
        <x:v>23</x:v>
      </x:c>
      <x:c r="D80" s="10" t="n">
        <x:v>22</x:v>
      </x:c>
      <x:c r="E80" s="10" t="n">
        <x:v>3</x:v>
      </x:c>
      <x:c r="F80" s="12"/>
      <x:c r="G80" s="12"/>
      <x:c r="H80" s="10" t="n">
        <x:v>11</x:v>
      </x:c>
      <x:c r="I80" s="12" t="n">
        <x:v>0.32708333333333334</x:v>
      </x:c>
      <x:c r="J80" s="12" t="n">
        <x:v>0.4270833333333333</x:v>
      </x:c>
      <x:c r="K80" s="2" t="str">
        <x:v>Walk in</x:v>
      </x:c>
      <x:c r="L80" s="2"/>
      <x:c r="M80" s="2"/>
      <x:c r="N80" s="14"/>
      <x:c r="O80" s="14"/>
    </x:row>
    <x:row r="81" ht="24" customHeight="1">
      <x:c r="A81" s="2" t="str">
        <x:v>143_23</x:v>
      </x:c>
      <x:c r="B81" s="10" t="str">
        <x:v>143</x:v>
      </x:c>
      <x:c r="C81" s="10" t="n">
        <x:v>24</x:v>
      </x:c>
      <x:c r="D81" s="10" t="n">
        <x:v>23</x:v>
      </x:c>
      <x:c r="E81" s="10" t="n">
        <x:v>1</x:v>
      </x:c>
      <x:c r="F81" s="12"/>
      <x:c r="G81" s="12"/>
      <x:c r="H81" s="10" t="str">
        <x:v>1A</x:v>
      </x:c>
      <x:c r="I81" s="12" t="n">
        <x:v>0.3298611111111111</x:v>
      </x:c>
      <x:c r="J81" s="12" t="n">
        <x:v>0.34652777777777777</x:v>
      </x:c>
      <x:c r="K81" s="2" t="str">
        <x:v>In house</x:v>
      </x:c>
      <x:c r="L81" s="2"/>
      <x:c r="M81" s="2"/>
      <x:c r="N81" s="14"/>
      <x:c r="O81" s="14"/>
    </x:row>
    <x:row r="82" ht="24" customHeight="1">
      <x:c r="A82" s="2" t="str">
        <x:v>143_24</x:v>
      </x:c>
      <x:c r="B82" s="10" t="str">
        <x:v>143</x:v>
      </x:c>
      <x:c r="C82" s="10" t="n">
        <x:v>25</x:v>
      </x:c>
      <x:c r="D82" s="10" t="n">
        <x:v>24</x:v>
      </x:c>
      <x:c r="E82" s="10" t="n">
        <x:v>2</x:v>
      </x:c>
      <x:c r="F82" s="12"/>
      <x:c r="G82" s="12"/>
      <x:c r="H82" s="10" t="str">
        <x:v>10B</x:v>
      </x:c>
      <x:c r="I82" s="12" t="n">
        <x:v>0.33125</x:v>
      </x:c>
      <x:c r="J82" s="12" t="n">
        <x:v>0.3506944444444444</x:v>
      </x:c>
      <x:c r="K82" s="2" t="str">
        <x:v>In house</x:v>
      </x:c>
      <x:c r="L82" s="2"/>
      <x:c r="M82" s="2"/>
      <x:c r="N82" s="14"/>
      <x:c r="O82" s="14"/>
    </x:row>
    <x:row r="83" ht="24" customHeight="1">
      <x:c r="A83" s="2" t="str">
        <x:v>143_25</x:v>
      </x:c>
      <x:c r="B83" s="10" t="str">
        <x:v>143</x:v>
      </x:c>
      <x:c r="C83" s="10" t="n">
        <x:v>26</x:v>
      </x:c>
      <x:c r="D83" s="10" t="n">
        <x:v>25</x:v>
      </x:c>
      <x:c r="E83" s="10" t="n">
        <x:v>2</x:v>
      </x:c>
      <x:c r="F83" s="12"/>
      <x:c r="G83" s="12"/>
      <x:c r="H83" s="10" t="str">
        <x:v>9B</x:v>
      </x:c>
      <x:c r="I83" s="12" t="n">
        <x:v>0.3347222222222222</x:v>
      </x:c>
      <x:c r="J83" s="12" t="n">
        <x:v>0.35833333333333334</x:v>
      </x:c>
      <x:c r="K83" s="2" t="str">
        <x:v>In house</x:v>
      </x:c>
      <x:c r="L83" s="2"/>
      <x:c r="M83" s="2"/>
      <x:c r="N83" s="14"/>
      <x:c r="O83" s="14"/>
    </x:row>
    <x:row r="84" ht="24" customHeight="1">
      <x:c r="A84" s="2" t="str">
        <x:v>143_26</x:v>
      </x:c>
      <x:c r="B84" s="10" t="str">
        <x:v>143</x:v>
      </x:c>
      <x:c r="C84" s="10" t="n">
        <x:v>27</x:v>
      </x:c>
      <x:c r="D84" s="10" t="n">
        <x:v>26</x:v>
      </x:c>
      <x:c r="E84" s="10" t="n">
        <x:v>4</x:v>
      </x:c>
      <x:c r="F84" s="12"/>
      <x:c r="G84" s="12"/>
      <x:c r="H84" s="10" t="n">
        <x:v>2</x:v>
      </x:c>
      <x:c r="I84" s="12" t="n">
        <x:v>0.3368055555555556</x:v>
      </x:c>
      <x:c r="J84" s="12" t="n">
        <x:v>0.38958333333333334</x:v>
      </x:c>
      <x:c r="K84" s="2" t="str">
        <x:v>Walk in</x:v>
      </x:c>
      <x:c r="L84" s="2"/>
      <x:c r="M84" s="2"/>
      <x:c r="N84" s="14"/>
      <x:c r="O84" s="14"/>
    </x:row>
    <x:row r="85" ht="24" customHeight="1">
      <x:c r="A85" s="2" t="str">
        <x:v>143_27</x:v>
      </x:c>
      <x:c r="B85" s="10" t="str">
        <x:v>143</x:v>
      </x:c>
      <x:c r="C85" s="10" t="n">
        <x:v>28</x:v>
      </x:c>
      <x:c r="D85" s="10" t="n">
        <x:v>27</x:v>
      </x:c>
      <x:c r="E85" s="10" t="n">
        <x:v>2</x:v>
      </x:c>
      <x:c r="F85" s="12"/>
      <x:c r="G85" s="12"/>
      <x:c r="H85" s="10" t="str">
        <x:v>4A</x:v>
      </x:c>
      <x:c r="I85" s="12" t="n">
        <x:v>0.3375</x:v>
      </x:c>
      <x:c r="J85" s="12" t="n">
        <x:v>0.3527777777777778</x:v>
      </x:c>
      <x:c r="K85" s="2" t="str">
        <x:v>Walk in</x:v>
      </x:c>
      <x:c r="L85" s="2"/>
      <x:c r="M85" s="2"/>
      <x:c r="N85" s="14"/>
      <x:c r="O85" s="14"/>
    </x:row>
    <x:row r="86" ht="24" customHeight="1">
      <x:c r="A86" s="2" t="str">
        <x:v>143_28</x:v>
      </x:c>
      <x:c r="B86" s="10" t="str">
        <x:v>143</x:v>
      </x:c>
      <x:c r="C86" s="10" t="n">
        <x:v>29</x:v>
      </x:c>
      <x:c r="D86" s="10" t="n">
        <x:v>28</x:v>
      </x:c>
      <x:c r="E86" s="10" t="n">
        <x:v>1</x:v>
      </x:c>
      <x:c r="F86" s="12"/>
      <x:c r="G86" s="12"/>
      <x:c r="H86" s="10" t="str">
        <x:v>1B</x:v>
      </x:c>
      <x:c r="I86" s="12" t="n">
        <x:v>0.3416666666666667</x:v>
      </x:c>
      <x:c r="J86" s="12" t="n">
        <x:v>0.36666666666666664</x:v>
      </x:c>
      <x:c r="K86" s="2" t="str">
        <x:v>In house</x:v>
      </x:c>
      <x:c r="L86" s="2"/>
      <x:c r="M86" s="2"/>
      <x:c r="N86" s="14"/>
      <x:c r="O86" s="14"/>
    </x:row>
    <x:row r="87" ht="24" customHeight="1">
      <x:c r="A87" s="2" t="str">
        <x:v>143_29</x:v>
      </x:c>
      <x:c r="B87" s="10" t="str">
        <x:v>143</x:v>
      </x:c>
      <x:c r="C87" s="10" t="n">
        <x:v>30</x:v>
      </x:c>
      <x:c r="D87" s="10" t="n">
        <x:v>29</x:v>
      </x:c>
      <x:c r="E87" s="10" t="n">
        <x:v>4</x:v>
      </x:c>
      <x:c r="F87" s="12"/>
      <x:c r="G87" s="12"/>
      <x:c r="H87" s="10" t="str">
        <x:v>4B</x:v>
      </x:c>
      <x:c r="I87" s="12" t="n">
        <x:v>0.3423611111111111</x:v>
      </x:c>
      <x:c r="J87" s="12" t="n">
        <x:v>0.3680555555555556</x:v>
      </x:c>
      <x:c r="K87" s="2" t="str">
        <x:v>In house</x:v>
      </x:c>
      <x:c r="L87" s="2"/>
      <x:c r="M87" s="2"/>
      <x:c r="N87" s="14"/>
      <x:c r="O87" s="14"/>
    </x:row>
    <x:row r="88" ht="24" customHeight="1">
      <x:c r="A88" s="2" t="str">
        <x:v>143_30</x:v>
      </x:c>
      <x:c r="B88" s="10" t="str">
        <x:v>143</x:v>
      </x:c>
      <x:c r="C88" s="10" t="n">
        <x:v>31</x:v>
      </x:c>
      <x:c r="D88" s="10" t="n">
        <x:v>30</x:v>
      </x:c>
      <x:c r="E88" s="10" t="n">
        <x:v>2</x:v>
      </x:c>
      <x:c r="F88" s="12"/>
      <x:c r="G88" s="12"/>
      <x:c r="H88" s="10" t="str">
        <x:v>7A</x:v>
      </x:c>
      <x:c r="I88" s="12" t="n">
        <x:v>0.34305555555555556</x:v>
      </x:c>
      <x:c r="J88" s="12" t="n">
        <x:v>0.40694444444444444</x:v>
      </x:c>
      <x:c r="K88" s="2" t="str">
        <x:v>Walk in</x:v>
      </x:c>
      <x:c r="L88" s="2"/>
      <x:c r="M88" s="2"/>
      <x:c r="N88" s="14"/>
      <x:c r="O88" s="14"/>
    </x:row>
    <x:row r="89" ht="24" customHeight="1">
      <x:c r="A89" s="2" t="str">
        <x:v>143_31</x:v>
      </x:c>
      <x:c r="B89" s="10" t="str">
        <x:v>143</x:v>
      </x:c>
      <x:c r="C89" s="10" t="n">
        <x:v>32</x:v>
      </x:c>
      <x:c r="D89" s="10" t="n">
        <x:v>31</x:v>
      </x:c>
      <x:c r="E89" s="10" t="n">
        <x:v>1</x:v>
      </x:c>
      <x:c r="F89" s="12"/>
      <x:c r="G89" s="12"/>
      <x:c r="H89" s="10" t="str">
        <x:v>1A</x:v>
      </x:c>
      <x:c r="I89" s="12" t="n">
        <x:v>0.3472222222222222</x:v>
      </x:c>
      <x:c r="J89" s="12" t="n">
        <x:v>0.40347222222222223</x:v>
      </x:c>
      <x:c r="K89" s="2" t="str">
        <x:v>Walk in</x:v>
      </x:c>
      <x:c r="L89" s="2"/>
      <x:c r="M89" s="2"/>
      <x:c r="N89" s="14"/>
      <x:c r="O89" s="14"/>
    </x:row>
    <x:row r="90" ht="24" customHeight="1">
      <x:c r="A90" s="2" t="str">
        <x:v>143_32</x:v>
      </x:c>
      <x:c r="B90" s="10" t="str">
        <x:v>143</x:v>
      </x:c>
      <x:c r="C90" s="10" t="n">
        <x:v>33</x:v>
      </x:c>
      <x:c r="D90" s="10" t="n">
        <x:v>32</x:v>
      </x:c>
      <x:c r="E90" s="10" t="n">
        <x:v>2</x:v>
      </x:c>
      <x:c r="F90" s="12"/>
      <x:c r="G90" s="12"/>
      <x:c r="H90" s="10" t="n">
        <x:v>16</x:v>
      </x:c>
      <x:c r="I90" s="12" t="n">
        <x:v>0.3451388888888889</x:v>
      </x:c>
      <x:c r="J90" s="12" t="n">
        <x:v>0.3958333333333333</x:v>
      </x:c>
      <x:c r="K90" s="2" t="str">
        <x:v>Walk in</x:v>
      </x:c>
      <x:c r="L90" s="2"/>
      <x:c r="M90" s="2"/>
      <x:c r="N90" s="14"/>
      <x:c r="O90" s="14"/>
    </x:row>
    <x:row r="91" ht="24" customHeight="1">
      <x:c r="A91" s="2" t="str">
        <x:v>143_33</x:v>
      </x:c>
      <x:c r="B91" s="10" t="str">
        <x:v>143</x:v>
      </x:c>
      <x:c r="C91" s="10" t="n">
        <x:v>34</x:v>
      </x:c>
      <x:c r="D91" s="10" t="n">
        <x:v>33</x:v>
      </x:c>
      <x:c r="E91" s="10" t="n">
        <x:v>4</x:v>
      </x:c>
      <x:c r="F91" s="12"/>
      <x:c r="G91" s="12"/>
      <x:c r="H91" s="10" t="n">
        <x:v>6</x:v>
      </x:c>
      <x:c r="I91" s="12" t="n">
        <x:v>0.35347222222222224</x:v>
      </x:c>
      <x:c r="J91" s="12" t="n">
        <x:v>0.40694444444444444</x:v>
      </x:c>
      <x:c r="K91" s="2" t="str">
        <x:v>Walk in</x:v>
      </x:c>
      <x:c r="L91" s="2"/>
      <x:c r="M91" s="2"/>
      <x:c r="N91" s="14"/>
      <x:c r="O91" s="14"/>
    </x:row>
    <x:row r="92" ht="24" customHeight="1">
      <x:c r="A92" s="2" t="str">
        <x:v>143_34</x:v>
      </x:c>
      <x:c r="B92" s="10" t="str">
        <x:v>143</x:v>
      </x:c>
      <x:c r="C92" s="10" t="n">
        <x:v>35</x:v>
      </x:c>
      <x:c r="D92" s="10" t="n">
        <x:v>34</x:v>
      </x:c>
      <x:c r="E92" s="10" t="n">
        <x:v>2</x:v>
      </x:c>
      <x:c r="F92" s="12"/>
      <x:c r="G92" s="12"/>
      <x:c r="H92" s="10" t="str">
        <x:v>7C</x:v>
      </x:c>
      <x:c r="I92" s="12" t="n">
        <x:v>0.3472222222222222</x:v>
      </x:c>
      <x:c r="J92" s="12" t="n">
        <x:v>0.4166666666666667</x:v>
      </x:c>
      <x:c r="K92" s="2" t="str">
        <x:v>Walk in</x:v>
      </x:c>
      <x:c r="L92" s="2"/>
      <x:c r="M92" s="2"/>
      <x:c r="N92" s="14"/>
      <x:c r="O92" s="14"/>
    </x:row>
    <x:row r="93" ht="24" customHeight="1">
      <x:c r="A93" s="2" t="str">
        <x:v>143_35</x:v>
      </x:c>
      <x:c r="B93" s="10" t="str">
        <x:v>143</x:v>
      </x:c>
      <x:c r="C93" s="10" t="n">
        <x:v>36</x:v>
      </x:c>
      <x:c r="D93" s="10" t="n">
        <x:v>35</x:v>
      </x:c>
      <x:c r="E93" s="10" t="n">
        <x:v>1</x:v>
      </x:c>
      <x:c r="F93" s="12"/>
      <x:c r="G93" s="12"/>
      <x:c r="H93" s="10" t="str">
        <x:v>7B</x:v>
      </x:c>
      <x:c r="I93" s="12" t="n">
        <x:v>0.34930555555555554</x:v>
      </x:c>
      <x:c r="J93" s="12" t="n">
        <x:v>0.36666666666666664</x:v>
      </x:c>
      <x:c r="K93" s="2" t="str">
        <x:v>In house</x:v>
      </x:c>
      <x:c r="L93" s="2"/>
      <x:c r="M93" s="2"/>
      <x:c r="N93" s="14"/>
      <x:c r="O93" s="14"/>
    </x:row>
    <x:row r="94" ht="24" customHeight="1">
      <x:c r="A94" s="2" t="str">
        <x:v>143_36</x:v>
      </x:c>
      <x:c r="B94" s="10" t="str">
        <x:v>143</x:v>
      </x:c>
      <x:c r="C94" s="10" t="n">
        <x:v>37</x:v>
      </x:c>
      <x:c r="D94" s="10" t="n">
        <x:v>36</x:v>
      </x:c>
      <x:c r="E94" s="10" t="n">
        <x:v>2</x:v>
      </x:c>
      <x:c r="F94" s="12"/>
      <x:c r="G94" s="12"/>
      <x:c r="H94" s="10" t="str">
        <x:v>9A</x:v>
      </x:c>
      <x:c r="I94" s="12" t="n">
        <x:v>0.34930555555555554</x:v>
      </x:c>
      <x:c r="J94" s="12" t="n">
        <x:v>0.38333333333333336</x:v>
      </x:c>
      <x:c r="K94" s="2" t="str">
        <x:v>Walk in</x:v>
      </x:c>
      <x:c r="L94" s="2"/>
      <x:c r="M94" s="2"/>
      <x:c r="N94" s="14"/>
      <x:c r="O94" s="14"/>
    </x:row>
    <x:row r="95" ht="24" customHeight="1">
      <x:c r="A95" s="2" t="str">
        <x:v>143_37</x:v>
      </x:c>
      <x:c r="B95" s="10" t="str">
        <x:v>143</x:v>
      </x:c>
      <x:c r="C95" s="10" t="n">
        <x:v>38</x:v>
      </x:c>
      <x:c r="D95" s="10" t="n">
        <x:v>37</x:v>
      </x:c>
      <x:c r="E95" s="10" t="n">
        <x:v>2</x:v>
      </x:c>
      <x:c r="F95" s="12" t="n">
        <x:v>0.3506944444444444</x:v>
      </x:c>
      <x:c r="G95" s="12" t="n">
        <x:v>0.36666666666666664</x:v>
      </x:c>
      <x:c r="H95" s="10" t="str">
        <x:v>1B</x:v>
      </x:c>
      <x:c r="I95" s="12" t="n">
        <x:v>0.36666666666666664</x:v>
      </x:c>
      <x:c r="J95" s="12" t="n">
        <x:v>0.4201388888888889</x:v>
      </x:c>
      <x:c r="K95" s="2" t="str">
        <x:v>Walk in</x:v>
      </x:c>
      <x:c r="L95" s="2"/>
      <x:c r="M95" s="2"/>
      <x:c r="N95" s="14"/>
      <x:c r="O95" s="14"/>
    </x:row>
    <x:row r="96" ht="24" customHeight="1">
      <x:c r="A96" s="2" t="str">
        <x:v>143_38</x:v>
      </x:c>
      <x:c r="B96" s="10" t="str">
        <x:v>143</x:v>
      </x:c>
      <x:c r="C96" s="10" t="n">
        <x:v>39</x:v>
      </x:c>
      <x:c r="D96" s="10" t="n">
        <x:v>38</x:v>
      </x:c>
      <x:c r="E96" s="10" t="n">
        <x:v>2</x:v>
      </x:c>
      <x:c r="F96" s="12"/>
      <x:c r="G96" s="12"/>
      <x:c r="H96" s="10" t="str">
        <x:v>8B</x:v>
      </x:c>
      <x:c r="I96" s="12" t="n">
        <x:v>0.35347222222222224</x:v>
      </x:c>
      <x:c r="J96" s="12" t="n">
        <x:v>0.43125</x:v>
      </x:c>
      <x:c r="K96" s="2" t="str">
        <x:v>Walk in</x:v>
      </x:c>
      <x:c r="L96" s="2"/>
      <x:c r="M96" s="2"/>
      <x:c r="N96" s="14"/>
      <x:c r="O96" s="14"/>
    </x:row>
    <x:row r="97" ht="24" customHeight="1">
      <x:c r="A97" s="2" t="str">
        <x:v>143_39</x:v>
      </x:c>
      <x:c r="B97" s="10" t="str">
        <x:v>143</x:v>
      </x:c>
      <x:c r="C97" s="10" t="n">
        <x:v>40</x:v>
      </x:c>
      <x:c r="D97" s="10" t="n">
        <x:v>39</x:v>
      </x:c>
      <x:c r="E97" s="10" t="n">
        <x:v>1</x:v>
      </x:c>
      <x:c r="F97" s="12"/>
      <x:c r="G97" s="12"/>
      <x:c r="H97" s="10" t="str">
        <x:v>10B</x:v>
      </x:c>
      <x:c r="I97" s="12" t="n">
        <x:v>0.35694444444444445</x:v>
      </x:c>
      <x:c r="J97" s="12" t="n">
        <x:v>0.45069444444444445</x:v>
      </x:c>
      <x:c r="K97" s="2" t="str">
        <x:v>Walk in</x:v>
      </x:c>
      <x:c r="L97" s="2"/>
      <x:c r="M97" s="2"/>
      <x:c r="N97" s="14"/>
      <x:c r="O97" s="14"/>
    </x:row>
    <x:row r="98" ht="24" customHeight="1">
      <x:c r="A98" s="2" t="str">
        <x:v>143_40</x:v>
      </x:c>
      <x:c r="B98" s="10" t="str">
        <x:v>143</x:v>
      </x:c>
      <x:c r="C98" s="10" t="n">
        <x:v>41</x:v>
      </x:c>
      <x:c r="D98" s="10" t="n">
        <x:v>40</x:v>
      </x:c>
      <x:c r="E98" s="10" t="n">
        <x:v>5</x:v>
      </x:c>
      <x:c r="F98" s="12"/>
      <x:c r="G98" s="12"/>
      <x:c r="H98" s="10" t="str">
        <x:v>13-14</x:v>
      </x:c>
      <x:c r="I98" s="12" t="n">
        <x:v>0.36319444444444443</x:v>
      </x:c>
      <x:c r="J98" s="12" t="n">
        <x:v>0.4097222222222222</x:v>
      </x:c>
      <x:c r="K98" s="2" t="str">
        <x:v>In house</x:v>
      </x:c>
      <x:c r="L98" s="2"/>
      <x:c r="M98" s="2"/>
      <x:c r="N98" s="14"/>
      <x:c r="O98" s="14"/>
    </x:row>
    <x:row r="99" ht="24" customHeight="1">
      <x:c r="A99" s="2" t="str">
        <x:v>143_41</x:v>
      </x:c>
      <x:c r="B99" s="10" t="str">
        <x:v>143</x:v>
      </x:c>
      <x:c r="C99" s="10" t="n">
        <x:v>42</x:v>
      </x:c>
      <x:c r="D99" s="10" t="n">
        <x:v>41</x:v>
      </x:c>
      <x:c r="E99" s="10" t="n">
        <x:v>1</x:v>
      </x:c>
      <x:c r="F99" s="12"/>
      <x:c r="G99" s="12"/>
      <x:c r="H99" s="10" t="str">
        <x:v>10A</x:v>
      </x:c>
      <x:c r="I99" s="12" t="n">
        <x:v>0.36527777777777776</x:v>
      </x:c>
      <x:c r="J99" s="12" t="n">
        <x:v>0.39166666666666666</x:v>
      </x:c>
      <x:c r="K99" s="2" t="str">
        <x:v>In house</x:v>
      </x:c>
      <x:c r="L99" s="2"/>
      <x:c r="M99" s="2"/>
      <x:c r="N99" s="14"/>
      <x:c r="O99" s="14"/>
    </x:row>
    <x:row r="100" ht="24" customHeight="1">
      <x:c r="A100" s="2" t="str">
        <x:v>143_42</x:v>
      </x:c>
      <x:c r="B100" s="10" t="str">
        <x:v>143</x:v>
      </x:c>
      <x:c r="C100" s="10" t="n">
        <x:v>43</x:v>
      </x:c>
      <x:c r="D100" s="10" t="n">
        <x:v>42</x:v>
      </x:c>
      <x:c r="E100" s="10" t="n">
        <x:v>2</x:v>
      </x:c>
      <x:c r="F100" s="12"/>
      <x:c r="G100" s="12"/>
      <x:c r="H100" s="10" t="str">
        <x:v>9B</x:v>
      </x:c>
      <x:c r="I100" s="12" t="n">
        <x:v>0.3680555555555556</x:v>
      </x:c>
      <x:c r="J100" s="12" t="n">
        <x:v>0.38680555555555557</x:v>
      </x:c>
      <x:c r="K100" s="2" t="str">
        <x:v>Walk in</x:v>
      </x:c>
      <x:c r="L100" s="2"/>
      <x:c r="M100" s="2"/>
      <x:c r="N100" s="14"/>
      <x:c r="O100" s="14"/>
    </x:row>
    <x:row r="101" ht="24" customHeight="1">
      <x:c r="A101" s="2" t="str">
        <x:v>143_43</x:v>
      </x:c>
      <x:c r="B101" s="10" t="str">
        <x:v>143</x:v>
      </x:c>
      <x:c r="C101" s="10" t="n">
        <x:v>44</x:v>
      </x:c>
      <x:c r="D101" s="10" t="n">
        <x:v>43</x:v>
      </x:c>
      <x:c r="E101" s="10" t="n">
        <x:v>4</x:v>
      </x:c>
      <x:c r="F101" s="12"/>
      <x:c r="G101" s="12"/>
      <x:c r="H101" s="10" t="n">
        <x:v>15</x:v>
      </x:c>
      <x:c r="I101" s="12" t="n">
        <x:v>0.36875</x:v>
      </x:c>
      <x:c r="J101" s="12" t="n">
        <x:v>0.40347222222222223</x:v>
      </x:c>
      <x:c r="K101" s="2" t="str">
        <x:v>Walk in</x:v>
      </x:c>
      <x:c r="L101" s="2"/>
      <x:c r="M101" s="2"/>
      <x:c r="N101" s="14"/>
      <x:c r="O101" s="14"/>
    </x:row>
    <x:row r="102" ht="24" customHeight="1">
      <x:c r="A102" s="2" t="str">
        <x:v>143_44</x:v>
      </x:c>
      <x:c r="B102" s="10" t="str">
        <x:v>143</x:v>
      </x:c>
      <x:c r="C102" s="10" t="n">
        <x:v>45</x:v>
      </x:c>
      <x:c r="D102" s="10" t="n">
        <x:v>44</x:v>
      </x:c>
      <x:c r="E102" s="10" t="n">
        <x:v>2</x:v>
      </x:c>
      <x:c r="F102" s="12"/>
      <x:c r="G102" s="12"/>
      <x:c r="H102" s="10" t="str">
        <x:v>3B</x:v>
      </x:c>
      <x:c r="I102" s="12" t="n">
        <x:v>0.36944444444444446</x:v>
      </x:c>
      <x:c r="J102" s="12" t="n">
        <x:v>0.3923611111111111</x:v>
      </x:c>
      <x:c r="K102" s="2" t="str">
        <x:v>In house</x:v>
      </x:c>
      <x:c r="L102" s="2"/>
      <x:c r="M102" s="2"/>
      <x:c r="N102" s="14"/>
      <x:c r="O102" s="14"/>
    </x:row>
    <x:row r="103" ht="24" customHeight="1">
      <x:c r="A103" s="2" t="str">
        <x:v>143_45</x:v>
      </x:c>
      <x:c r="B103" s="10" t="str">
        <x:v>143</x:v>
      </x:c>
      <x:c r="C103" s="10" t="n">
        <x:v>46</x:v>
      </x:c>
      <x:c r="D103" s="10" t="n">
        <x:v>45</x:v>
      </x:c>
      <x:c r="E103" s="10" t="n">
        <x:v>1</x:v>
      </x:c>
      <x:c r="F103" s="12"/>
      <x:c r="G103" s="12"/>
      <x:c r="H103" s="10" t="str">
        <x:v>8C</x:v>
      </x:c>
      <x:c r="I103" s="12" t="n">
        <x:v>0.37083333333333335</x:v>
      </x:c>
      <x:c r="J103" s="12" t="n">
        <x:v>0.3958333333333333</x:v>
      </x:c>
      <x:c r="K103" s="2" t="str">
        <x:v>In house</x:v>
      </x:c>
      <x:c r="L103" s="2"/>
      <x:c r="M103" s="2"/>
      <x:c r="N103" s="14"/>
      <x:c r="O103" s="14"/>
    </x:row>
    <x:row r="104" ht="24" customHeight="1">
      <x:c r="A104" s="2" t="str">
        <x:v>143_46</x:v>
      </x:c>
      <x:c r="B104" s="10" t="str">
        <x:v>143</x:v>
      </x:c>
      <x:c r="C104" s="10" t="n">
        <x:v>47</x:v>
      </x:c>
      <x:c r="D104" s="10" t="n">
        <x:v>46</x:v>
      </x:c>
      <x:c r="E104" s="10" t="n">
        <x:v>2</x:v>
      </x:c>
      <x:c r="F104" s="12"/>
      <x:c r="G104" s="12"/>
      <x:c r="H104" s="10" t="str">
        <x:v>7B</x:v>
      </x:c>
      <x:c r="I104" s="12" t="n">
        <x:v>0.3715277777777778</x:v>
      </x:c>
      <x:c r="J104" s="12" t="n">
        <x:v>0.3993055555555556</x:v>
      </x:c>
      <x:c r="K104" s="2" t="str">
        <x:v>In house</x:v>
      </x:c>
      <x:c r="L104" s="2"/>
      <x:c r="M104" s="2"/>
      <x:c r="N104" s="14"/>
      <x:c r="O104" s="14"/>
    </x:row>
    <x:row r="105" ht="24" customHeight="1">
      <x:c r="A105" s="2" t="str">
        <x:v>143_47</x:v>
      </x:c>
      <x:c r="B105" s="10" t="str">
        <x:v>143</x:v>
      </x:c>
      <x:c r="C105" s="10" t="n">
        <x:v>48</x:v>
      </x:c>
      <x:c r="D105" s="10" t="n">
        <x:v>47</x:v>
      </x:c>
      <x:c r="E105" s="10" t="n">
        <x:v>1</x:v>
      </x:c>
      <x:c r="F105" s="12" t="n">
        <x:v>0.37222222222222223</x:v>
      </x:c>
      <x:c r="G105" s="12" t="n">
        <x:v>0.375</x:v>
      </x:c>
      <x:c r="H105" s="10" t="str">
        <x:v>8A</x:v>
      </x:c>
      <x:c r="I105" s="12" t="n">
        <x:v>0.375</x:v>
      </x:c>
      <x:c r="J105" s="12" t="n">
        <x:v>0.42291666666666666</x:v>
      </x:c>
      <x:c r="K105" s="2" t="str">
        <x:v>Walk in</x:v>
      </x:c>
      <x:c r="L105" s="2"/>
      <x:c r="M105" s="2"/>
      <x:c r="N105" s="14"/>
      <x:c r="O105" s="14"/>
    </x:row>
    <x:row r="106" ht="24" customHeight="1">
      <x:c r="A106" s="2" t="str">
        <x:v>143_48</x:v>
      </x:c>
      <x:c r="B106" s="10" t="str">
        <x:v>143</x:v>
      </x:c>
      <x:c r="C106" s="10" t="n">
        <x:v>49</x:v>
      </x:c>
      <x:c r="D106" s="10" t="n">
        <x:v>48</x:v>
      </x:c>
      <x:c r="E106" s="10" t="n">
        <x:v>1</x:v>
      </x:c>
      <x:c r="F106" s="12" t="n">
        <x:v>0.37222222222222223</x:v>
      </x:c>
      <x:c r="G106" s="12" t="n">
        <x:v>0.38333333333333336</x:v>
      </x:c>
      <x:c r="H106" s="10" t="str">
        <x:v>9A</x:v>
      </x:c>
      <x:c r="I106" s="12" t="n">
        <x:v>0.38333333333333336</x:v>
      </x:c>
      <x:c r="J106" s="12" t="n">
        <x:v>0.4583333333333333</x:v>
      </x:c>
      <x:c r="K106" s="2" t="str">
        <x:v>Walk in</x:v>
      </x:c>
      <x:c r="L106" s="2"/>
      <x:c r="M106" s="2"/>
      <x:c r="N106" s="14"/>
      <x:c r="O106" s="14"/>
    </x:row>
    <x:row r="107" ht="24" customHeight="1">
      <x:c r="A107" s="2" t="str">
        <x:v>143_49</x:v>
      </x:c>
      <x:c r="B107" s="10" t="str">
        <x:v>143</x:v>
      </x:c>
      <x:c r="C107" s="10" t="n">
        <x:v>50</x:v>
      </x:c>
      <x:c r="D107" s="10" t="n">
        <x:v>49</x:v>
      </x:c>
      <x:c r="E107" s="10" t="n">
        <x:v>3</x:v>
      </x:c>
      <x:c r="F107" s="12" t="n">
        <x:v>0.38055555555555554</x:v>
      </x:c>
      <x:c r="G107" s="12" t="n">
        <x:v>0.3909722222222222</x:v>
      </x:c>
      <x:c r="H107" s="10" t="str">
        <x:v>1B-2A</x:v>
      </x:c>
      <x:c r="I107" s="12" t="n">
        <x:v>0.3909722222222222</x:v>
      </x:c>
      <x:c r="J107" s="12" t="n">
        <x:v>0.4222222222222222</x:v>
      </x:c>
      <x:c r="K107" s="2" t="str">
        <x:v>Walk in</x:v>
      </x:c>
      <x:c r="L107" s="2"/>
      <x:c r="M107" s="2"/>
      <x:c r="N107" s="14"/>
      <x:c r="O107" s="14"/>
    </x:row>
    <x:row r="108" ht="24" customHeight="1">
      <x:c r="A108" s="2" t="str">
        <x:v>143_50</x:v>
      </x:c>
      <x:c r="B108" s="10" t="str">
        <x:v>143</x:v>
      </x:c>
      <x:c r="C108" s="10" t="n">
        <x:v>51</x:v>
      </x:c>
      <x:c r="D108" s="10" t="n">
        <x:v>50</x:v>
      </x:c>
      <x:c r="E108" s="10" t="n">
        <x:v>1</x:v>
      </x:c>
      <x:c r="F108" s="12" t="n">
        <x:v>0.38125</x:v>
      </x:c>
      <x:c r="G108" s="12" t="n">
        <x:v>0.39166666666666666</x:v>
      </x:c>
      <x:c r="H108" s="10" t="str">
        <x:v>10A</x:v>
      </x:c>
      <x:c r="I108" s="12" t="n">
        <x:v>0.39166666666666666</x:v>
      </x:c>
      <x:c r="J108" s="12" t="n">
        <x:v>0.40625</x:v>
      </x:c>
      <x:c r="K108" s="2" t="str">
        <x:v>Walk in</x:v>
      </x:c>
      <x:c r="L108" s="2"/>
      <x:c r="M108" s="2"/>
      <x:c r="N108" s="14"/>
      <x:c r="O108" s="14"/>
    </x:row>
    <x:row r="109" ht="24" customHeight="1">
      <x:c r="A109" s="2" t="str">
        <x:v>143_51</x:v>
      </x:c>
      <x:c r="B109" s="10" t="str">
        <x:v>143</x:v>
      </x:c>
      <x:c r="C109" s="10" t="n">
        <x:v>52</x:v>
      </x:c>
      <x:c r="D109" s="10" t="n">
        <x:v>51</x:v>
      </x:c>
      <x:c r="E109" s="10" t="n">
        <x:v>2</x:v>
      </x:c>
      <x:c r="F109" s="12" t="n">
        <x:v>0.3819444444444444</x:v>
      </x:c>
      <x:c r="G109" s="12" t="n">
        <x:v>0.3888888888888889</x:v>
      </x:c>
      <x:c r="H109" s="10" t="n">
        <x:v>99</x:v>
      </x:c>
      <x:c r="I109" s="12" t="n">
        <x:v>0.3888888888888889</x:v>
      </x:c>
      <x:c r="J109" s="12" t="n">
        <x:v>0.40555555555555556</x:v>
      </x:c>
      <x:c r="K109" s="2" t="str">
        <x:v>In house</x:v>
      </x:c>
      <x:c r="L109" s="2"/>
      <x:c r="M109" s="2"/>
      <x:c r="N109" s="14"/>
      <x:c r="O109" s="14"/>
    </x:row>
    <x:row r="110" ht="24" customHeight="1">
      <x:c r="A110" s="2" t="str">
        <x:v>143_52</x:v>
      </x:c>
      <x:c r="B110" s="10" t="str">
        <x:v>143</x:v>
      </x:c>
      <x:c r="C110" s="10" t="n">
        <x:v>53</x:v>
      </x:c>
      <x:c r="D110" s="10" t="n">
        <x:v>52</x:v>
      </x:c>
      <x:c r="E110" s="10" t="n">
        <x:v>2</x:v>
      </x:c>
      <x:c r="F110" s="12" t="n">
        <x:v>0.3819444444444444</x:v>
      </x:c>
      <x:c r="G110" s="12" t="n">
        <x:v>0.3923611111111111</x:v>
      </x:c>
      <x:c r="H110" s="10" t="str">
        <x:v>3B</x:v>
      </x:c>
      <x:c r="I110" s="12" t="n">
        <x:v>0.3923611111111111</x:v>
      </x:c>
      <x:c r="J110" s="12" t="n">
        <x:v>0.4111111111111111</x:v>
      </x:c>
      <x:c r="K110" s="2" t="str">
        <x:v>In house</x:v>
      </x:c>
      <x:c r="L110" s="2"/>
      <x:c r="M110" s="2"/>
      <x:c r="N110" s="14"/>
      <x:c r="O110" s="14"/>
    </x:row>
    <x:row r="111" ht="24" customHeight="1">
      <x:c r="A111" s="2" t="str">
        <x:v>143_53</x:v>
      </x:c>
      <x:c r="B111" s="10" t="str">
        <x:v>143</x:v>
      </x:c>
      <x:c r="C111" s="10" t="n">
        <x:v>54</x:v>
      </x:c>
      <x:c r="D111" s="10" t="n">
        <x:v>53</x:v>
      </x:c>
      <x:c r="E111" s="10" t="n">
        <x:v>2</x:v>
      </x:c>
      <x:c r="F111" s="12" t="n">
        <x:v>0.38263888888888886</x:v>
      </x:c>
      <x:c r="G111" s="12" t="n">
        <x:v>0.4048611111111111</x:v>
      </x:c>
      <x:c r="H111" s="10" t="n">
        <x:v>15</x:v>
      </x:c>
      <x:c r="I111" s="12" t="n">
        <x:v>0.4048611111111111</x:v>
      </x:c>
      <x:c r="J111" s="12" t="n">
        <x:v>0.42916666666666664</x:v>
      </x:c>
      <x:c r="K111" s="2" t="str">
        <x:v>In house</x:v>
      </x:c>
      <x:c r="L111" s="2"/>
      <x:c r="M111" s="2"/>
      <x:c r="N111" s="14"/>
      <x:c r="O111" s="14"/>
    </x:row>
    <x:row r="112" ht="24" customHeight="1">
      <x:c r="A112" s="2" t="str">
        <x:v>143_54</x:v>
      </x:c>
      <x:c r="B112" s="10" t="str">
        <x:v>143</x:v>
      </x:c>
      <x:c r="C112" s="10" t="n">
        <x:v>55</x:v>
      </x:c>
      <x:c r="D112" s="10" t="n">
        <x:v>54</x:v>
      </x:c>
      <x:c r="E112" s="10" t="n">
        <x:v>2</x:v>
      </x:c>
      <x:c r="F112" s="12" t="n">
        <x:v>0.38472222222222224</x:v>
      </x:c>
      <x:c r="G112" s="12" t="n">
        <x:v>0.3958333333333333</x:v>
      </x:c>
      <x:c r="H112" s="10" t="str">
        <x:v>4A</x:v>
      </x:c>
      <x:c r="I112" s="12" t="n">
        <x:v>0.3958333333333333</x:v>
      </x:c>
      <x:c r="J112" s="12" t="n">
        <x:v>0.4111111111111111</x:v>
      </x:c>
      <x:c r="K112" s="2" t="str">
        <x:v>In house</x:v>
      </x:c>
      <x:c r="L112" s="2"/>
      <x:c r="M112" s="2"/>
      <x:c r="N112" s="14"/>
      <x:c r="O112" s="14"/>
    </x:row>
    <x:row r="113" ht="24" customHeight="1">
      <x:c r="A113" s="2" t="str">
        <x:v>143_55</x:v>
      </x:c>
      <x:c r="B113" s="10" t="str">
        <x:v>143</x:v>
      </x:c>
      <x:c r="C113" s="10" t="n">
        <x:v>56</x:v>
      </x:c>
      <x:c r="D113" s="10" t="n">
        <x:v>55</x:v>
      </x:c>
      <x:c r="E113" s="10" t="n">
        <x:v>1</x:v>
      </x:c>
      <x:c r="F113" s="12" t="n">
        <x:v>0.3854166666666667</x:v>
      </x:c>
      <x:c r="G113" s="12" t="n">
        <x:v>0.4</x:v>
      </x:c>
      <x:c r="H113" s="10" t="str">
        <x:v>9B</x:v>
      </x:c>
      <x:c r="I113" s="12" t="n">
        <x:v>0.4</x:v>
      </x:c>
      <x:c r="J113" s="12" t="n">
        <x:v>0.49166666666666664</x:v>
      </x:c>
      <x:c r="K113" s="2" t="str">
        <x:v>Walk in</x:v>
      </x:c>
      <x:c r="L113" s="2"/>
      <x:c r="M113" s="2"/>
      <x:c r="N113" s="14"/>
      <x:c r="O113" s="14"/>
    </x:row>
    <x:row r="114" ht="24" customHeight="1">
      <x:c r="A114" s="2" t="str">
        <x:v>143_56</x:v>
      </x:c>
      <x:c r="B114" s="10" t="str">
        <x:v>143</x:v>
      </x:c>
      <x:c r="C114" s="10" t="n">
        <x:v>57</x:v>
      </x:c>
      <x:c r="D114" s="10" t="n">
        <x:v>56</x:v>
      </x:c>
      <x:c r="E114" s="10" t="n">
        <x:v>2</x:v>
      </x:c>
      <x:c r="F114" s="12" t="n">
        <x:v>0.3854166666666667</x:v>
      </x:c>
      <x:c r="G114" s="12" t="n">
        <x:v>0.4013888888888889</x:v>
      </x:c>
      <x:c r="H114" s="10" t="n">
        <x:v>13</x:v>
      </x:c>
      <x:c r="I114" s="12" t="n">
        <x:v>0.4013888888888889</x:v>
      </x:c>
      <x:c r="J114" s="12" t="n">
        <x:v>0.43125</x:v>
      </x:c>
      <x:c r="K114" s="2" t="str">
        <x:v>In house</x:v>
      </x:c>
      <x:c r="L114" s="2"/>
      <x:c r="M114" s="2"/>
      <x:c r="N114" s="14"/>
      <x:c r="O114" s="14"/>
    </x:row>
    <x:row r="115" ht="24" customHeight="1">
      <x:c r="A115" s="2" t="str">
        <x:v>143_57</x:v>
      </x:c>
      <x:c r="B115" s="10" t="str">
        <x:v>143</x:v>
      </x:c>
      <x:c r="C115" s="10" t="n">
        <x:v>58</x:v>
      </x:c>
      <x:c r="D115" s="10" t="n">
        <x:v>57</x:v>
      </x:c>
      <x:c r="E115" s="10" t="n">
        <x:v>2</x:v>
      </x:c>
      <x:c r="F115" s="12" t="n">
        <x:v>0.38958333333333334</x:v>
      </x:c>
      <x:c r="G115" s="12" t="n">
        <x:v>0.40208333333333335</x:v>
      </x:c>
      <x:c r="H115" s="10" t="str">
        <x:v>7B</x:v>
      </x:c>
      <x:c r="I115" s="12" t="n">
        <x:v>0.40208333333333335</x:v>
      </x:c>
      <x:c r="J115" s="12" t="n">
        <x:v>0.4354166666666667</x:v>
      </x:c>
      <x:c r="K115" s="2" t="str">
        <x:v>Walk in</x:v>
      </x:c>
      <x:c r="L115" s="2"/>
      <x:c r="M115" s="2"/>
      <x:c r="N115" s="14"/>
      <x:c r="O115" s="14"/>
    </x:row>
    <x:row r="116" ht="24" customHeight="1">
      <x:c r="A116" s="2" t="str">
        <x:v>143_58</x:v>
      </x:c>
      <x:c r="B116" s="10" t="str">
        <x:v>143</x:v>
      </x:c>
      <x:c r="C116" s="10" t="n">
        <x:v>59</x:v>
      </x:c>
      <x:c r="D116" s="10" t="n">
        <x:v>58</x:v>
      </x:c>
      <x:c r="E116" s="10" t="n">
        <x:v>1</x:v>
      </x:c>
      <x:c r="F116" s="12" t="n">
        <x:v>0.38958333333333334</x:v>
      </x:c>
      <x:c r="G116" s="12" t="n">
        <x:v>0.4041666666666667</x:v>
      </x:c>
      <x:c r="H116" s="10"/>
      <x:c r="I116" s="12"/>
      <x:c r="J116" s="12"/>
      <x:c r="K116" s="2" t="str">
        <x:v>In house</x:v>
      </x:c>
      <x:c r="L116" s="2"/>
      <x:c r="M116" s="2"/>
      <x:c r="N116" s="14"/>
      <x:c r="O116" s="14"/>
    </x:row>
    <x:row r="117" ht="24" customHeight="1">
      <x:c r="A117" s="2" t="str">
        <x:v>143_59</x:v>
      </x:c>
      <x:c r="B117" s="10" t="str">
        <x:v>143</x:v>
      </x:c>
      <x:c r="C117" s="10" t="n">
        <x:v>60</x:v>
      </x:c>
      <x:c r="D117" s="10" t="n">
        <x:v>59</x:v>
      </x:c>
      <x:c r="E117" s="10" t="n">
        <x:v>2</x:v>
      </x:c>
      <x:c r="F117" s="12" t="n">
        <x:v>0.3902777777777778</x:v>
      </x:c>
      <x:c r="G117" s="12" t="n">
        <x:v>0.4041666666666667</x:v>
      </x:c>
      <x:c r="H117" s="10" t="str">
        <x:v>1A</x:v>
      </x:c>
      <x:c r="I117" s="12" t="n">
        <x:v>0.4041666666666667</x:v>
      </x:c>
      <x:c r="J117" s="12" t="n">
        <x:v>0.46041666666666664</x:v>
      </x:c>
      <x:c r="K117" s="2" t="str">
        <x:v>Walk in</x:v>
      </x:c>
      <x:c r="L117" s="2"/>
      <x:c r="M117" s="2"/>
      <x:c r="N117" s="14"/>
      <x:c r="O117" s="14"/>
    </x:row>
    <x:row r="118" ht="24" customHeight="1">
      <x:c r="A118" s="2" t="str">
        <x:v>143_60</x:v>
      </x:c>
      <x:c r="B118" s="10" t="str">
        <x:v>143</x:v>
      </x:c>
      <x:c r="C118" s="10" t="n">
        <x:v>61</x:v>
      </x:c>
      <x:c r="D118" s="10" t="n">
        <x:v>60</x:v>
      </x:c>
      <x:c r="E118" s="10" t="n">
        <x:v>1</x:v>
      </x:c>
      <x:c r="F118" s="12" t="n">
        <x:v>0.39652777777777776</x:v>
      </x:c>
      <x:c r="G118" s="12" t="n">
        <x:v>0.4083333333333333</x:v>
      </x:c>
      <x:c r="H118" s="10" t="str">
        <x:v>7A</x:v>
      </x:c>
      <x:c r="I118" s="12" t="n">
        <x:v>0.4083333333333333</x:v>
      </x:c>
      <x:c r="J118" s="12" t="n">
        <x:v>0.47291666666666665</x:v>
      </x:c>
      <x:c r="K118" s="2" t="str">
        <x:v>Walk in</x:v>
      </x:c>
      <x:c r="L118" s="2"/>
      <x:c r="M118" s="2"/>
      <x:c r="N118" s="14"/>
      <x:c r="O118" s="14"/>
    </x:row>
    <x:row r="119" ht="24" customHeight="1">
      <x:c r="A119" s="2" t="str">
        <x:v>143_61</x:v>
      </x:c>
      <x:c r="B119" s="10" t="str">
        <x:v>143</x:v>
      </x:c>
      <x:c r="C119" s="10" t="n">
        <x:v>62</x:v>
      </x:c>
      <x:c r="D119" s="10" t="n">
        <x:v>61</x:v>
      </x:c>
      <x:c r="E119" s="10" t="n">
        <x:v>2</x:v>
      </x:c>
      <x:c r="F119" s="12" t="n">
        <x:v>0.3972222222222222</x:v>
      </x:c>
      <x:c r="G119" s="12" t="n">
        <x:v>0.4125</x:v>
      </x:c>
      <x:c r="H119" s="10" t="str">
        <x:v>4A</x:v>
      </x:c>
      <x:c r="I119" s="12" t="n">
        <x:v>0.4125</x:v>
      </x:c>
      <x:c r="J119" s="12" t="n">
        <x:v>0.45555555555555555</x:v>
      </x:c>
      <x:c r="K119" s="2" t="str">
        <x:v>Walk in</x:v>
      </x:c>
      <x:c r="L119" s="2"/>
      <x:c r="M119" s="2"/>
      <x:c r="N119" s="14"/>
      <x:c r="O119" s="14"/>
    </x:row>
    <x:row r="120" ht="24" customHeight="1">
      <x:c r="A120" s="2" t="str">
        <x:v>143_62</x:v>
      </x:c>
      <x:c r="B120" s="10" t="str">
        <x:v>143</x:v>
      </x:c>
      <x:c r="C120" s="10" t="n">
        <x:v>63</x:v>
      </x:c>
      <x:c r="D120" s="10" t="n">
        <x:v>62</x:v>
      </x:c>
      <x:c r="E120" s="10" t="n">
        <x:v>2</x:v>
      </x:c>
      <x:c r="F120" s="12" t="n">
        <x:v>0.4</x:v>
      </x:c>
      <x:c r="G120" s="12" t="n">
        <x:v>0.41041666666666665</x:v>
      </x:c>
      <x:c r="H120" s="10" t="str">
        <x:v>4B</x:v>
      </x:c>
      <x:c r="I120" s="12" t="n">
        <x:v>0.41041666666666665</x:v>
      </x:c>
      <x:c r="J120" s="12" t="n">
        <x:v>0.47430555555555554</x:v>
      </x:c>
      <x:c r="K120" s="2" t="str">
        <x:v>Walk in</x:v>
      </x:c>
      <x:c r="L120" s="2"/>
      <x:c r="M120" s="2"/>
      <x:c r="N120" s="14"/>
      <x:c r="O120" s="14"/>
    </x:row>
    <x:row r="121" ht="24" customHeight="1">
      <x:c r="A121" s="2" t="str">
        <x:v>143_63</x:v>
      </x:c>
      <x:c r="B121" s="10" t="str">
        <x:v>143</x:v>
      </x:c>
      <x:c r="C121" s="10" t="n">
        <x:v>64</x:v>
      </x:c>
      <x:c r="D121" s="10" t="n">
        <x:v>63</x:v>
      </x:c>
      <x:c r="E121" s="10" t="n">
        <x:v>2</x:v>
      </x:c>
      <x:c r="F121" s="12" t="n">
        <x:v>0.4027777777777778</x:v>
      </x:c>
      <x:c r="G121" s="12" t="n">
        <x:v>0.4111111111111111</x:v>
      </x:c>
      <x:c r="H121" s="10" t="str">
        <x:v>5A</x:v>
      </x:c>
      <x:c r="I121" s="12" t="n">
        <x:v>0.4111111111111111</x:v>
      </x:c>
      <x:c r="J121" s="12" t="n">
        <x:v>0.4444444444444444</x:v>
      </x:c>
      <x:c r="K121" s="2" t="str">
        <x:v>Walk in</x:v>
      </x:c>
      <x:c r="L121" s="2"/>
      <x:c r="M121" s="2"/>
      <x:c r="N121" s="14"/>
      <x:c r="O121" s="14"/>
    </x:row>
    <x:row r="122" ht="24" customHeight="1">
      <x:c r="A122" s="2" t="str">
        <x:v>143_64</x:v>
      </x:c>
      <x:c r="B122" s="10" t="str">
        <x:v>143</x:v>
      </x:c>
      <x:c r="C122" s="10" t="n">
        <x:v>65</x:v>
      </x:c>
      <x:c r="D122" s="10" t="n">
        <x:v>64</x:v>
      </x:c>
      <x:c r="E122" s="10" t="n">
        <x:v>3</x:v>
      </x:c>
      <x:c r="F122" s="12"/>
      <x:c r="G122" s="12"/>
      <x:c r="H122" s="10" t="str">
        <x:v>2B-3A</x:v>
      </x:c>
      <x:c r="I122" s="12" t="n">
        <x:v>0.41458333333333336</x:v>
      </x:c>
      <x:c r="J122" s="12" t="n">
        <x:v>0.4777777777777778</x:v>
      </x:c>
      <x:c r="K122" s="2" t="str">
        <x:v>Walk in</x:v>
      </x:c>
      <x:c r="L122" s="2"/>
      <x:c r="M122" s="2"/>
      <x:c r="N122" s="14"/>
      <x:c r="O122" s="14"/>
    </x:row>
    <x:row r="123" ht="24" customHeight="1">
      <x:c r="A123" s="2" t="str">
        <x:v>143_65</x:v>
      </x:c>
      <x:c r="B123" s="10" t="str">
        <x:v>143</x:v>
      </x:c>
      <x:c r="C123" s="10" t="n">
        <x:v>66</x:v>
      </x:c>
      <x:c r="D123" s="10" t="n">
        <x:v>65</x:v>
      </x:c>
      <x:c r="E123" s="10" t="n">
        <x:v>2</x:v>
      </x:c>
      <x:c r="F123" s="12"/>
      <x:c r="G123" s="12"/>
      <x:c r="H123" s="10" t="str">
        <x:v>10A</x:v>
      </x:c>
      <x:c r="I123" s="12" t="n">
        <x:v>0.41597222222222224</x:v>
      </x:c>
      <x:c r="J123" s="12" t="n">
        <x:v>0.4479166666666667</x:v>
      </x:c>
      <x:c r="K123" s="2" t="str">
        <x:v>Walk in</x:v>
      </x:c>
      <x:c r="L123" s="2"/>
      <x:c r="M123" s="2"/>
      <x:c r="N123" s="14"/>
      <x:c r="O123" s="14"/>
    </x:row>
    <x:row r="124" ht="24" customHeight="1">
      <x:c r="A124" s="2" t="str">
        <x:v>143_66</x:v>
      </x:c>
      <x:c r="B124" s="10" t="str">
        <x:v>143</x:v>
      </x:c>
      <x:c r="C124" s="10" t="n">
        <x:v>67</x:v>
      </x:c>
      <x:c r="D124" s="10" t="n">
        <x:v>66</x:v>
      </x:c>
      <x:c r="E124" s="10" t="n">
        <x:v>2</x:v>
      </x:c>
      <x:c r="F124" s="12"/>
      <x:c r="G124" s="12"/>
      <x:c r="H124" s="10" t="n">
        <x:v>14</x:v>
      </x:c>
      <x:c r="I124" s="12" t="n">
        <x:v>0.4166666666666667</x:v>
      </x:c>
      <x:c r="J124" s="12" t="n">
        <x:v>0.47708333333333336</x:v>
      </x:c>
      <x:c r="K124" s="2" t="str">
        <x:v>Walk in</x:v>
      </x:c>
      <x:c r="L124" s="2"/>
      <x:c r="M124" s="2"/>
      <x:c r="N124" s="14"/>
      <x:c r="O124" s="14"/>
    </x:row>
    <x:row r="125" ht="24" customHeight="1">
      <x:c r="A125" s="2" t="str">
        <x:v>143_67</x:v>
      </x:c>
      <x:c r="B125" s="10" t="str">
        <x:v>143</x:v>
      </x:c>
      <x:c r="C125" s="10" t="n">
        <x:v>68</x:v>
      </x:c>
      <x:c r="D125" s="10" t="n">
        <x:v>67</x:v>
      </x:c>
      <x:c r="E125" s="10" t="n">
        <x:v>2</x:v>
      </x:c>
      <x:c r="F125" s="12"/>
      <x:c r="G125" s="12"/>
      <x:c r="H125" s="10" t="n">
        <x:v>6</x:v>
      </x:c>
      <x:c r="I125" s="12" t="n">
        <x:v>0.41944444444444445</x:v>
      </x:c>
      <x:c r="J125" s="12" t="n">
        <x:v>0.4756944444444444</x:v>
      </x:c>
      <x:c r="K125" s="2" t="str">
        <x:v>Walk in</x:v>
      </x:c>
      <x:c r="L125" s="2"/>
      <x:c r="M125" s="2"/>
      <x:c r="N125" s="14"/>
      <x:c r="O125" s="14"/>
    </x:row>
    <x:row r="126" ht="24" customHeight="1">
      <x:c r="A126" s="2" t="str">
        <x:v>143_68</x:v>
      </x:c>
      <x:c r="B126" s="10" t="str">
        <x:v>143</x:v>
      </x:c>
      <x:c r="C126" s="10" t="n">
        <x:v>69</x:v>
      </x:c>
      <x:c r="D126" s="10" t="n">
        <x:v>68</x:v>
      </x:c>
      <x:c r="E126" s="10" t="n">
        <x:v>2</x:v>
      </x:c>
      <x:c r="F126" s="12"/>
      <x:c r="G126" s="12"/>
      <x:c r="H126" s="10" t="str">
        <x:v>7C</x:v>
      </x:c>
      <x:c r="I126" s="12" t="n">
        <x:v>0.4201388888888889</x:v>
      </x:c>
      <x:c r="J126" s="12" t="n">
        <x:v>0.47291666666666665</x:v>
      </x:c>
      <x:c r="K126" s="2" t="str">
        <x:v>Walk in</x:v>
      </x:c>
      <x:c r="L126" s="2"/>
      <x:c r="M126" s="2"/>
      <x:c r="N126" s="14"/>
      <x:c r="O126" s="14"/>
    </x:row>
    <x:row r="127" ht="24" customHeight="1">
      <x:c r="A127" s="2" t="str">
        <x:v>143_69</x:v>
      </x:c>
      <x:c r="B127" s="10" t="str">
        <x:v>143</x:v>
      </x:c>
      <x:c r="C127" s="10" t="n">
        <x:v>70</x:v>
      </x:c>
      <x:c r="D127" s="10" t="n">
        <x:v>69</x:v>
      </x:c>
      <x:c r="E127" s="10" t="n">
        <x:v>1</x:v>
      </x:c>
      <x:c r="F127" s="12"/>
      <x:c r="G127" s="12"/>
      <x:c r="H127" s="10" t="str">
        <x:v>8A</x:v>
      </x:c>
      <x:c r="I127" s="12" t="n">
        <x:v>0.42430555555555555</x:v>
      </x:c>
      <x:c r="J127" s="12" t="n">
        <x:v>0.43194444444444446</x:v>
      </x:c>
      <x:c r="K127" s="2" t="str">
        <x:v>Walk in</x:v>
      </x:c>
      <x:c r="L127" s="2"/>
      <x:c r="M127" s="2"/>
      <x:c r="N127" s="14"/>
      <x:c r="O127" s="14"/>
    </x:row>
    <x:row r="128" ht="24" customHeight="1">
      <x:c r="A128" s="2" t="str">
        <x:v>143_70</x:v>
      </x:c>
      <x:c r="B128" s="10" t="str">
        <x:v>143</x:v>
      </x:c>
      <x:c r="C128" s="10" t="n">
        <x:v>71</x:v>
      </x:c>
      <x:c r="D128" s="10" t="n">
        <x:v>70</x:v>
      </x:c>
      <x:c r="E128" s="10" t="n">
        <x:v>2</x:v>
      </x:c>
      <x:c r="F128" s="12"/>
      <x:c r="G128" s="12"/>
      <x:c r="H128" s="10" t="n">
        <x:v>13</x:v>
      </x:c>
      <x:c r="I128" s="12" t="n">
        <x:v>0.425</x:v>
      </x:c>
      <x:c r="J128" s="12" t="n">
        <x:v>0.4583333333333333</x:v>
      </x:c>
      <x:c r="K128" s="2" t="str">
        <x:v>In house</x:v>
      </x:c>
      <x:c r="L128" s="2"/>
      <x:c r="M128" s="2"/>
      <x:c r="N128" s="14"/>
      <x:c r="O128" s="14"/>
    </x:row>
    <x:row r="129" ht="24" customHeight="1">
      <x:c r="A129" s="2" t="str">
        <x:v>143_71</x:v>
      </x:c>
      <x:c r="B129" s="10" t="str">
        <x:v>143</x:v>
      </x:c>
      <x:c r="C129" s="10" t="n">
        <x:v>72</x:v>
      </x:c>
      <x:c r="D129" s="10" t="n">
        <x:v>71</x:v>
      </x:c>
      <x:c r="E129" s="10" t="n">
        <x:v>2</x:v>
      </x:c>
      <x:c r="F129" s="12"/>
      <x:c r="G129" s="12"/>
      <x:c r="H129" s="10" t="n">
        <x:v>11</x:v>
      </x:c>
      <x:c r="I129" s="12" t="n">
        <x:v>0.42777777777777776</x:v>
      </x:c>
      <x:c r="J129" s="12" t="n">
        <x:v>0.44305555555555554</x:v>
      </x:c>
      <x:c r="K129" s="2" t="str">
        <x:v>In house</x:v>
      </x:c>
      <x:c r="L129" s="2"/>
      <x:c r="M129" s="2"/>
      <x:c r="N129" s="14"/>
      <x:c r="O129" s="14"/>
    </x:row>
    <x:row r="130" ht="24" customHeight="1">
      <x:c r="A130" s="2" t="str">
        <x:v>143_72</x:v>
      </x:c>
      <x:c r="B130" s="10" t="str">
        <x:v>143</x:v>
      </x:c>
      <x:c r="C130" s="10" t="n">
        <x:v>73</x:v>
      </x:c>
      <x:c r="D130" s="10" t="n">
        <x:v>72</x:v>
      </x:c>
      <x:c r="E130" s="10" t="n">
        <x:v>1</x:v>
      </x:c>
      <x:c r="F130" s="12"/>
      <x:c r="G130" s="12"/>
      <x:c r="H130" s="10" t="str">
        <x:v>5B</x:v>
      </x:c>
      <x:c r="I130" s="12" t="n">
        <x:v>0.4263888888888889</x:v>
      </x:c>
      <x:c r="J130" s="12" t="n">
        <x:v>0.4840277777777778</x:v>
      </x:c>
      <x:c r="K130" s="2" t="str">
        <x:v>Walk in</x:v>
      </x:c>
      <x:c r="L130" s="2"/>
      <x:c r="M130" s="2"/>
      <x:c r="N130" s="14"/>
      <x:c r="O130" s="14"/>
    </x:row>
    <x:row r="131" ht="24" customHeight="1">
      <x:c r="A131" s="2" t="str">
        <x:v>143_73</x:v>
      </x:c>
      <x:c r="B131" s="10" t="str">
        <x:v>143</x:v>
      </x:c>
      <x:c r="C131" s="10" t="n">
        <x:v>74</x:v>
      </x:c>
      <x:c r="D131" s="10" t="n">
        <x:v>73</x:v>
      </x:c>
      <x:c r="E131" s="10" t="n">
        <x:v>1</x:v>
      </x:c>
      <x:c r="F131" s="12"/>
      <x:c r="G131" s="12"/>
      <x:c r="H131" s="10" t="n">
        <x:v>16</x:v>
      </x:c>
      <x:c r="I131" s="12" t="n">
        <x:v>0.42986111111111114</x:v>
      </x:c>
      <x:c r="J131" s="12" t="n">
        <x:v>0.44583333333333336</x:v>
      </x:c>
      <x:c r="K131" s="2" t="str">
        <x:v>Walk in</x:v>
      </x:c>
      <x:c r="L131" s="2"/>
      <x:c r="M131" s="2"/>
      <x:c r="N131" s="14"/>
      <x:c r="O131" s="14"/>
    </x:row>
    <x:row r="132" ht="24" customHeight="1">
      <x:c r="A132" s="2" t="str">
        <x:v>143_74</x:v>
      </x:c>
      <x:c r="B132" s="10" t="str">
        <x:v>143</x:v>
      </x:c>
      <x:c r="C132" s="10" t="n">
        <x:v>75</x:v>
      </x:c>
      <x:c r="D132" s="10" t="n">
        <x:v>74</x:v>
      </x:c>
      <x:c r="E132" s="10" t="n">
        <x:v>1</x:v>
      </x:c>
      <x:c r="F132" s="12"/>
      <x:c r="G132" s="12"/>
      <x:c r="H132" s="10" t="str">
        <x:v>8B</x:v>
      </x:c>
      <x:c r="I132" s="12" t="n">
        <x:v>0.4326388888888889</x:v>
      </x:c>
      <x:c r="J132" s="12" t="n">
        <x:v>0.47430555555555554</x:v>
      </x:c>
      <x:c r="K132" s="2" t="str">
        <x:v>Walk in</x:v>
      </x:c>
      <x:c r="L132" s="2"/>
      <x:c r="M132" s="2"/>
      <x:c r="N132" s="14"/>
      <x:c r="O132" s="14"/>
    </x:row>
    <x:row r="133" ht="24" customHeight="1">
      <x:c r="A133" s="2" t="str">
        <x:v>143_75</x:v>
      </x:c>
      <x:c r="B133" s="10" t="str">
        <x:v>143</x:v>
      </x:c>
      <x:c r="C133" s="10" t="n">
        <x:v>76</x:v>
      </x:c>
      <x:c r="D133" s="10" t="n">
        <x:v>75</x:v>
      </x:c>
      <x:c r="E133" s="10" t="n">
        <x:v>2</x:v>
      </x:c>
      <x:c r="F133" s="12"/>
      <x:c r="G133" s="12"/>
      <x:c r="H133" s="10" t="str">
        <x:v>8A</x:v>
      </x:c>
      <x:c r="I133" s="12" t="n">
        <x:v>0.4340277777777778</x:v>
      </x:c>
      <x:c r="J133" s="12" t="n">
        <x:v>0.4618055555555556</x:v>
      </x:c>
      <x:c r="K133" s="2" t="str">
        <x:v>In house</x:v>
      </x:c>
      <x:c r="L133" s="2"/>
      <x:c r="M133" s="2"/>
      <x:c r="N133" s="14"/>
      <x:c r="O133" s="14"/>
    </x:row>
    <x:row r="134" ht="24" customHeight="1">
      <x:c r="A134" s="2" t="str">
        <x:v>143_76</x:v>
      </x:c>
      <x:c r="B134" s="10" t="str">
        <x:v>143</x:v>
      </x:c>
      <x:c r="C134" s="10" t="n">
        <x:v>77</x:v>
      </x:c>
      <x:c r="D134" s="10" t="n">
        <x:v>76</x:v>
      </x:c>
      <x:c r="E134" s="10" t="n">
        <x:v>2</x:v>
      </x:c>
      <x:c r="F134" s="12"/>
      <x:c r="G134" s="12"/>
      <x:c r="H134" s="10" t="str">
        <x:v>8C</x:v>
      </x:c>
      <x:c r="I134" s="12" t="n">
        <x:v>0.43472222222222223</x:v>
      </x:c>
      <x:c r="J134" s="12" t="n">
        <x:v>0.47152777777777777</x:v>
      </x:c>
      <x:c r="K134" s="2" t="str">
        <x:v>Walk in</x:v>
      </x:c>
      <x:c r="L134" s="2"/>
      <x:c r="M134" s="2"/>
      <x:c r="N134" s="14"/>
      <x:c r="O134" s="14"/>
    </x:row>
    <x:row r="135" ht="24" customHeight="1">
      <x:c r="A135" s="2" t="str">
        <x:v>143_77</x:v>
      </x:c>
      <x:c r="B135" s="10" t="str">
        <x:v>143</x:v>
      </x:c>
      <x:c r="C135" s="10" t="n">
        <x:v>78</x:v>
      </x:c>
      <x:c r="D135" s="10" t="n">
        <x:v>77</x:v>
      </x:c>
      <x:c r="E135" s="10" t="n">
        <x:v>2</x:v>
      </x:c>
      <x:c r="F135" s="12"/>
      <x:c r="G135" s="12"/>
      <x:c r="H135" s="10" t="str">
        <x:v>7B</x:v>
      </x:c>
      <x:c r="I135" s="12" t="n">
        <x:v>0.4375</x:v>
      </x:c>
      <x:c r="J135" s="12" t="n">
        <x:v>0.5</x:v>
      </x:c>
      <x:c r="K135" s="2" t="str">
        <x:v>Walk in</x:v>
      </x:c>
      <x:c r="L135" s="2"/>
      <x:c r="M135" s="2"/>
      <x:c r="N135" s="14"/>
      <x:c r="O135" s="14"/>
    </x:row>
    <x:row r="136" ht="24" customHeight="1">
      <x:c r="A136" s="2" t="str">
        <x:v>143_78</x:v>
      </x:c>
      <x:c r="B136" s="10" t="str">
        <x:v>143</x:v>
      </x:c>
      <x:c r="C136" s="10" t="n">
        <x:v>79</x:v>
      </x:c>
      <x:c r="D136" s="10" t="n">
        <x:v>78</x:v>
      </x:c>
      <x:c r="E136" s="10" t="n">
        <x:v>3</x:v>
      </x:c>
      <x:c r="F136" s="12"/>
      <x:c r="G136" s="12"/>
      <x:c r="H136" s="10" t="str">
        <x:v>1B-2A</x:v>
      </x:c>
      <x:c r="I136" s="12" t="n">
        <x:v>0.44513888888888886</x:v>
      </x:c>
      <x:c r="J136" s="12" t="n">
        <x:v>0.49583333333333335</x:v>
      </x:c>
      <x:c r="K136" s="2" t="str">
        <x:v>Walk in</x:v>
      </x:c>
      <x:c r="L136" s="2"/>
      <x:c r="M136" s="2"/>
      <x:c r="N136" s="14"/>
      <x:c r="O136" s="14"/>
    </x:row>
    <x:row r="137" ht="24" customHeight="1">
      <x:c r="A137" s="2" t="str">
        <x:v>143_79</x:v>
      </x:c>
      <x:c r="B137" s="10" t="str">
        <x:v>143</x:v>
      </x:c>
      <x:c r="C137" s="10" t="n">
        <x:v>80</x:v>
      </x:c>
      <x:c r="D137" s="10" t="n">
        <x:v>79</x:v>
      </x:c>
      <x:c r="E137" s="10" t="n">
        <x:v>1</x:v>
      </x:c>
      <x:c r="F137" s="12"/>
      <x:c r="G137" s="12"/>
      <x:c r="H137" s="10" t="n">
        <x:v>16</x:v>
      </x:c>
      <x:c r="I137" s="12" t="n">
        <x:v>0.4583333333333333</x:v>
      </x:c>
      <x:c r="J137" s="12" t="n">
        <x:v>0.47847222222222224</x:v>
      </x:c>
      <x:c r="K137" s="2" t="str">
        <x:v>Walk in</x:v>
      </x:c>
      <x:c r="L137" s="2"/>
      <x:c r="M137" s="2"/>
      <x:c r="N137" s="14"/>
      <x:c r="O137" s="14"/>
    </x:row>
    <x:row r="138" ht="24" customHeight="1">
      <x:c r="A138" s="2" t="str">
        <x:v>143_80</x:v>
      </x:c>
      <x:c r="B138" s="10" t="str">
        <x:v>143</x:v>
      </x:c>
      <x:c r="C138" s="10" t="n">
        <x:v>81</x:v>
      </x:c>
      <x:c r="D138" s="10" t="n">
        <x:v>80</x:v>
      </x:c>
      <x:c r="E138" s="10" t="n">
        <x:v>2</x:v>
      </x:c>
      <x:c r="F138" s="12"/>
      <x:c r="G138" s="12"/>
      <x:c r="H138" s="10" t="str">
        <x:v>1A</x:v>
      </x:c>
      <x:c r="I138" s="12" t="n">
        <x:v>0.475</x:v>
      </x:c>
      <x:c r="J138" s="12" t="n">
        <x:v>0.5173611111111112</x:v>
      </x:c>
      <x:c r="K138" s="2" t="str">
        <x:v>In house</x:v>
      </x:c>
      <x:c r="L138" s="2"/>
      <x:c r="M138" s="2"/>
      <x:c r="N138" s="14"/>
      <x:c r="O138" s="14"/>
    </x:row>
    <x:row r="139" ht="24" customHeight="1">
      <x:c r="A139" s="2" t="str">
        <x:v>143_81</x:v>
      </x:c>
      <x:c r="B139" s="10" t="str">
        <x:v>143</x:v>
      </x:c>
      <x:c r="C139" s="10" t="n">
        <x:v>82</x:v>
      </x:c>
      <x:c r="D139" s="10" t="n">
        <x:v>81</x:v>
      </x:c>
      <x:c r="E139" s="10" t="n">
        <x:v>2</x:v>
      </x:c>
      <x:c r="F139" s="12"/>
      <x:c r="G139" s="12"/>
      <x:c r="H139" s="10" t="n">
        <x:v>6</x:v>
      </x:c>
      <x:c r="I139" s="12" t="n">
        <x:v>0.4895833333333333</x:v>
      </x:c>
      <x:c r="J139" s="12" t="n">
        <x:v>0.5215277777777778</x:v>
      </x:c>
      <x:c r="K139" s="2" t="str">
        <x:v>Walk in</x:v>
      </x:c>
      <x:c r="L139" s="2"/>
      <x:c r="M139" s="2"/>
      <x:c r="N139" s="14"/>
      <x:c r="O139" s="14"/>
    </x:row>
    <x:row r="140" ht="24" customHeight="1">
      <x:c r="A140" s="2" t="str">
        <x:v>153_1</x:v>
      </x:c>
      <x:c r="B140" s="10" t="str">
        <x:v>153</x:v>
      </x:c>
      <x:c r="C140" s="10" t="n">
        <x:v>2</x:v>
      </x:c>
      <x:c r="D140" s="10" t="n">
        <x:v>1</x:v>
      </x:c>
      <x:c r="E140" s="10" t="n">
        <x:v>2</x:v>
      </x:c>
      <x:c r="F140" s="12"/>
      <x:c r="G140" s="12"/>
      <x:c r="H140" s="10" t="str">
        <x:v>10B</x:v>
      </x:c>
      <x:c r="I140" s="12" t="n">
        <x:v>0.2847222222222222</x:v>
      </x:c>
      <x:c r="J140" s="12" t="n">
        <x:v>0.3388888888888889</x:v>
      </x:c>
      <x:c r="K140" s="2" t="str">
        <x:v>Walk in</x:v>
      </x:c>
      <x:c r="L140" s="2"/>
      <x:c r="M140" s="2"/>
      <x:c r="N140" s="14"/>
      <x:c r="O140" s="14"/>
    </x:row>
    <x:row r="141" ht="24" customHeight="1">
      <x:c r="A141" s="2" t="str">
        <x:v>153_2</x:v>
      </x:c>
      <x:c r="B141" s="10" t="str">
        <x:v>153</x:v>
      </x:c>
      <x:c r="C141" s="10" t="n">
        <x:v>3</x:v>
      </x:c>
      <x:c r="D141" s="10" t="n">
        <x:v>2</x:v>
      </x:c>
      <x:c r="E141" s="10" t="n">
        <x:v>1</x:v>
      </x:c>
      <x:c r="F141" s="12"/>
      <x:c r="G141" s="12"/>
      <x:c r="H141" s="10" t="n">
        <x:v>1</x:v>
      </x:c>
      <x:c r="I141" s="12" t="n">
        <x:v>0.28680555555555554</x:v>
      </x:c>
      <x:c r="J141" s="12" t="n">
        <x:v>0.3263888888888889</x:v>
      </x:c>
      <x:c r="K141" s="2" t="str">
        <x:v>Walk in</x:v>
      </x:c>
      <x:c r="L141" s="2"/>
      <x:c r="M141" s="2"/>
      <x:c r="N141" s="14"/>
      <x:c r="O141" s="14"/>
    </x:row>
    <x:row r="142" ht="24" customHeight="1">
      <x:c r="A142" s="2" t="str">
        <x:v>153_3</x:v>
      </x:c>
      <x:c r="B142" s="10" t="str">
        <x:v>153</x:v>
      </x:c>
      <x:c r="C142" s="10" t="n">
        <x:v>4</x:v>
      </x:c>
      <x:c r="D142" s="10" t="n">
        <x:v>3</x:v>
      </x:c>
      <x:c r="E142" s="10" t="n">
        <x:v>1</x:v>
      </x:c>
      <x:c r="F142" s="12"/>
      <x:c r="G142" s="12"/>
      <x:c r="H142" s="10" t="str">
        <x:v>7A</x:v>
      </x:c>
      <x:c r="I142" s="12" t="n">
        <x:v>0.28958333333333336</x:v>
      </x:c>
      <x:c r="J142" s="12" t="n">
        <x:v>0.3645833333333333</x:v>
      </x:c>
      <x:c r="K142" s="2" t="str">
        <x:v>Walk in</x:v>
      </x:c>
      <x:c r="L142" s="2"/>
      <x:c r="M142" s="2"/>
      <x:c r="N142" s="14"/>
      <x:c r="O142" s="14"/>
    </x:row>
    <x:row r="143" ht="24" customHeight="1">
      <x:c r="A143" s="2" t="str">
        <x:v>153_4</x:v>
      </x:c>
      <x:c r="B143" s="10" t="str">
        <x:v>153</x:v>
      </x:c>
      <x:c r="C143" s="10" t="n">
        <x:v>5</x:v>
      </x:c>
      <x:c r="D143" s="10" t="n">
        <x:v>4</x:v>
      </x:c>
      <x:c r="E143" s="10" t="n">
        <x:v>3</x:v>
      </x:c>
      <x:c r="F143" s="12"/>
      <x:c r="G143" s="12"/>
      <x:c r="H143" s="10" t="str">
        <x:v>3B</x:v>
      </x:c>
      <x:c r="I143" s="12" t="n">
        <x:v>0.29305555555555557</x:v>
      </x:c>
      <x:c r="J143" s="12" t="n">
        <x:v>0.3333333333333333</x:v>
      </x:c>
      <x:c r="K143" s="2" t="str">
        <x:v>Walk in</x:v>
      </x:c>
      <x:c r="L143" s="2"/>
      <x:c r="M143" s="2"/>
      <x:c r="N143" s="14"/>
      <x:c r="O143" s="14"/>
    </x:row>
    <x:row r="144" ht="24" customHeight="1">
      <x:c r="A144" s="2" t="str">
        <x:v>153_5</x:v>
      </x:c>
      <x:c r="B144" s="10" t="str">
        <x:v>153</x:v>
      </x:c>
      <x:c r="C144" s="10" t="n">
        <x:v>6</x:v>
      </x:c>
      <x:c r="D144" s="10" t="n">
        <x:v>5</x:v>
      </x:c>
      <x:c r="E144" s="10" t="n">
        <x:v>2</x:v>
      </x:c>
      <x:c r="F144" s="12"/>
      <x:c r="G144" s="12"/>
      <x:c r="H144" s="10" t="str">
        <x:v>4A</x:v>
      </x:c>
      <x:c r="I144" s="12" t="n">
        <x:v>0.3</x:v>
      </x:c>
      <x:c r="J144" s="12" t="n">
        <x:v>0.3416666666666667</x:v>
      </x:c>
      <x:c r="K144" s="2" t="str">
        <x:v>Walk in</x:v>
      </x:c>
      <x:c r="L144" s="2"/>
      <x:c r="M144" s="2"/>
      <x:c r="N144" s="14"/>
      <x:c r="O144" s="14"/>
    </x:row>
    <x:row r="145" ht="24" customHeight="1">
      <x:c r="A145" s="2" t="str">
        <x:v>153_6</x:v>
      </x:c>
      <x:c r="B145" s="10" t="str">
        <x:v>153</x:v>
      </x:c>
      <x:c r="C145" s="10" t="n">
        <x:v>7</x:v>
      </x:c>
      <x:c r="D145" s="10" t="n">
        <x:v>6</x:v>
      </x:c>
      <x:c r="E145" s="10" t="n">
        <x:v>2</x:v>
      </x:c>
      <x:c r="F145" s="12"/>
      <x:c r="G145" s="12"/>
      <x:c r="H145" s="10" t="str">
        <x:v>5B</x:v>
      </x:c>
      <x:c r="I145" s="12" t="n">
        <x:v>0.30069444444444443</x:v>
      </x:c>
      <x:c r="J145" s="12" t="n">
        <x:v>0.3368055555555556</x:v>
      </x:c>
      <x:c r="K145" s="2" t="str">
        <x:v>In house</x:v>
      </x:c>
      <x:c r="L145" s="2"/>
      <x:c r="M145" s="2"/>
      <x:c r="N145" s="14"/>
      <x:c r="O145" s="14"/>
    </x:row>
    <x:row r="146" ht="24" customHeight="1">
      <x:c r="A146" s="2" t="str">
        <x:v>153_7</x:v>
      </x:c>
      <x:c r="B146" s="10" t="str">
        <x:v>153</x:v>
      </x:c>
      <x:c r="C146" s="10" t="n">
        <x:v>8</x:v>
      </x:c>
      <x:c r="D146" s="10" t="n">
        <x:v>7</x:v>
      </x:c>
      <x:c r="E146" s="10" t="n">
        <x:v>0</x:v>
      </x:c>
      <x:c r="F146" s="12"/>
      <x:c r="G146" s="12"/>
      <x:c r="H146" s="10" t="str">
        <x:v>11A</x:v>
      </x:c>
      <x:c r="I146" s="12" t="n">
        <x:v>0.3020833333333333</x:v>
      </x:c>
      <x:c r="J146" s="12" t="n">
        <x:v>0.4166666666666667</x:v>
      </x:c>
      <x:c r="K146" s="2" t="str">
        <x:v>Walk in</x:v>
      </x:c>
      <x:c r="L146" s="2"/>
      <x:c r="M146" s="2"/>
      <x:c r="N146" s="14"/>
      <x:c r="O146" s="14"/>
    </x:row>
    <x:row r="147" ht="24" customHeight="1">
      <x:c r="A147" s="2" t="str">
        <x:v>153_8</x:v>
      </x:c>
      <x:c r="B147" s="10" t="str">
        <x:v>153</x:v>
      </x:c>
      <x:c r="C147" s="10" t="n">
        <x:v>9</x:v>
      </x:c>
      <x:c r="D147" s="10" t="n">
        <x:v>8</x:v>
      </x:c>
      <x:c r="E147" s="10" t="n">
        <x:v>3</x:v>
      </x:c>
      <x:c r="F147" s="12"/>
      <x:c r="G147" s="12"/>
      <x:c r="H147" s="10" t="n">
        <x:v>6</x:v>
      </x:c>
      <x:c r="I147" s="12" t="n">
        <x:v>0.3159722222222222</x:v>
      </x:c>
      <x:c r="J147" s="12" t="n">
        <x:v>0.38472222222222224</x:v>
      </x:c>
      <x:c r="K147" s="2" t="str">
        <x:v>Walk in</x:v>
      </x:c>
      <x:c r="L147" s="2"/>
      <x:c r="M147" s="2"/>
      <x:c r="N147" s="14"/>
      <x:c r="O147" s="14"/>
    </x:row>
    <x:row r="148" ht="24" customHeight="1">
      <x:c r="A148" s="2" t="str">
        <x:v>153_9</x:v>
      </x:c>
      <x:c r="B148" s="10" t="str">
        <x:v>153</x:v>
      </x:c>
      <x:c r="C148" s="10" t="n">
        <x:v>10</x:v>
      </x:c>
      <x:c r="D148" s="10" t="n">
        <x:v>9</x:v>
      </x:c>
      <x:c r="E148" s="10" t="n">
        <x:v>1</x:v>
      </x:c>
      <x:c r="F148" s="12"/>
      <x:c r="G148" s="12"/>
      <x:c r="H148" s="10" t="str">
        <x:v>7B</x:v>
      </x:c>
      <x:c r="I148" s="12" t="n">
        <x:v>0.3159722222222222</x:v>
      </x:c>
      <x:c r="J148" s="12" t="n">
        <x:v>0.3333333333333333</x:v>
      </x:c>
      <x:c r="K148" s="2" t="str">
        <x:v>In house</x:v>
      </x:c>
      <x:c r="L148" s="2"/>
      <x:c r="M148" s="2"/>
      <x:c r="N148" s="14"/>
      <x:c r="O148" s="14"/>
    </x:row>
    <x:row r="149" ht="24" customHeight="1">
      <x:c r="A149" s="2" t="str">
        <x:v>153_10</x:v>
      </x:c>
      <x:c r="B149" s="10" t="str">
        <x:v>153</x:v>
      </x:c>
      <x:c r="C149" s="10" t="n">
        <x:v>11</x:v>
      </x:c>
      <x:c r="D149" s="10" t="n">
        <x:v>10</x:v>
      </x:c>
      <x:c r="E149" s="10" t="n">
        <x:v>3</x:v>
      </x:c>
      <x:c r="F149" s="12"/>
      <x:c r="G149" s="12"/>
      <x:c r="H149" s="10" t="n">
        <x:v>2</x:v>
      </x:c>
      <x:c r="I149" s="12" t="n">
        <x:v>0.32569444444444445</x:v>
      </x:c>
      <x:c r="J149" s="12" t="n">
        <x:v>0.3819444444444444</x:v>
      </x:c>
      <x:c r="K149" s="2" t="str">
        <x:v>Walk in</x:v>
      </x:c>
      <x:c r="L149" s="2"/>
      <x:c r="M149" s="2"/>
      <x:c r="N149" s="14"/>
      <x:c r="O149" s="14"/>
    </x:row>
    <x:row r="150" ht="24" customHeight="1">
      <x:c r="A150" s="2" t="str">
        <x:v>153_11</x:v>
      </x:c>
      <x:c r="B150" s="10" t="str">
        <x:v>153</x:v>
      </x:c>
      <x:c r="C150" s="10" t="n">
        <x:v>12</x:v>
      </x:c>
      <x:c r="D150" s="10" t="n">
        <x:v>11</x:v>
      </x:c>
      <x:c r="E150" s="10" t="n">
        <x:v>2</x:v>
      </x:c>
      <x:c r="F150" s="12"/>
      <x:c r="G150" s="12"/>
      <x:c r="H150" s="10" t="str">
        <x:v>1A</x:v>
      </x:c>
      <x:c r="I150" s="12" t="n">
        <x:v>0.32708333333333334</x:v>
      </x:c>
      <x:c r="J150" s="12" t="n">
        <x:v>0.39375</x:v>
      </x:c>
      <x:c r="K150" s="2" t="str">
        <x:v>Walk in</x:v>
      </x:c>
      <x:c r="L150" s="2"/>
      <x:c r="M150" s="2"/>
      <x:c r="N150" s="14"/>
      <x:c r="O150" s="14"/>
    </x:row>
    <x:row r="151" ht="24" customHeight="1">
      <x:c r="A151" s="2" t="str">
        <x:v>153_12</x:v>
      </x:c>
      <x:c r="B151" s="10" t="str">
        <x:v>153</x:v>
      </x:c>
      <x:c r="C151" s="10" t="n">
        <x:v>13</x:v>
      </x:c>
      <x:c r="D151" s="10" t="n">
        <x:v>12</x:v>
      </x:c>
      <x:c r="E151" s="10" t="n">
        <x:v>1</x:v>
      </x:c>
      <x:c r="F151" s="12"/>
      <x:c r="G151" s="12"/>
      <x:c r="H151" s="10" t="n">
        <x:v>16</x:v>
      </x:c>
      <x:c r="I151" s="12" t="n">
        <x:v>0.3326388888888889</x:v>
      </x:c>
      <x:c r="J151" s="12" t="n">
        <x:v>0.3993055555555556</x:v>
      </x:c>
      <x:c r="K151" s="2" t="str">
        <x:v>Walk in</x:v>
      </x:c>
      <x:c r="L151" s="2"/>
      <x:c r="M151" s="2"/>
      <x:c r="N151" s="14"/>
      <x:c r="O151" s="14"/>
    </x:row>
    <x:row r="152" ht="24" customHeight="1">
      <x:c r="A152" s="2" t="str">
        <x:v>153_13</x:v>
      </x:c>
      <x:c r="B152" s="10" t="str">
        <x:v>153</x:v>
      </x:c>
      <x:c r="C152" s="10" t="n">
        <x:v>14</x:v>
      </x:c>
      <x:c r="D152" s="10" t="n">
        <x:v>13</x:v>
      </x:c>
      <x:c r="E152" s="10" t="n">
        <x:v>2</x:v>
      </x:c>
      <x:c r="F152" s="12"/>
      <x:c r="G152" s="12"/>
      <x:c r="H152" s="10" t="str">
        <x:v>8B</x:v>
      </x:c>
      <x:c r="I152" s="12" t="n">
        <x:v>0.3326388888888889</x:v>
      </x:c>
      <x:c r="J152" s="12" t="n">
        <x:v>0.35208333333333336</x:v>
      </x:c>
      <x:c r="K152" s="2" t="str">
        <x:v>In house</x:v>
      </x:c>
      <x:c r="L152" s="2"/>
      <x:c r="M152" s="2"/>
      <x:c r="N152" s="14"/>
      <x:c r="O152" s="14"/>
    </x:row>
    <x:row r="153" ht="24" customHeight="1">
      <x:c r="A153" s="2" t="str">
        <x:v>153_14</x:v>
      </x:c>
      <x:c r="B153" s="10" t="str">
        <x:v>153</x:v>
      </x:c>
      <x:c r="C153" s="10" t="n">
        <x:v>15</x:v>
      </x:c>
      <x:c r="D153" s="10" t="n">
        <x:v>14</x:v>
      </x:c>
      <x:c r="E153" s="10" t="n">
        <x:v>4</x:v>
      </x:c>
      <x:c r="F153" s="12"/>
      <x:c r="G153" s="12"/>
      <x:c r="H153" s="10" t="n">
        <x:v>15</x:v>
      </x:c>
      <x:c r="I153" s="12" t="n">
        <x:v>0.3333333333333333</x:v>
      </x:c>
      <x:c r="J153" s="12" t="n">
        <x:v>0.4486111111111111</x:v>
      </x:c>
      <x:c r="K153" s="2" t="str">
        <x:v>Walk in</x:v>
      </x:c>
      <x:c r="L153" s="2"/>
      <x:c r="M153" s="2"/>
      <x:c r="N153" s="14"/>
      <x:c r="O153" s="14"/>
    </x:row>
    <x:row r="154" ht="24" customHeight="1">
      <x:c r="A154" s="2" t="str">
        <x:v>153_15</x:v>
      </x:c>
      <x:c r="B154" s="10" t="str">
        <x:v>153</x:v>
      </x:c>
      <x:c r="C154" s="10" t="n">
        <x:v>16</x:v>
      </x:c>
      <x:c r="D154" s="10" t="n">
        <x:v>15</x:v>
      </x:c>
      <x:c r="E154" s="10" t="n">
        <x:v>2</x:v>
      </x:c>
      <x:c r="F154" s="12"/>
      <x:c r="G154" s="12"/>
      <x:c r="H154" s="10" t="str">
        <x:v>1B</x:v>
      </x:c>
      <x:c r="I154" s="12" t="n">
        <x:v>0.3347222222222222</x:v>
      </x:c>
      <x:c r="J154" s="12" t="n">
        <x:v>0.3888888888888889</x:v>
      </x:c>
      <x:c r="K154" s="2" t="str">
        <x:v>Walk in</x:v>
      </x:c>
      <x:c r="L154" s="2"/>
      <x:c r="M154" s="2"/>
      <x:c r="N154" s="14"/>
      <x:c r="O154" s="14"/>
    </x:row>
    <x:row r="155" ht="24" customHeight="1">
      <x:c r="A155" s="2" t="str">
        <x:v>153_16</x:v>
      </x:c>
      <x:c r="B155" s="10" t="str">
        <x:v>153</x:v>
      </x:c>
      <x:c r="C155" s="10" t="n">
        <x:v>17</x:v>
      </x:c>
      <x:c r="D155" s="10" t="n">
        <x:v>16</x:v>
      </x:c>
      <x:c r="E155" s="10" t="n">
        <x:v>1</x:v>
      </x:c>
      <x:c r="F155" s="12"/>
      <x:c r="G155" s="12"/>
      <x:c r="H155" s="10" t="str">
        <x:v>8C</x:v>
      </x:c>
      <x:c r="I155" s="12" t="n">
        <x:v>0.33541666666666664</x:v>
      </x:c>
      <x:c r="J155" s="12" t="n">
        <x:v>0.3902777777777778</x:v>
      </x:c>
      <x:c r="K155" s="2" t="str">
        <x:v>Walk in</x:v>
      </x:c>
      <x:c r="L155" s="2"/>
      <x:c r="M155" s="2"/>
      <x:c r="N155" s="14"/>
      <x:c r="O155" s="14"/>
    </x:row>
    <x:row r="156" ht="24" customHeight="1">
      <x:c r="A156" s="2" t="str">
        <x:v>153_17</x:v>
      </x:c>
      <x:c r="B156" s="10" t="str">
        <x:v>153</x:v>
      </x:c>
      <x:c r="C156" s="10" t="n">
        <x:v>18</x:v>
      </x:c>
      <x:c r="D156" s="10" t="n">
        <x:v>17</x:v>
      </x:c>
      <x:c r="E156" s="10" t="n">
        <x:v>3</x:v>
      </x:c>
      <x:c r="F156" s="12"/>
      <x:c r="G156" s="12"/>
      <x:c r="H156" s="10" t="str">
        <x:v>3B</x:v>
      </x:c>
      <x:c r="I156" s="12" t="n">
        <x:v>0.33611111111111114</x:v>
      </x:c>
      <x:c r="J156" s="12" t="n">
        <x:v>0.39166666666666666</x:v>
      </x:c>
      <x:c r="K156" s="2" t="str">
        <x:v>Walk in</x:v>
      </x:c>
      <x:c r="L156" s="2"/>
      <x:c r="M156" s="2"/>
      <x:c r="N156" s="14"/>
      <x:c r="O156" s="14"/>
    </x:row>
    <x:row r="157" ht="24" customHeight="1">
      <x:c r="A157" s="2" t="str">
        <x:v>153_18</x:v>
      </x:c>
      <x:c r="B157" s="10" t="str">
        <x:v>153</x:v>
      </x:c>
      <x:c r="C157" s="10" t="n">
        <x:v>19</x:v>
      </x:c>
      <x:c r="D157" s="10" t="n">
        <x:v>18</x:v>
      </x:c>
      <x:c r="E157" s="10" t="n">
        <x:v>4</x:v>
      </x:c>
      <x:c r="F157" s="12"/>
      <x:c r="G157" s="12"/>
      <x:c r="H157" s="10" t="str">
        <x:v>13-14</x:v>
      </x:c>
      <x:c r="I157" s="12" t="n">
        <x:v>0.3368055555555556</x:v>
      </x:c>
      <x:c r="J157" s="12" t="n">
        <x:v>0.4097222222222222</x:v>
      </x:c>
      <x:c r="K157" s="2" t="str">
        <x:v>In house</x:v>
      </x:c>
      <x:c r="L157" s="2"/>
      <x:c r="M157" s="2"/>
      <x:c r="N157" s="14"/>
      <x:c r="O157" s="14"/>
    </x:row>
    <x:row r="158" ht="24" customHeight="1">
      <x:c r="A158" s="2" t="str">
        <x:v>153_19</x:v>
      </x:c>
      <x:c r="B158" s="10" t="str">
        <x:v>153</x:v>
      </x:c>
      <x:c r="C158" s="10" t="n">
        <x:v>20</x:v>
      </x:c>
      <x:c r="D158" s="10" t="n">
        <x:v>19</x:v>
      </x:c>
      <x:c r="E158" s="10" t="n">
        <x:v>2</x:v>
      </x:c>
      <x:c r="F158" s="12"/>
      <x:c r="G158" s="12"/>
      <x:c r="H158" s="10" t="str">
        <x:v>4B</x:v>
      </x:c>
      <x:c r="I158" s="12" t="n">
        <x:v>0.3402777777777778</x:v>
      </x:c>
      <x:c r="J158" s="12" t="n">
        <x:v>0.4375</x:v>
      </x:c>
      <x:c r="K158" s="2" t="str">
        <x:v>Walk in</x:v>
      </x:c>
      <x:c r="L158" s="2"/>
      <x:c r="M158" s="2"/>
      <x:c r="N158" s="14"/>
      <x:c r="O158" s="14"/>
    </x:row>
    <x:row r="159" ht="24" customHeight="1">
      <x:c r="A159" s="2" t="str">
        <x:v>153_20</x:v>
      </x:c>
      <x:c r="B159" s="10" t="str">
        <x:v>153</x:v>
      </x:c>
      <x:c r="C159" s="10" t="n">
        <x:v>21</x:v>
      </x:c>
      <x:c r="D159" s="10" t="n">
        <x:v>20</x:v>
      </x:c>
      <x:c r="E159" s="10" t="n">
        <x:v>2</x:v>
      </x:c>
      <x:c r="F159" s="12"/>
      <x:c r="G159" s="12"/>
      <x:c r="H159" s="10" t="str">
        <x:v>10A</x:v>
      </x:c>
      <x:c r="I159" s="12" t="n">
        <x:v>0.3402777777777778</x:v>
      </x:c>
      <x:c r="J159" s="12" t="n">
        <x:v>0.4125</x:v>
      </x:c>
      <x:c r="K159" s="2" t="str">
        <x:v>Walk in</x:v>
      </x:c>
      <x:c r="L159" s="2"/>
      <x:c r="M159" s="2"/>
      <x:c r="N159" s="14"/>
      <x:c r="O159" s="14"/>
    </x:row>
    <x:row r="160" ht="24" customHeight="1">
      <x:c r="A160" s="2" t="str">
        <x:v>153_21</x:v>
      </x:c>
      <x:c r="B160" s="10" t="str">
        <x:v>153</x:v>
      </x:c>
      <x:c r="C160" s="10" t="n">
        <x:v>22</x:v>
      </x:c>
      <x:c r="D160" s="10" t="n">
        <x:v>21</x:v>
      </x:c>
      <x:c r="E160" s="10" t="n">
        <x:v>0</x:v>
      </x:c>
      <x:c r="F160" s="12"/>
      <x:c r="G160" s="12"/>
      <x:c r="H160" s="10" t="str">
        <x:v>4A</x:v>
      </x:c>
      <x:c r="I160" s="12" t="n">
        <x:v>0.3416666666666667</x:v>
      </x:c>
      <x:c r="J160" s="12" t="n">
        <x:v>0.4618055555555556</x:v>
      </x:c>
      <x:c r="K160" s="2" t="str">
        <x:v>In house</x:v>
      </x:c>
      <x:c r="L160" s="2"/>
      <x:c r="M160" s="2"/>
      <x:c r="N160" s="14"/>
      <x:c r="O160" s="14"/>
    </x:row>
    <x:row r="161" ht="24" customHeight="1">
      <x:c r="A161" s="2" t="str">
        <x:v>153_22</x:v>
      </x:c>
      <x:c r="B161" s="10" t="str">
        <x:v>153</x:v>
      </x:c>
      <x:c r="C161" s="10" t="n">
        <x:v>23</x:v>
      </x:c>
      <x:c r="D161" s="10" t="n">
        <x:v>22</x:v>
      </x:c>
      <x:c r="E161" s="10" t="n">
        <x:v>2</x:v>
      </x:c>
      <x:c r="F161" s="12"/>
      <x:c r="G161" s="12"/>
      <x:c r="H161" s="10" t="n">
        <x:v>9</x:v>
      </x:c>
      <x:c r="I161" s="12" t="n">
        <x:v>0.3416666666666667</x:v>
      </x:c>
      <x:c r="J161" s="12" t="n">
        <x:v>0.4097222222222222</x:v>
      </x:c>
      <x:c r="K161" s="2" t="str">
        <x:v>In house</x:v>
      </x:c>
      <x:c r="L161" s="2"/>
      <x:c r="M161" s="2"/>
      <x:c r="N161" s="14"/>
      <x:c r="O161" s="14"/>
    </x:row>
    <x:row r="162" ht="24" customHeight="1">
      <x:c r="A162" s="2" t="str">
        <x:v>153_23</x:v>
      </x:c>
      <x:c r="B162" s="10" t="str">
        <x:v>153</x:v>
      </x:c>
      <x:c r="C162" s="10" t="n">
        <x:v>24</x:v>
      </x:c>
      <x:c r="D162" s="10" t="n">
        <x:v>23</x:v>
      </x:c>
      <x:c r="E162" s="10" t="n">
        <x:v>2</x:v>
      </x:c>
      <x:c r="F162" s="12"/>
      <x:c r="G162" s="12"/>
      <x:c r="H162" s="10" t="str">
        <x:v>4A</x:v>
      </x:c>
      <x:c r="I162" s="12" t="n">
        <x:v>0.3840277777777778</x:v>
      </x:c>
      <x:c r="J162" s="12" t="n">
        <x:v>0.4041666666666667</x:v>
      </x:c>
      <x:c r="K162" s="2" t="str">
        <x:v>Walk in</x:v>
      </x:c>
      <x:c r="L162" s="2"/>
      <x:c r="M162" s="2"/>
      <x:c r="N162" s="14"/>
      <x:c r="O162" s="14"/>
    </x:row>
    <x:row r="163" ht="24" customHeight="1">
      <x:c r="A163" s="2" t="str">
        <x:v>153_24</x:v>
      </x:c>
      <x:c r="B163" s="10" t="str">
        <x:v>153</x:v>
      </x:c>
      <x:c r="C163" s="10" t="n">
        <x:v>25</x:v>
      </x:c>
      <x:c r="D163" s="10" t="n">
        <x:v>24</x:v>
      </x:c>
      <x:c r="E163" s="10" t="n">
        <x:v>2</x:v>
      </x:c>
      <x:c r="F163" s="12"/>
      <x:c r="G163" s="12"/>
      <x:c r="H163" s="10" t="str">
        <x:v>10B</x:v>
      </x:c>
      <x:c r="I163" s="12" t="n">
        <x:v>0.34305555555555556</x:v>
      </x:c>
      <x:c r="J163" s="12" t="n">
        <x:v>0.4270833333333333</x:v>
      </x:c>
      <x:c r="K163" s="2" t="str">
        <x:v>Walk in</x:v>
      </x:c>
      <x:c r="L163" s="2"/>
      <x:c r="M163" s="2"/>
      <x:c r="N163" s="14"/>
      <x:c r="O163" s="14"/>
    </x:row>
    <x:row r="164" ht="24" customHeight="1">
      <x:c r="A164" s="2" t="str">
        <x:v>153_25</x:v>
      </x:c>
      <x:c r="B164" s="10" t="str">
        <x:v>153</x:v>
      </x:c>
      <x:c r="C164" s="10" t="n">
        <x:v>26</x:v>
      </x:c>
      <x:c r="D164" s="10" t="n">
        <x:v>25</x:v>
      </x:c>
      <x:c r="E164" s="10" t="n">
        <x:v>2</x:v>
      </x:c>
      <x:c r="F164" s="12"/>
      <x:c r="G164" s="12"/>
      <x:c r="H164" s="10" t="n">
        <x:v>12</x:v>
      </x:c>
      <x:c r="I164" s="12" t="n">
        <x:v>0.34375</x:v>
      </x:c>
      <x:c r="J164" s="12" t="n">
        <x:v>0.4215277777777778</x:v>
      </x:c>
      <x:c r="K164" s="2" t="str">
        <x:v>Walk in</x:v>
      </x:c>
      <x:c r="L164" s="2"/>
      <x:c r="M164" s="2"/>
      <x:c r="N164" s="14"/>
      <x:c r="O164" s="14"/>
    </x:row>
    <x:row r="165" ht="24" customHeight="1">
      <x:c r="A165" s="2" t="str">
        <x:v>153_26</x:v>
      </x:c>
      <x:c r="B165" s="10" t="str">
        <x:v>153</x:v>
      </x:c>
      <x:c r="C165" s="10" t="n">
        <x:v>27</x:v>
      </x:c>
      <x:c r="D165" s="10" t="n">
        <x:v>26</x:v>
      </x:c>
      <x:c r="E165" s="10" t="n">
        <x:v>2</x:v>
      </x:c>
      <x:c r="F165" s="12"/>
      <x:c r="G165" s="12"/>
      <x:c r="H165" s="10" t="str">
        <x:v>7C</x:v>
      </x:c>
      <x:c r="I165" s="12" t="n">
        <x:v>0.34444444444444444</x:v>
      </x:c>
      <x:c r="J165" s="12" t="n">
        <x:v>0.39791666666666664</x:v>
      </x:c>
      <x:c r="K165" s="2" t="str">
        <x:v>Walk in</x:v>
      </x:c>
      <x:c r="L165" s="2"/>
      <x:c r="M165" s="2"/>
      <x:c r="N165" s="14"/>
      <x:c r="O165" s="14"/>
    </x:row>
    <x:row r="166" ht="24" customHeight="1">
      <x:c r="A166" s="2" t="str">
        <x:v>153_27</x:v>
      </x:c>
      <x:c r="B166" s="10" t="str">
        <x:v>153</x:v>
      </x:c>
      <x:c r="C166" s="10" t="n">
        <x:v>28</x:v>
      </x:c>
      <x:c r="D166" s="10" t="n">
        <x:v>27</x:v>
      </x:c>
      <x:c r="E166" s="10" t="n">
        <x:v>2</x:v>
      </x:c>
      <x:c r="F166" s="12"/>
      <x:c r="G166" s="12"/>
      <x:c r="H166" s="10" t="str">
        <x:v>7B</x:v>
      </x:c>
      <x:c r="I166" s="12" t="n">
        <x:v>0.34444444444444444</x:v>
      </x:c>
      <x:c r="J166" s="12" t="n">
        <x:v>0.38333333333333336</x:v>
      </x:c>
      <x:c r="K166" s="2" t="str">
        <x:v>Walk in</x:v>
      </x:c>
      <x:c r="L166" s="2"/>
      <x:c r="M166" s="2"/>
      <x:c r="N166" s="14"/>
      <x:c r="O166" s="14"/>
    </x:row>
    <x:row r="167" ht="24" customHeight="1">
      <x:c r="A167" s="2" t="str">
        <x:v>153_28</x:v>
      </x:c>
      <x:c r="B167" s="10" t="str">
        <x:v>153</x:v>
      </x:c>
      <x:c r="C167" s="10" t="n">
        <x:v>29</x:v>
      </x:c>
      <x:c r="D167" s="10" t="n">
        <x:v>28</x:v>
      </x:c>
      <x:c r="E167" s="10" t="n">
        <x:v>0</x:v>
      </x:c>
      <x:c r="F167" s="12" t="n">
        <x:v>0.34444444444444444</x:v>
      </x:c>
      <x:c r="G167" s="12" t="n">
        <x:v>0.37777777777777777</x:v>
      </x:c>
      <x:c r="H167" s="10"/>
      <x:c r="I167" s="12"/>
      <x:c r="J167" s="12"/>
      <x:c r="K167" s="2" t="str">
        <x:v>In house</x:v>
      </x:c>
      <x:c r="L167" s="2"/>
      <x:c r="M167" s="2"/>
      <x:c r="N167" s="14"/>
      <x:c r="O167" s="14"/>
    </x:row>
    <x:row r="168" ht="24" customHeight="1">
      <x:c r="A168" s="2" t="str">
        <x:v>153_29</x:v>
      </x:c>
      <x:c r="B168" s="10" t="str">
        <x:v>153</x:v>
      </x:c>
      <x:c r="C168" s="10" t="n">
        <x:v>30</x:v>
      </x:c>
      <x:c r="D168" s="10" t="n">
        <x:v>29</x:v>
      </x:c>
      <x:c r="E168" s="10" t="n">
        <x:v>2</x:v>
      </x:c>
      <x:c r="F168" s="12" t="n">
        <x:v>0.34444444444444444</x:v>
      </x:c>
      <x:c r="G168" s="12" t="n">
        <x:v>0.3784722222222222</x:v>
      </x:c>
      <x:c r="H168" s="10" t="str">
        <x:v>11B</x:v>
      </x:c>
      <x:c r="I168" s="12" t="n">
        <x:v>0.3784722222222222</x:v>
      </x:c>
      <x:c r="J168" s="12" t="n">
        <x:v>0.4826388888888889</x:v>
      </x:c>
      <x:c r="K168" s="2" t="str">
        <x:v>Walk in</x:v>
      </x:c>
      <x:c r="L168" s="2"/>
      <x:c r="M168" s="2"/>
      <x:c r="N168" s="14"/>
      <x:c r="O168" s="14"/>
    </x:row>
    <x:row r="169" ht="24" customHeight="1">
      <x:c r="A169" s="2" t="str">
        <x:v>153_30</x:v>
      </x:c>
      <x:c r="B169" s="10" t="str">
        <x:v>153</x:v>
      </x:c>
      <x:c r="C169" s="10" t="n">
        <x:v>31</x:v>
      </x:c>
      <x:c r="D169" s="10" t="n">
        <x:v>30</x:v>
      </x:c>
      <x:c r="E169" s="10" t="n">
        <x:v>2</x:v>
      </x:c>
      <x:c r="F169" s="12" t="n">
        <x:v>0.34444444444444444</x:v>
      </x:c>
      <x:c r="G169" s="12" t="n">
        <x:v>0.35347222222222224</x:v>
      </x:c>
      <x:c r="H169" s="10" t="str">
        <x:v>8B</x:v>
      </x:c>
      <x:c r="I169" s="12" t="n">
        <x:v>0.35347222222222224</x:v>
      </x:c>
      <x:c r="J169" s="12" t="n">
        <x:v>0.375</x:v>
      </x:c>
      <x:c r="K169" s="2" t="str">
        <x:v>In house</x:v>
      </x:c>
      <x:c r="L169" s="2"/>
      <x:c r="M169" s="2"/>
      <x:c r="N169" s="14"/>
      <x:c r="O169" s="14"/>
    </x:row>
    <x:row r="170" ht="24" customHeight="1">
      <x:c r="A170" s="2" t="str">
        <x:v>153_31</x:v>
      </x:c>
      <x:c r="B170" s="10" t="str">
        <x:v>153</x:v>
      </x:c>
      <x:c r="C170" s="10" t="n">
        <x:v>32</x:v>
      </x:c>
      <x:c r="D170" s="10" t="n">
        <x:v>31</x:v>
      </x:c>
      <x:c r="E170" s="10" t="n">
        <x:v>1</x:v>
      </x:c>
      <x:c r="F170" s="12" t="n">
        <x:v>0.3451388888888889</x:v>
      </x:c>
      <x:c r="G170" s="12" t="n">
        <x:v>0.3645833333333333</x:v>
      </x:c>
      <x:c r="H170" s="10" t="str">
        <x:v>7A</x:v>
      </x:c>
      <x:c r="I170" s="12" t="n">
        <x:v>0.3645833333333333</x:v>
      </x:c>
      <x:c r="J170" s="12" t="n">
        <x:v>0.3958333333333333</x:v>
      </x:c>
      <x:c r="K170" s="2" t="str">
        <x:v>In house</x:v>
      </x:c>
      <x:c r="L170" s="2"/>
      <x:c r="M170" s="2"/>
      <x:c r="N170" s="14"/>
      <x:c r="O170" s="14"/>
    </x:row>
    <x:row r="171" ht="24" customHeight="1">
      <x:c r="A171" s="2" t="str">
        <x:v>153_32</x:v>
      </x:c>
      <x:c r="B171" s="10" t="str">
        <x:v>153</x:v>
      </x:c>
      <x:c r="C171" s="10" t="n">
        <x:v>33</x:v>
      </x:c>
      <x:c r="D171" s="10" t="n">
        <x:v>32</x:v>
      </x:c>
      <x:c r="E171" s="10" t="n">
        <x:v>3</x:v>
      </x:c>
      <x:c r="F171" s="12" t="n">
        <x:v>0.3458333333333333</x:v>
      </x:c>
      <x:c r="G171" s="12" t="n">
        <x:v>0.3819444444444444</x:v>
      </x:c>
      <x:c r="H171" s="10" t="n">
        <x:v>2</x:v>
      </x:c>
      <x:c r="I171" s="12" t="n">
        <x:v>0.3819444444444444</x:v>
      </x:c>
      <x:c r="J171" s="12" t="n">
        <x:v>0.4395833333333333</x:v>
      </x:c>
      <x:c r="K171" s="2" t="str">
        <x:v>Walk in</x:v>
      </x:c>
      <x:c r="L171" s="2"/>
      <x:c r="M171" s="2"/>
      <x:c r="N171" s="14"/>
      <x:c r="O171" s="14"/>
    </x:row>
    <x:row r="172" ht="24" customHeight="1">
      <x:c r="A172" s="2" t="str">
        <x:v>153_33</x:v>
      </x:c>
      <x:c r="B172" s="10" t="str">
        <x:v>153</x:v>
      </x:c>
      <x:c r="C172" s="10" t="n">
        <x:v>34</x:v>
      </x:c>
      <x:c r="D172" s="10" t="n">
        <x:v>33</x:v>
      </x:c>
      <x:c r="E172" s="10" t="n">
        <x:v>3</x:v>
      </x:c>
      <x:c r="F172" s="12" t="n">
        <x:v>0.3472222222222222</x:v>
      </x:c>
      <x:c r="G172" s="12" t="n">
        <x:v>0.3840277777777778</x:v>
      </x:c>
      <x:c r="H172" s="10" t="n">
        <x:v>3</x:v>
      </x:c>
      <x:c r="I172" s="12" t="n">
        <x:v>0.3840277777777778</x:v>
      </x:c>
      <x:c r="J172" s="12" t="n">
        <x:v>0.4305555555555556</x:v>
      </x:c>
      <x:c r="K172" s="2" t="str">
        <x:v>Walk in</x:v>
      </x:c>
      <x:c r="L172" s="2"/>
      <x:c r="M172" s="2"/>
      <x:c r="N172" s="14"/>
      <x:c r="O172" s="14"/>
    </x:row>
    <x:row r="173" ht="24" customHeight="1">
      <x:c r="A173" s="2" t="str">
        <x:v>153_34</x:v>
      </x:c>
      <x:c r="B173" s="10" t="str">
        <x:v>153</x:v>
      </x:c>
      <x:c r="C173" s="10" t="n">
        <x:v>35</x:v>
      </x:c>
      <x:c r="D173" s="10" t="n">
        <x:v>34</x:v>
      </x:c>
      <x:c r="E173" s="10" t="n">
        <x:v>2</x:v>
      </x:c>
      <x:c r="F173" s="12" t="n">
        <x:v>0.3541666666666667</x:v>
      </x:c>
      <x:c r="G173" s="12" t="n">
        <x:v>0.3854166666666667</x:v>
      </x:c>
      <x:c r="H173" s="10" t="str">
        <x:v>7B</x:v>
      </x:c>
      <x:c r="I173" s="12" t="n">
        <x:v>0.3854166666666667</x:v>
      </x:c>
      <x:c r="J173" s="12" t="n">
        <x:v>0.40347222222222223</x:v>
      </x:c>
      <x:c r="K173" s="2" t="str">
        <x:v>Walk in</x:v>
      </x:c>
      <x:c r="L173" s="2"/>
      <x:c r="M173" s="2"/>
      <x:c r="N173" s="14"/>
      <x:c r="O173" s="14"/>
    </x:row>
    <x:row r="174" ht="24" customHeight="1">
      <x:c r="A174" s="2" t="str">
        <x:v>153_35</x:v>
      </x:c>
      <x:c r="B174" s="10" t="str">
        <x:v>153</x:v>
      </x:c>
      <x:c r="C174" s="10" t="n">
        <x:v>36</x:v>
      </x:c>
      <x:c r="D174" s="10" t="n">
        <x:v>35</x:v>
      </x:c>
      <x:c r="E174" s="10" t="n">
        <x:v>4</x:v>
      </x:c>
      <x:c r="F174" s="12" t="n">
        <x:v>0.3576388888888889</x:v>
      </x:c>
      <x:c r="G174" s="12" t="n">
        <x:v>0.3861111111111111</x:v>
      </x:c>
      <x:c r="H174" s="10" t="n">
        <x:v>6</x:v>
      </x:c>
      <x:c r="I174" s="12" t="n">
        <x:v>0.3861111111111111</x:v>
      </x:c>
      <x:c r="J174" s="12" t="n">
        <x:v>0.41875</x:v>
      </x:c>
      <x:c r="K174" s="2" t="str">
        <x:v>Walk in</x:v>
      </x:c>
      <x:c r="L174" s="2"/>
      <x:c r="M174" s="2"/>
      <x:c r="N174" s="14"/>
      <x:c r="O174" s="14"/>
    </x:row>
    <x:row r="175" ht="24" customHeight="1">
      <x:c r="A175" s="2" t="str">
        <x:v>153_36</x:v>
      </x:c>
      <x:c r="B175" s="10" t="str">
        <x:v>153</x:v>
      </x:c>
      <x:c r="C175" s="10" t="n">
        <x:v>37</x:v>
      </x:c>
      <x:c r="D175" s="10" t="n">
        <x:v>36</x:v>
      </x:c>
      <x:c r="E175" s="10" t="n">
        <x:v>4</x:v>
      </x:c>
      <x:c r="F175" s="12" t="n">
        <x:v>0.3611111111111111</x:v>
      </x:c>
      <x:c r="G175" s="12" t="n">
        <x:v>0.39375</x:v>
      </x:c>
      <x:c r="H175" s="10" t="str">
        <x:v>4B/5A</x:v>
      </x:c>
      <x:c r="I175" s="12" t="n">
        <x:v>0.39375</x:v>
      </x:c>
      <x:c r="J175" s="12" t="n">
        <x:v>0.44722222222222224</x:v>
      </x:c>
      <x:c r="K175" s="2" t="str">
        <x:v>Walk in</x:v>
      </x:c>
      <x:c r="L175" s="2"/>
      <x:c r="M175" s="2"/>
      <x:c r="N175" s="14"/>
      <x:c r="O175" s="14"/>
    </x:row>
    <x:row r="176" ht="24" customHeight="1">
      <x:c r="A176" s="2" t="str">
        <x:v>153_37</x:v>
      </x:c>
      <x:c r="B176" s="10" t="str">
        <x:v>153</x:v>
      </x:c>
      <x:c r="C176" s="10" t="n">
        <x:v>38</x:v>
      </x:c>
      <x:c r="D176" s="10" t="n">
        <x:v>37</x:v>
      </x:c>
      <x:c r="E176" s="10" t="n">
        <x:v>2</x:v>
      </x:c>
      <x:c r="F176" s="12" t="n">
        <x:v>0.3638888888888889</x:v>
      </x:c>
      <x:c r="G176" s="12" t="n">
        <x:v>0.3888888888888889</x:v>
      </x:c>
      <x:c r="H176" s="10"/>
      <x:c r="I176" s="12"/>
      <x:c r="J176" s="12"/>
      <x:c r="K176" s="2" t="str">
        <x:v>In house</x:v>
      </x:c>
      <x:c r="L176" s="2"/>
      <x:c r="M176" s="2"/>
      <x:c r="N176" s="14"/>
      <x:c r="O176" s="14"/>
    </x:row>
    <x:row r="177" ht="24" customHeight="1">
      <x:c r="A177" s="2" t="str">
        <x:v>153_38</x:v>
      </x:c>
      <x:c r="B177" s="10" t="str">
        <x:v>153</x:v>
      </x:c>
      <x:c r="C177" s="10" t="n">
        <x:v>39</x:v>
      </x:c>
      <x:c r="D177" s="10" t="n">
        <x:v>38</x:v>
      </x:c>
      <x:c r="E177" s="10" t="n">
        <x:v>3</x:v>
      </x:c>
      <x:c r="F177" s="12" t="n">
        <x:v>0.36527777777777776</x:v>
      </x:c>
      <x:c r="G177" s="12" t="n">
        <x:v>0.4097222222222222</x:v>
      </x:c>
      <x:c r="H177" s="10" t="n">
        <x:v>9</x:v>
      </x:c>
      <x:c r="I177" s="12" t="n">
        <x:v>0.4097222222222222</x:v>
      </x:c>
      <x:c r="J177" s="12" t="n">
        <x:v>0.5</x:v>
      </x:c>
      <x:c r="K177" s="2" t="str">
        <x:v>Walk in</x:v>
      </x:c>
      <x:c r="L177" s="2"/>
      <x:c r="M177" s="2"/>
      <x:c r="N177" s="14"/>
      <x:c r="O177" s="14"/>
    </x:row>
    <x:row r="178" ht="24" customHeight="1">
      <x:c r="A178" s="2" t="str">
        <x:v>153_39</x:v>
      </x:c>
      <x:c r="B178" s="10" t="str">
        <x:v>153</x:v>
      </x:c>
      <x:c r="C178" s="10" t="n">
        <x:v>40</x:v>
      </x:c>
      <x:c r="D178" s="10" t="n">
        <x:v>39</x:v>
      </x:c>
      <x:c r="E178" s="10" t="n">
        <x:v>1</x:v>
      </x:c>
      <x:c r="F178" s="12" t="n">
        <x:v>0.36666666666666664</x:v>
      </x:c>
      <x:c r="G178" s="12" t="n">
        <x:v>0.375</x:v>
      </x:c>
      <x:c r="H178" s="10" t="str">
        <x:v>8B</x:v>
      </x:c>
      <x:c r="I178" s="12" t="n">
        <x:v>0.375</x:v>
      </x:c>
      <x:c r="J178" s="12" t="n">
        <x:v>0.4527777777777778</x:v>
      </x:c>
      <x:c r="K178" s="2" t="str">
        <x:v>Walk in</x:v>
      </x:c>
      <x:c r="L178" s="2"/>
      <x:c r="M178" s="2"/>
      <x:c r="N178" s="14"/>
      <x:c r="O178" s="14"/>
    </x:row>
    <x:row r="179" ht="24" customHeight="1">
      <x:c r="A179" s="2" t="str">
        <x:v>153_40</x:v>
      </x:c>
      <x:c r="B179" s="10" t="str">
        <x:v>153</x:v>
      </x:c>
      <x:c r="C179" s="10" t="n">
        <x:v>41</x:v>
      </x:c>
      <x:c r="D179" s="10" t="n">
        <x:v>40</x:v>
      </x:c>
      <x:c r="E179" s="10" t="n">
        <x:v>0</x:v>
      </x:c>
      <x:c r="F179" s="12" t="n">
        <x:v>0.3680555555555556</x:v>
      </x:c>
      <x:c r="G179" s="12" t="n">
        <x:v>0.3888888888888889</x:v>
      </x:c>
      <x:c r="H179" s="10"/>
      <x:c r="I179" s="12"/>
      <x:c r="J179" s="12"/>
      <x:c r="K179" s="2" t="str">
        <x:v>In house</x:v>
      </x:c>
      <x:c r="L179" s="2"/>
      <x:c r="M179" s="2"/>
      <x:c r="N179" s="14"/>
      <x:c r="O179" s="14"/>
    </x:row>
    <x:row r="180" ht="24" customHeight="1">
      <x:c r="A180" s="2" t="str">
        <x:v>153_41</x:v>
      </x:c>
      <x:c r="B180" s="10" t="str">
        <x:v>153</x:v>
      </x:c>
      <x:c r="C180" s="10" t="n">
        <x:v>42</x:v>
      </x:c>
      <x:c r="D180" s="10" t="n">
        <x:v>41</x:v>
      </x:c>
      <x:c r="E180" s="10" t="n">
        <x:v>1</x:v>
      </x:c>
      <x:c r="F180" s="12" t="n">
        <x:v>0.3701388888888889</x:v>
      </x:c>
      <x:c r="G180" s="12" t="n">
        <x:v>0.3923611111111111</x:v>
      </x:c>
      <x:c r="H180" s="10" t="str">
        <x:v>1B</x:v>
      </x:c>
      <x:c r="I180" s="12" t="n">
        <x:v>0.3923611111111111</x:v>
      </x:c>
      <x:c r="J180" s="12" t="n">
        <x:v>0.4173611111111111</x:v>
      </x:c>
      <x:c r="K180" s="2" t="str">
        <x:v>Walk in</x:v>
      </x:c>
      <x:c r="L180" s="2"/>
      <x:c r="M180" s="2"/>
      <x:c r="N180" s="14"/>
      <x:c r="O180" s="14"/>
    </x:row>
    <x:row r="181" ht="24" customHeight="1">
      <x:c r="A181" s="2" t="str">
        <x:v>153_42</x:v>
      </x:c>
      <x:c r="B181" s="10" t="str">
        <x:v>153</x:v>
      </x:c>
      <x:c r="C181" s="10" t="n">
        <x:v>43</x:v>
      </x:c>
      <x:c r="D181" s="10" t="n">
        <x:v>42</x:v>
      </x:c>
      <x:c r="E181" s="10" t="n">
        <x:v>1</x:v>
      </x:c>
      <x:c r="F181" s="12" t="n">
        <x:v>0.37083333333333335</x:v>
      </x:c>
      <x:c r="G181" s="12" t="n">
        <x:v>0.3923611111111111</x:v>
      </x:c>
      <x:c r="H181" s="10" t="str">
        <x:v>1A</x:v>
      </x:c>
      <x:c r="I181" s="12" t="n">
        <x:v>0.3923611111111111</x:v>
      </x:c>
      <x:c r="J181" s="12" t="n">
        <x:v>0.4201388888888889</x:v>
      </x:c>
      <x:c r="K181" s="2" t="str">
        <x:v>In house</x:v>
      </x:c>
      <x:c r="L181" s="2"/>
      <x:c r="M181" s="2"/>
      <x:c r="N181" s="14"/>
      <x:c r="O181" s="14"/>
    </x:row>
    <x:row r="182" ht="24" customHeight="1">
      <x:c r="A182" s="2" t="str">
        <x:v>153_43</x:v>
      </x:c>
      <x:c r="B182" s="10" t="str">
        <x:v>153</x:v>
      </x:c>
      <x:c r="C182" s="10" t="n">
        <x:v>44</x:v>
      </x:c>
      <x:c r="D182" s="10" t="n">
        <x:v>43</x:v>
      </x:c>
      <x:c r="E182" s="10" t="n">
        <x:v>2</x:v>
      </x:c>
      <x:c r="F182" s="12" t="n">
        <x:v>0.3729166666666667</x:v>
      </x:c>
      <x:c r="G182" s="12" t="n">
        <x:v>0.3923611111111111</x:v>
      </x:c>
      <x:c r="H182" s="10" t="str">
        <x:v>8C</x:v>
      </x:c>
      <x:c r="I182" s="12" t="n">
        <x:v>0.3923611111111111</x:v>
      </x:c>
      <x:c r="J182" s="12" t="n">
        <x:v>0.48680555555555555</x:v>
      </x:c>
      <x:c r="K182" s="2" t="str">
        <x:v>Walk in</x:v>
      </x:c>
      <x:c r="L182" s="2"/>
      <x:c r="M182" s="2"/>
      <x:c r="N182" s="14"/>
      <x:c r="O182" s="14"/>
    </x:row>
    <x:row r="183" ht="24" customHeight="1">
      <x:c r="A183" s="2" t="str">
        <x:v>153_44</x:v>
      </x:c>
      <x:c r="B183" s="10" t="str">
        <x:v>153</x:v>
      </x:c>
      <x:c r="C183" s="10" t="n">
        <x:v>45</x:v>
      </x:c>
      <x:c r="D183" s="10" t="n">
        <x:v>44</x:v>
      </x:c>
      <x:c r="E183" s="10" t="n">
        <x:v>3</x:v>
      </x:c>
      <x:c r="F183" s="12" t="n">
        <x:v>0.3736111111111111</x:v>
      </x:c>
      <x:c r="G183" s="12" t="n">
        <x:v>0.39791666666666664</x:v>
      </x:c>
      <x:c r="H183" s="10" t="str">
        <x:v>7A</x:v>
      </x:c>
      <x:c r="I183" s="12" t="n">
        <x:v>0.39791666666666664</x:v>
      </x:c>
      <x:c r="J183" s="12" t="n">
        <x:v>0.44722222222222224</x:v>
      </x:c>
      <x:c r="K183" s="2" t="str">
        <x:v>Walk in</x:v>
      </x:c>
      <x:c r="L183" s="2"/>
      <x:c r="M183" s="2"/>
      <x:c r="N183" s="14"/>
      <x:c r="O183" s="14"/>
    </x:row>
    <x:row r="184" ht="24" customHeight="1">
      <x:c r="A184" s="2" t="str">
        <x:v>153_45</x:v>
      </x:c>
      <x:c r="B184" s="10" t="str">
        <x:v>153</x:v>
      </x:c>
      <x:c r="C184" s="10" t="n">
        <x:v>46</x:v>
      </x:c>
      <x:c r="D184" s="10" t="n">
        <x:v>45</x:v>
      </x:c>
      <x:c r="E184" s="10" t="n">
        <x:v>2</x:v>
      </x:c>
      <x:c r="F184" s="12" t="n">
        <x:v>0.34444444444444444</x:v>
      </x:c>
      <x:c r="G184" s="12" t="n">
        <x:v>0.3798611111111111</x:v>
      </x:c>
      <x:c r="H184" s="10" t="str">
        <x:v>8A</x:v>
      </x:c>
      <x:c r="I184" s="12" t="n">
        <x:v>0.3798611111111111</x:v>
      </x:c>
      <x:c r="J184" s="12" t="n">
        <x:v>0.4076388888888889</x:v>
      </x:c>
      <x:c r="K184" s="2" t="str">
        <x:v>Walk in</x:v>
      </x:c>
      <x:c r="L184" s="2"/>
      <x:c r="M184" s="2"/>
      <x:c r="N184" s="14"/>
      <x:c r="O184" s="14"/>
    </x:row>
    <x:row r="185" ht="24" customHeight="1">
      <x:c r="A185" s="2" t="str">
        <x:v>153_46</x:v>
      </x:c>
      <x:c r="B185" s="10" t="str">
        <x:v>153</x:v>
      </x:c>
      <x:c r="C185" s="10" t="n">
        <x:v>47</x:v>
      </x:c>
      <x:c r="D185" s="10" t="n">
        <x:v>46</x:v>
      </x:c>
      <x:c r="E185" s="10" t="n">
        <x:v>2</x:v>
      </x:c>
      <x:c r="F185" s="12" t="n">
        <x:v>0.38055555555555554</x:v>
      </x:c>
      <x:c r="G185" s="12" t="n">
        <x:v>0.4027777777777778</x:v>
      </x:c>
      <x:c r="H185" s="10" t="n">
        <x:v>16</x:v>
      </x:c>
      <x:c r="I185" s="12" t="n">
        <x:v>0.4027777777777778</x:v>
      </x:c>
      <x:c r="J185" s="12" t="n">
        <x:v>0.42569444444444443</x:v>
      </x:c>
      <x:c r="K185" s="2" t="str">
        <x:v>In house</x:v>
      </x:c>
      <x:c r="L185" s="2"/>
      <x:c r="M185" s="2"/>
      <x:c r="N185" s="14"/>
      <x:c r="O185" s="14"/>
    </x:row>
    <x:row r="186" ht="24" customHeight="1">
      <x:c r="A186" s="2" t="str">
        <x:v>153_47</x:v>
      </x:c>
      <x:c r="B186" s="10" t="str">
        <x:v>153</x:v>
      </x:c>
      <x:c r="C186" s="10" t="n">
        <x:v>48</x:v>
      </x:c>
      <x:c r="D186" s="10" t="n">
        <x:v>47</x:v>
      </x:c>
      <x:c r="E186" s="10" t="n">
        <x:v>3</x:v>
      </x:c>
      <x:c r="F186" s="12" t="n">
        <x:v>0.38055555555555554</x:v>
      </x:c>
      <x:c r="G186" s="12" t="n">
        <x:v>0.4201388888888889</x:v>
      </x:c>
      <x:c r="H186" s="10" t="n">
        <x:v>6</x:v>
      </x:c>
      <x:c r="I186" s="12" t="n">
        <x:v>0.4201388888888889</x:v>
      </x:c>
      <x:c r="J186" s="12" t="n">
        <x:v>0.5</x:v>
      </x:c>
      <x:c r="K186" s="2" t="str">
        <x:v>Walk in</x:v>
      </x:c>
      <x:c r="L186" s="2"/>
      <x:c r="M186" s="2"/>
      <x:c r="N186" s="14"/>
      <x:c r="O186" s="14"/>
    </x:row>
    <x:row r="187" ht="24" customHeight="1">
      <x:c r="A187" s="2" t="str">
        <x:v>153_48</x:v>
      </x:c>
      <x:c r="B187" s="10" t="str">
        <x:v>153</x:v>
      </x:c>
      <x:c r="C187" s="10" t="n">
        <x:v>49</x:v>
      </x:c>
      <x:c r="D187" s="10" t="n">
        <x:v>48</x:v>
      </x:c>
      <x:c r="E187" s="10" t="n">
        <x:v>2</x:v>
      </x:c>
      <x:c r="F187" s="12" t="n">
        <x:v>0.3819444444444444</x:v>
      </x:c>
      <x:c r="G187" s="12" t="n">
        <x:v>0.38680555555555557</x:v>
      </x:c>
      <x:c r="H187" s="10"/>
      <x:c r="I187" s="12"/>
      <x:c r="J187" s="12"/>
      <x:c r="K187" s="2" t="str">
        <x:v>In house</x:v>
      </x:c>
      <x:c r="L187" s="2"/>
      <x:c r="M187" s="2"/>
      <x:c r="N187" s="14"/>
      <x:c r="O187" s="14"/>
    </x:row>
    <x:row r="188" ht="24" customHeight="1">
      <x:c r="A188" s="2" t="str">
        <x:v>153_49</x:v>
      </x:c>
      <x:c r="B188" s="10" t="str">
        <x:v>153</x:v>
      </x:c>
      <x:c r="C188" s="10" t="n">
        <x:v>50</x:v>
      </x:c>
      <x:c r="D188" s="10" t="n">
        <x:v>49</x:v>
      </x:c>
      <x:c r="E188" s="10" t="n">
        <x:v>0</x:v>
      </x:c>
      <x:c r="F188" s="12" t="n">
        <x:v>0.3819444444444444</x:v>
      </x:c>
      <x:c r="G188" s="12" t="n">
        <x:v>0.4131944444444444</x:v>
      </x:c>
      <x:c r="H188" s="10"/>
      <x:c r="I188" s="12"/>
      <x:c r="J188" s="12"/>
      <x:c r="K188" s="2" t="str">
        <x:v>Walk in</x:v>
      </x:c>
      <x:c r="L188" s="2"/>
      <x:c r="M188" s="2"/>
      <x:c r="N188" s="14"/>
      <x:c r="O188" s="14"/>
    </x:row>
    <x:row r="189" ht="24" customHeight="1">
      <x:c r="A189" s="2" t="str">
        <x:v>153_50</x:v>
      </x:c>
      <x:c r="B189" s="10" t="str">
        <x:v>153</x:v>
      </x:c>
      <x:c r="C189" s="10" t="n">
        <x:v>51</x:v>
      </x:c>
      <x:c r="D189" s="10" t="n">
        <x:v>50</x:v>
      </x:c>
      <x:c r="E189" s="10" t="n">
        <x:v>5</x:v>
      </x:c>
      <x:c r="F189" s="12" t="n">
        <x:v>0.3819444444444444</x:v>
      </x:c>
      <x:c r="G189" s="12" t="n">
        <x:v>0.4131944444444444</x:v>
      </x:c>
      <x:c r="H189" s="10" t="str">
        <x:v>4A/11B</x:v>
      </x:c>
      <x:c r="I189" s="12" t="n">
        <x:v>0.4131944444444444</x:v>
      </x:c>
      <x:c r="J189" s="12" t="n">
        <x:v>0.4756944444444444</x:v>
      </x:c>
      <x:c r="K189" s="2" t="str">
        <x:v>Walk in</x:v>
      </x:c>
      <x:c r="L189" s="2"/>
      <x:c r="M189" s="2"/>
      <x:c r="N189" s="14"/>
      <x:c r="O189" s="14"/>
    </x:row>
    <x:row r="190" ht="24" customHeight="1">
      <x:c r="A190" s="2" t="str">
        <x:v>153_51</x:v>
      </x:c>
      <x:c r="B190" s="10" t="str">
        <x:v>153</x:v>
      </x:c>
      <x:c r="C190" s="10" t="n">
        <x:v>52</x:v>
      </x:c>
      <x:c r="D190" s="10" t="n">
        <x:v>51</x:v>
      </x:c>
      <x:c r="E190" s="10" t="n">
        <x:v>1</x:v>
      </x:c>
      <x:c r="F190" s="12" t="n">
        <x:v>0.38680555555555557</x:v>
      </x:c>
      <x:c r="G190" s="12" t="n">
        <x:v>0.4201388888888889</x:v>
      </x:c>
      <x:c r="H190" s="10" t="str">
        <x:v>1A</x:v>
      </x:c>
      <x:c r="I190" s="12" t="n">
        <x:v>0.4201388888888889</x:v>
      </x:c>
      <x:c r="J190" s="12" t="n">
        <x:v>0.46805555555555556</x:v>
      </x:c>
      <x:c r="K190" s="2" t="str">
        <x:v>In house</x:v>
      </x:c>
      <x:c r="L190" s="2"/>
      <x:c r="M190" s="2"/>
      <x:c r="N190" s="14"/>
      <x:c r="O190" s="14"/>
    </x:row>
    <x:row r="191" ht="24" customHeight="1">
      <x:c r="A191" s="2" t="str">
        <x:v>153_52</x:v>
      </x:c>
      <x:c r="B191" s="10" t="str">
        <x:v>153</x:v>
      </x:c>
      <x:c r="C191" s="10" t="n">
        <x:v>53</x:v>
      </x:c>
      <x:c r="D191" s="10" t="n">
        <x:v>52</x:v>
      </x:c>
      <x:c r="E191" s="10" t="n">
        <x:v>3</x:v>
      </x:c>
      <x:c r="F191" s="12" t="n">
        <x:v>0.3923611111111111</x:v>
      </x:c>
      <x:c r="G191" s="12" t="n">
        <x:v>0.42291666666666666</x:v>
      </x:c>
      <x:c r="H191" s="10" t="n">
        <x:v>12</x:v>
      </x:c>
      <x:c r="I191" s="12" t="n">
        <x:v>0.42291666666666666</x:v>
      </x:c>
      <x:c r="J191" s="12" t="n">
        <x:v>0.4722222222222222</x:v>
      </x:c>
      <x:c r="K191" s="2" t="str">
        <x:v>Walk in</x:v>
      </x:c>
      <x:c r="L191" s="2"/>
      <x:c r="M191" s="2"/>
      <x:c r="N191" s="14"/>
      <x:c r="O191" s="14"/>
    </x:row>
    <x:row r="192" ht="24" customHeight="1">
      <x:c r="A192" s="2" t="str">
        <x:v>153_53</x:v>
      </x:c>
      <x:c r="B192" s="10" t="str">
        <x:v>153</x:v>
      </x:c>
      <x:c r="C192" s="10" t="n">
        <x:v>54</x:v>
      </x:c>
      <x:c r="D192" s="10" t="n">
        <x:v>53</x:v>
      </x:c>
      <x:c r="E192" s="10" t="n">
        <x:v>3</x:v>
      </x:c>
      <x:c r="F192" s="12" t="n">
        <x:v>0.3923611111111111</x:v>
      </x:c>
      <x:c r="G192" s="12" t="n">
        <x:v>0.42430555555555555</x:v>
      </x:c>
      <x:c r="H192" s="10" t="str">
        <x:v>11A</x:v>
      </x:c>
      <x:c r="I192" s="12" t="n">
        <x:v>0.42430555555555555</x:v>
      </x:c>
      <x:c r="J192" s="12" t="n">
        <x:v>0.4826388888888889</x:v>
      </x:c>
      <x:c r="K192" s="2" t="str">
        <x:v>Walk in</x:v>
      </x:c>
      <x:c r="L192" s="2"/>
      <x:c r="M192" s="2"/>
      <x:c r="N192" s="14"/>
      <x:c r="O192" s="14"/>
    </x:row>
    <x:row r="193" ht="24" customHeight="1">
      <x:c r="A193" s="2" t="str">
        <x:v>153_54</x:v>
      </x:c>
      <x:c r="B193" s="10" t="str">
        <x:v>153</x:v>
      </x:c>
      <x:c r="C193" s="10" t="n">
        <x:v>55</x:v>
      </x:c>
      <x:c r="D193" s="10" t="n">
        <x:v>54</x:v>
      </x:c>
      <x:c r="E193" s="10" t="n">
        <x:v>5</x:v>
      </x:c>
      <x:c r="F193" s="12" t="n">
        <x:v>0.39791666666666664</x:v>
      </x:c>
      <x:c r="G193" s="12" t="n">
        <x:v>0.4284722222222222</x:v>
      </x:c>
      <x:c r="H193" s="10" t="n">
        <x:v>16</x:v>
      </x:c>
      <x:c r="I193" s="12" t="n">
        <x:v>0.4284722222222222</x:v>
      </x:c>
      <x:c r="J193" s="12" t="n">
        <x:v>0.4583333333333333</x:v>
      </x:c>
      <x:c r="K193" s="2" t="str">
        <x:v>In house</x:v>
      </x:c>
      <x:c r="L193" s="2"/>
      <x:c r="M193" s="2"/>
      <x:c r="N193" s="14"/>
      <x:c r="O193" s="14"/>
    </x:row>
    <x:row r="194" ht="24" customHeight="1">
      <x:c r="A194" s="2" t="str">
        <x:v>153_55</x:v>
      </x:c>
      <x:c r="B194" s="10" t="str">
        <x:v>153</x:v>
      </x:c>
      <x:c r="C194" s="10" t="n">
        <x:v>56</x:v>
      </x:c>
      <x:c r="D194" s="10" t="n">
        <x:v>55</x:v>
      </x:c>
      <x:c r="E194" s="10" t="n">
        <x:v>4</x:v>
      </x:c>
      <x:c r="F194" s="12" t="n">
        <x:v>0.3993055555555556</x:v>
      </x:c>
      <x:c r="G194" s="12" t="n">
        <x:v>0.4375</x:v>
      </x:c>
      <x:c r="H194" s="10"/>
      <x:c r="I194" s="12"/>
      <x:c r="J194" s="12"/>
      <x:c r="K194" s="2" t="str">
        <x:v>In house</x:v>
      </x:c>
      <x:c r="L194" s="2"/>
      <x:c r="M194" s="2"/>
      <x:c r="N194" s="14"/>
      <x:c r="O194" s="14"/>
    </x:row>
    <x:row r="195" ht="24" customHeight="1">
      <x:c r="A195" s="2" t="str">
        <x:v>153_56</x:v>
      </x:c>
      <x:c r="B195" s="10" t="str">
        <x:v>153</x:v>
      </x:c>
      <x:c r="C195" s="10" t="n">
        <x:v>57</x:v>
      </x:c>
      <x:c r="D195" s="10" t="n">
        <x:v>56</x:v>
      </x:c>
      <x:c r="E195" s="10" t="n">
        <x:v>2</x:v>
      </x:c>
      <x:c r="F195" s="12" t="n">
        <x:v>0.4</x:v>
      </x:c>
      <x:c r="G195" s="12" t="n">
        <x:v>0.4409722222222222</x:v>
      </x:c>
      <x:c r="H195" s="10" t="n">
        <x:v>2</x:v>
      </x:c>
      <x:c r="I195" s="12" t="n">
        <x:v>0.4409722222222222</x:v>
      </x:c>
      <x:c r="J195" s="12" t="n">
        <x:v>0.4652777777777778</x:v>
      </x:c>
      <x:c r="K195" s="2" t="str">
        <x:v>Walk in</x:v>
      </x:c>
      <x:c r="L195" s="2"/>
      <x:c r="M195" s="2"/>
      <x:c r="N195" s="14"/>
      <x:c r="O195" s="14"/>
    </x:row>
    <x:row r="196" ht="24" customHeight="1">
      <x:c r="A196" s="2" t="str">
        <x:v>153_57</x:v>
      </x:c>
      <x:c r="B196" s="10" t="str">
        <x:v>153</x:v>
      </x:c>
      <x:c r="C196" s="10" t="n">
        <x:v>58</x:v>
      </x:c>
      <x:c r="D196" s="10" t="n">
        <x:v>57</x:v>
      </x:c>
      <x:c r="E196" s="10" t="n">
        <x:v>1</x:v>
      </x:c>
      <x:c r="F196" s="12" t="n">
        <x:v>0.40069444444444446</x:v>
      </x:c>
      <x:c r="G196" s="12" t="n">
        <x:v>0.4479166666666667</x:v>
      </x:c>
      <x:c r="H196" s="10" t="str">
        <x:v>7A</x:v>
      </x:c>
      <x:c r="I196" s="12" t="n">
        <x:v>0.4479166666666667</x:v>
      </x:c>
      <x:c r="J196" s="12" t="n">
        <x:v>0.46875</x:v>
      </x:c>
      <x:c r="K196" s="2" t="str">
        <x:v>Walk in</x:v>
      </x:c>
      <x:c r="L196" s="2"/>
      <x:c r="M196" s="2"/>
      <x:c r="N196" s="14"/>
      <x:c r="O196" s="14"/>
    </x:row>
    <x:row r="197" ht="24" customHeight="1">
      <x:c r="A197" s="2" t="str">
        <x:v>153_58</x:v>
      </x:c>
      <x:c r="B197" s="10" t="str">
        <x:v>153</x:v>
      </x:c>
      <x:c r="C197" s="10" t="n">
        <x:v>59</x:v>
      </x:c>
      <x:c r="D197" s="10" t="n">
        <x:v>58</x:v>
      </x:c>
      <x:c r="E197" s="10" t="n">
        <x:v>2</x:v>
      </x:c>
      <x:c r="F197" s="12" t="n">
        <x:v>0.40069444444444446</x:v>
      </x:c>
      <x:c r="G197" s="12" t="n">
        <x:v>0.4083333333333333</x:v>
      </x:c>
      <x:c r="H197" s="10"/>
      <x:c r="I197" s="12"/>
      <x:c r="J197" s="12"/>
      <x:c r="K197" s="2" t="str">
        <x:v>Walk in</x:v>
      </x:c>
      <x:c r="L197" s="2"/>
      <x:c r="M197" s="2"/>
      <x:c r="N197" s="14"/>
      <x:c r="O197" s="14"/>
    </x:row>
    <x:row r="198" ht="24" customHeight="1">
      <x:c r="A198" s="2" t="str">
        <x:v>153_59</x:v>
      </x:c>
      <x:c r="B198" s="10" t="str">
        <x:v>153</x:v>
      </x:c>
      <x:c r="C198" s="10" t="n">
        <x:v>60</x:v>
      </x:c>
      <x:c r="D198" s="10" t="n">
        <x:v>59</x:v>
      </x:c>
      <x:c r="E198" s="10" t="n">
        <x:v>2</x:v>
      </x:c>
      <x:c r="F198" s="12" t="n">
        <x:v>0.4013888888888889</x:v>
      </x:c>
      <x:c r="G198" s="12" t="n">
        <x:v>0.4479166666666667</x:v>
      </x:c>
      <x:c r="H198" s="10" t="str">
        <x:v>4B/5A</x:v>
      </x:c>
      <x:c r="I198" s="12" t="n">
        <x:v>0.4479166666666667</x:v>
      </x:c>
      <x:c r="J198" s="12" t="n">
        <x:v>0.4791666666666667</x:v>
      </x:c>
      <x:c r="K198" s="2" t="str">
        <x:v>In house</x:v>
      </x:c>
      <x:c r="L198" s="2"/>
      <x:c r="M198" s="2"/>
      <x:c r="N198" s="14"/>
      <x:c r="O198" s="14"/>
    </x:row>
    <x:row r="199" ht="24" customHeight="1">
      <x:c r="A199" s="2" t="str">
        <x:v>153_60</x:v>
      </x:c>
      <x:c r="B199" s="10" t="str">
        <x:v>153</x:v>
      </x:c>
      <x:c r="C199" s="10" t="n">
        <x:v>61</x:v>
      </x:c>
      <x:c r="D199" s="10" t="n">
        <x:v>60</x:v>
      </x:c>
      <x:c r="E199" s="10" t="n">
        <x:v>0</x:v>
      </x:c>
      <x:c r="F199" s="12" t="n">
        <x:v>0.4027777777777778</x:v>
      </x:c>
      <x:c r="G199" s="12" t="n">
        <x:v>0.45</x:v>
      </x:c>
      <x:c r="H199" s="10"/>
      <x:c r="I199" s="12"/>
      <x:c r="J199" s="12"/>
      <x:c r="K199" s="2" t="str">
        <x:v>Walk in</x:v>
      </x:c>
      <x:c r="L199" s="2"/>
      <x:c r="M199" s="2"/>
      <x:c r="N199" s="14"/>
      <x:c r="O199" s="14"/>
    </x:row>
    <x:row r="200" ht="24" customHeight="1">
      <x:c r="A200" s="2" t="str">
        <x:v>153_61</x:v>
      </x:c>
      <x:c r="B200" s="10" t="str">
        <x:v>153</x:v>
      </x:c>
      <x:c r="C200" s="10" t="n">
        <x:v>62</x:v>
      </x:c>
      <x:c r="D200" s="10" t="n">
        <x:v>61</x:v>
      </x:c>
      <x:c r="E200" s="10" t="n">
        <x:v>2</x:v>
      </x:c>
      <x:c r="F200" s="12" t="n">
        <x:v>0.4041666666666667</x:v>
      </x:c>
      <x:c r="G200" s="12" t="n">
        <x:v>0.4513888888888889</x:v>
      </x:c>
      <x:c r="H200" s="10" t="str">
        <x:v>15A</x:v>
      </x:c>
      <x:c r="I200" s="12" t="n">
        <x:v>0.4513888888888889</x:v>
      </x:c>
      <x:c r="J200" s="12" t="n">
        <x:v>0.4965277777777778</x:v>
      </x:c>
      <x:c r="K200" s="2" t="str">
        <x:v>Walk in</x:v>
      </x:c>
      <x:c r="L200" s="2"/>
      <x:c r="M200" s="2"/>
      <x:c r="N200" s="14"/>
      <x:c r="O200" s="14"/>
    </x:row>
    <x:row r="201" ht="24" customHeight="1">
      <x:c r="A201" s="2" t="str">
        <x:v>153_62</x:v>
      </x:c>
      <x:c r="B201" s="10" t="str">
        <x:v>153</x:v>
      </x:c>
      <x:c r="C201" s="10" t="n">
        <x:v>63</x:v>
      </x:c>
      <x:c r="D201" s="10" t="n">
        <x:v>62</x:v>
      </x:c>
      <x:c r="E201" s="10" t="n">
        <x:v>2</x:v>
      </x:c>
      <x:c r="F201" s="12" t="n">
        <x:v>0.40625</x:v>
      </x:c>
      <x:c r="G201" s="12" t="n">
        <x:v>0.4513888888888889</x:v>
      </x:c>
      <x:c r="H201" s="10" t="str">
        <x:v>15B</x:v>
      </x:c>
      <x:c r="I201" s="12" t="n">
        <x:v>0.4513888888888889</x:v>
      </x:c>
      <x:c r="J201" s="12" t="n">
        <x:v>0.47638888888888886</x:v>
      </x:c>
      <x:c r="K201" s="2" t="str">
        <x:v>Walk in</x:v>
      </x:c>
      <x:c r="L201" s="2"/>
      <x:c r="M201" s="2"/>
      <x:c r="N201" s="14"/>
      <x:c r="O201" s="14"/>
    </x:row>
    <x:row r="202" ht="24" customHeight="1">
      <x:c r="A202" s="2" t="str">
        <x:v>153_63</x:v>
      </x:c>
      <x:c r="B202" s="10" t="str">
        <x:v>153</x:v>
      </x:c>
      <x:c r="C202" s="10" t="n">
        <x:v>64</x:v>
      </x:c>
      <x:c r="D202" s="10" t="n">
        <x:v>63</x:v>
      </x:c>
      <x:c r="E202" s="10" t="n">
        <x:v>2</x:v>
      </x:c>
      <x:c r="F202" s="12" t="n">
        <x:v>0.40694444444444444</x:v>
      </x:c>
      <x:c r="G202" s="12" t="n">
        <x:v>0.4548611111111111</x:v>
      </x:c>
      <x:c r="H202" s="10" t="str">
        <x:v>8B</x:v>
      </x:c>
      <x:c r="I202" s="12" t="n">
        <x:v>0.4548611111111111</x:v>
      </x:c>
      <x:c r="J202" s="12" t="n">
        <x:v>0.5048611111111111</x:v>
      </x:c>
      <x:c r="K202" s="2" t="str">
        <x:v>In house</x:v>
      </x:c>
      <x:c r="L202" s="2"/>
      <x:c r="M202" s="2"/>
      <x:c r="N202" s="14"/>
      <x:c r="O202" s="14"/>
    </x:row>
    <x:row r="203" ht="24" customHeight="1">
      <x:c r="A203" s="2" t="str">
        <x:v>153_64</x:v>
      </x:c>
      <x:c r="B203" s="10" t="str">
        <x:v>153</x:v>
      </x:c>
      <x:c r="C203" s="10" t="n">
        <x:v>65</x:v>
      </x:c>
      <x:c r="D203" s="10" t="n">
        <x:v>64</x:v>
      </x:c>
      <x:c r="E203" s="10" t="n">
        <x:v>2</x:v>
      </x:c>
      <x:c r="F203" s="12" t="n">
        <x:v>0.4076388888888889</x:v>
      </x:c>
      <x:c r="G203" s="12" t="n">
        <x:v>0.46041666666666664</x:v>
      </x:c>
      <x:c r="H203" s="10" t="str">
        <x:v>7C</x:v>
      </x:c>
      <x:c r="I203" s="12" t="n">
        <x:v>0.46041666666666664</x:v>
      </x:c>
      <x:c r="J203" s="12" t="n">
        <x:v>0.48819444444444443</x:v>
      </x:c>
      <x:c r="K203" s="2" t="str">
        <x:v>Walk in</x:v>
      </x:c>
      <x:c r="L203" s="2"/>
      <x:c r="M203" s="2"/>
      <x:c r="N203" s="14"/>
      <x:c r="O203" s="14"/>
    </x:row>
    <x:row r="204" ht="24" customHeight="1">
      <x:c r="A204" s="2" t="str">
        <x:v>153_65</x:v>
      </x:c>
      <x:c r="B204" s="10" t="str">
        <x:v>153</x:v>
      </x:c>
      <x:c r="C204" s="10" t="n">
        <x:v>66</x:v>
      </x:c>
      <x:c r="D204" s="10" t="n">
        <x:v>65</x:v>
      </x:c>
      <x:c r="E204" s="10" t="n">
        <x:v>2</x:v>
      </x:c>
      <x:c r="F204" s="12" t="n">
        <x:v>0.41458333333333336</x:v>
      </x:c>
      <x:c r="G204" s="12" t="n">
        <x:v>0.4618055555555556</x:v>
      </x:c>
      <x:c r="H204" s="10"/>
      <x:c r="I204" s="12"/>
      <x:c r="J204" s="12"/>
      <x:c r="K204" s="2" t="str">
        <x:v>Walk in</x:v>
      </x:c>
      <x:c r="L204" s="2"/>
      <x:c r="M204" s="2"/>
      <x:c r="N204" s="14"/>
      <x:c r="O204" s="14"/>
    </x:row>
    <x:row r="205" ht="24" customHeight="1">
      <x:c r="A205" s="2" t="str">
        <x:v>153_66</x:v>
      </x:c>
      <x:c r="B205" s="10" t="str">
        <x:v>153</x:v>
      </x:c>
      <x:c r="C205" s="10" t="n">
        <x:v>67</x:v>
      </x:c>
      <x:c r="D205" s="10" t="n">
        <x:v>66</x:v>
      </x:c>
      <x:c r="E205" s="10" t="n">
        <x:v>4</x:v>
      </x:c>
      <x:c r="F205" s="12" t="n">
        <x:v>0.4215277777777778</x:v>
      </x:c>
      <x:c r="G205" s="12" t="n">
        <x:v>0.4618055555555556</x:v>
      </x:c>
      <x:c r="H205" s="10" t="n">
        <x:v>3</x:v>
      </x:c>
      <x:c r="I205" s="12" t="n">
        <x:v>0.4618055555555556</x:v>
      </x:c>
      <x:c r="J205" s="12" t="n">
        <x:v>0.5173611111111112</x:v>
      </x:c>
      <x:c r="K205" s="2" t="str">
        <x:v>Walk in</x:v>
      </x:c>
      <x:c r="L205" s="2"/>
      <x:c r="M205" s="2"/>
      <x:c r="N205" s="14"/>
      <x:c r="O205" s="14"/>
    </x:row>
    <x:row r="206" ht="24" customHeight="1">
      <x:c r="A206" s="2" t="str">
        <x:v>153_67</x:v>
      </x:c>
      <x:c r="B206" s="10" t="str">
        <x:v>153</x:v>
      </x:c>
      <x:c r="C206" s="10" t="n">
        <x:v>68</x:v>
      </x:c>
      <x:c r="D206" s="10" t="n">
        <x:v>67</x:v>
      </x:c>
      <x:c r="E206" s="10" t="n">
        <x:v>2</x:v>
      </x:c>
      <x:c r="F206" s="12" t="n">
        <x:v>0.4270833333333333</x:v>
      </x:c>
      <x:c r="G206" s="12" t="n">
        <x:v>0.4625</x:v>
      </x:c>
      <x:c r="H206" s="10" t="str">
        <x:v>10A</x:v>
      </x:c>
      <x:c r="I206" s="12" t="n">
        <x:v>0.42083333333333334</x:v>
      </x:c>
      <x:c r="J206" s="12" t="n">
        <x:v>0.5041666666666667</x:v>
      </x:c>
      <x:c r="K206" s="2" t="str">
        <x:v>Walk in</x:v>
      </x:c>
      <x:c r="L206" s="2"/>
      <x:c r="M206" s="2"/>
      <x:c r="N206" s="14"/>
      <x:c r="O206" s="14"/>
    </x:row>
    <x:row r="207" ht="24" customHeight="1">
      <x:c r="A207" s="2" t="str">
        <x:v>153_68</x:v>
      </x:c>
      <x:c r="B207" s="10" t="str">
        <x:v>153</x:v>
      </x:c>
      <x:c r="C207" s="10" t="n">
        <x:v>69</x:v>
      </x:c>
      <x:c r="D207" s="10" t="n">
        <x:v>68</x:v>
      </x:c>
      <x:c r="E207" s="10" t="n">
        <x:v>2</x:v>
      </x:c>
      <x:c r="F207" s="12" t="n">
        <x:v>0.3819444444444444</x:v>
      </x:c>
      <x:c r="G207" s="12" t="n">
        <x:v>0.4375</x:v>
      </x:c>
      <x:c r="H207" s="10" t="str">
        <x:v>5B</x:v>
      </x:c>
      <x:c r="I207" s="12" t="n">
        <x:v>0.4375</x:v>
      </x:c>
      <x:c r="J207" s="12" t="n">
        <x:v>0.5069444444444444</x:v>
      </x:c>
      <x:c r="K207" s="2" t="str">
        <x:v>Walk in</x:v>
      </x:c>
      <x:c r="L207" s="2"/>
      <x:c r="M207" s="2"/>
      <x:c r="N207" s="14"/>
      <x:c r="O207" s="14"/>
    </x:row>
    <x:row r="208" ht="24" customHeight="1">
      <x:c r="A208" s="2" t="str">
        <x:v>153_69</x:v>
      </x:c>
      <x:c r="B208" s="10" t="str">
        <x:v>153</x:v>
      </x:c>
      <x:c r="C208" s="10" t="n">
        <x:v>70</x:v>
      </x:c>
      <x:c r="D208" s="10" t="n">
        <x:v>69</x:v>
      </x:c>
      <x:c r="E208" s="10" t="n">
        <x:v>1</x:v>
      </x:c>
      <x:c r="F208" s="12" t="n">
        <x:v>0.4326388888888889</x:v>
      </x:c>
      <x:c r="G208" s="12" t="n">
        <x:v>0.46458333333333335</x:v>
      </x:c>
      <x:c r="H208" s="10" t="str">
        <x:v>4A</x:v>
      </x:c>
      <x:c r="I208" s="12" t="n">
        <x:v>0.46458333333333335</x:v>
      </x:c>
      <x:c r="J208" s="12" t="n">
        <x:v>0.5138888888888888</x:v>
      </x:c>
      <x:c r="K208" s="2" t="str">
        <x:v>Walk in</x:v>
      </x:c>
      <x:c r="L208" s="2"/>
      <x:c r="M208" s="2"/>
      <x:c r="N208" s="14"/>
      <x:c r="O208" s="14"/>
    </x:row>
    <x:row r="209" ht="24" customHeight="1">
      <x:c r="A209" s="2" t="str">
        <x:v>153_70</x:v>
      </x:c>
      <x:c r="B209" s="10" t="str">
        <x:v>153</x:v>
      </x:c>
      <x:c r="C209" s="10" t="n">
        <x:v>71</x:v>
      </x:c>
      <x:c r="D209" s="10" t="n">
        <x:v>70</x:v>
      </x:c>
      <x:c r="E209" s="10" t="n">
        <x:v>1</x:v>
      </x:c>
      <x:c r="F209" s="12" t="n">
        <x:v>0.43333333333333335</x:v>
      </x:c>
      <x:c r="G209" s="12" t="n">
        <x:v>0.46458333333333335</x:v>
      </x:c>
      <x:c r="H209" s="10" t="str">
        <x:v>8A</x:v>
      </x:c>
      <x:c r="I209" s="12" t="n">
        <x:v>0.46458333333333335</x:v>
      </x:c>
      <x:c r="J209" s="12" t="n">
        <x:v>0.5069444444444444</x:v>
      </x:c>
      <x:c r="K209" s="2" t="str">
        <x:v>Walk in</x:v>
      </x:c>
      <x:c r="L209" s="2"/>
      <x:c r="M209" s="2"/>
      <x:c r="N209" s="14"/>
      <x:c r="O209" s="14"/>
    </x:row>
    <x:row r="210" ht="24" customHeight="1">
      <x:c r="A210" s="2" t="str">
        <x:v>153_71</x:v>
      </x:c>
      <x:c r="B210" s="10" t="str">
        <x:v>153</x:v>
      </x:c>
      <x:c r="C210" s="10" t="n">
        <x:v>72</x:v>
      </x:c>
      <x:c r="D210" s="10" t="n">
        <x:v>71</x:v>
      </x:c>
      <x:c r="E210" s="10" t="n">
        <x:v>1</x:v>
      </x:c>
      <x:c r="F210" s="12" t="n">
        <x:v>0.4340277777777778</x:v>
      </x:c>
      <x:c r="G210" s="12" t="n">
        <x:v>0.46875</x:v>
      </x:c>
      <x:c r="H210" s="10"/>
      <x:c r="I210" s="12"/>
      <x:c r="J210" s="12"/>
      <x:c r="K210" s="2" t="str">
        <x:v>Walk in</x:v>
      </x:c>
      <x:c r="L210" s="2"/>
      <x:c r="M210" s="2"/>
      <x:c r="N210" s="14"/>
      <x:c r="O210" s="14"/>
    </x:row>
    <x:row r="211" ht="24" customHeight="1">
      <x:c r="A211" s="2" t="str">
        <x:v>153_72</x:v>
      </x:c>
      <x:c r="B211" s="10" t="str">
        <x:v>153</x:v>
      </x:c>
      <x:c r="C211" s="10" t="n">
        <x:v>73</x:v>
      </x:c>
      <x:c r="D211" s="10" t="n">
        <x:v>72</x:v>
      </x:c>
      <x:c r="E211" s="10" t="n">
        <x:v>1</x:v>
      </x:c>
      <x:c r="F211" s="12" t="n">
        <x:v>0.4444444444444444</x:v>
      </x:c>
      <x:c r="G211" s="12" t="n">
        <x:v>0.4652777777777778</x:v>
      </x:c>
      <x:c r="H211" s="10" t="str">
        <x:v>2B</x:v>
      </x:c>
      <x:c r="I211" s="12" t="n">
        <x:v>0.4652777777777778</x:v>
      </x:c>
      <x:c r="J211" s="12" t="n">
        <x:v>0.4930555555555556</x:v>
      </x:c>
      <x:c r="K211" s="2" t="str">
        <x:v>Walk in</x:v>
      </x:c>
      <x:c r="L211" s="2"/>
      <x:c r="M211" s="2"/>
      <x:c r="N211" s="14"/>
      <x:c r="O211" s="14"/>
    </x:row>
    <x:row r="212" ht="24" customHeight="1">
      <x:c r="A212" s="2" t="str">
        <x:v>153_73</x:v>
      </x:c>
      <x:c r="B212" s="10" t="str">
        <x:v>153</x:v>
      </x:c>
      <x:c r="C212" s="10" t="n">
        <x:v>74</x:v>
      </x:c>
      <x:c r="D212" s="10" t="n">
        <x:v>73</x:v>
      </x:c>
      <x:c r="E212" s="10" t="n">
        <x:v>2</x:v>
      </x:c>
      <x:c r="F212" s="12" t="n">
        <x:v>0.44513888888888886</x:v>
      </x:c>
      <x:c r="G212" s="12" t="n">
        <x:v>0.4666666666666667</x:v>
      </x:c>
      <x:c r="H212" s="10" t="n">
        <x:v>16</x:v>
      </x:c>
      <x:c r="I212" s="12" t="n">
        <x:v>0.4666666666666667</x:v>
      </x:c>
      <x:c r="J212" s="12" t="n">
        <x:v>0.48819444444444443</x:v>
      </x:c>
      <x:c r="K212" s="2" t="str">
        <x:v>Walk in</x:v>
      </x:c>
      <x:c r="L212" s="2"/>
      <x:c r="M212" s="2"/>
      <x:c r="N212" s="14"/>
      <x:c r="O212" s="14"/>
    </x:row>
    <x:row r="213" ht="24" customHeight="1">
      <x:c r="A213" s="2" t="str">
        <x:v>153_74</x:v>
      </x:c>
      <x:c r="B213" s="10" t="str">
        <x:v>153</x:v>
      </x:c>
      <x:c r="C213" s="10" t="n">
        <x:v>75</x:v>
      </x:c>
      <x:c r="D213" s="10" t="n">
        <x:v>74</x:v>
      </x:c>
      <x:c r="E213" s="10" t="n">
        <x:v>1</x:v>
      </x:c>
      <x:c r="F213" s="12" t="n">
        <x:v>0.4534722222222222</x:v>
      </x:c>
      <x:c r="G213" s="12" t="n">
        <x:v>0.4618055555555556</x:v>
      </x:c>
      <x:c r="H213" s="10"/>
      <x:c r="I213" s="12"/>
      <x:c r="J213" s="12"/>
      <x:c r="K213" s="2" t="str">
        <x:v>Walk in</x:v>
      </x:c>
      <x:c r="L213" s="2"/>
      <x:c r="M213" s="2"/>
      <x:c r="N213" s="14"/>
      <x:c r="O213" s="14"/>
    </x:row>
    <x:row r="214" ht="24" customHeight="1">
      <x:c r="A214" s="2" t="str">
        <x:v>153_75</x:v>
      </x:c>
      <x:c r="B214" s="10" t="str">
        <x:v>153</x:v>
      </x:c>
      <x:c r="C214" s="10" t="n">
        <x:v>76</x:v>
      </x:c>
      <x:c r="D214" s="10" t="n">
        <x:v>75</x:v>
      </x:c>
      <x:c r="E214" s="10" t="n">
        <x:v>3</x:v>
      </x:c>
      <x:c r="F214" s="12" t="n">
        <x:v>0.4548611111111111</x:v>
      </x:c>
      <x:c r="G214" s="12" t="n">
        <x:v>0.4861111111111111</x:v>
      </x:c>
      <x:c r="H214" s="10" t="str">
        <x:v>13-14</x:v>
      </x:c>
      <x:c r="I214" s="12" t="n">
        <x:v>0.4861111111111111</x:v>
      </x:c>
      <x:c r="J214" s="12" t="n">
        <x:v>0.5208333333333334</x:v>
      </x:c>
      <x:c r="K214" s="2" t="str">
        <x:v>In house</x:v>
      </x:c>
      <x:c r="L214" s="2"/>
      <x:c r="M214" s="2"/>
      <x:c r="N214" s="14"/>
      <x:c r="O214" s="14"/>
    </x:row>
    <x:row r="215" ht="24" customHeight="1">
      <x:c r="A215" s="2" t="str">
        <x:v>153_76</x:v>
      </x:c>
      <x:c r="B215" s="10" t="str">
        <x:v>153</x:v>
      </x:c>
      <x:c r="C215" s="10" t="n">
        <x:v>77</x:v>
      </x:c>
      <x:c r="D215" s="10" t="n">
        <x:v>76</x:v>
      </x:c>
      <x:c r="E215" s="10" t="n">
        <x:v>2</x:v>
      </x:c>
      <x:c r="F215" s="12" t="n">
        <x:v>0.4583333333333333</x:v>
      </x:c>
      <x:c r="G215" s="12" t="n">
        <x:v>0.46805555555555556</x:v>
      </x:c>
      <x:c r="H215" s="10" t="str">
        <x:v>2A</x:v>
      </x:c>
      <x:c r="I215" s="12" t="n">
        <x:v>0.46805555555555556</x:v>
      </x:c>
      <x:c r="J215" s="12" t="n">
        <x:v>0.4826388888888889</x:v>
      </x:c>
      <x:c r="K215" s="2" t="str">
        <x:v>In house</x:v>
      </x:c>
      <x:c r="L215" s="2"/>
      <x:c r="M215" s="2"/>
      <x:c r="N215" s="14"/>
      <x:c r="O215" s="14"/>
    </x:row>
    <x:row r="216" ht="24" customHeight="1">
      <x:c r="A216" s="2" t="str">
        <x:v>153_77</x:v>
      </x:c>
      <x:c r="B216" s="10" t="str">
        <x:v>153</x:v>
      </x:c>
      <x:c r="C216" s="10" t="n">
        <x:v>78</x:v>
      </x:c>
      <x:c r="D216" s="10" t="n">
        <x:v>77</x:v>
      </x:c>
      <x:c r="E216" s="10" t="n">
        <x:v>1</x:v>
      </x:c>
      <x:c r="F216" s="12" t="n">
        <x:v>0.46805555555555556</x:v>
      </x:c>
      <x:c r="G216" s="12" t="n">
        <x:v>0.46875</x:v>
      </x:c>
      <x:c r="H216" s="10"/>
      <x:c r="I216" s="12"/>
      <x:c r="J216" s="12"/>
      <x:c r="K216" s="2" t="str">
        <x:v>In house</x:v>
      </x:c>
      <x:c r="L216" s="2"/>
      <x:c r="M216" s="2"/>
      <x:c r="N216" s="14"/>
      <x:c r="O216" s="14"/>
    </x:row>
    <x:row r="217" ht="24" customHeight="1">
      <x:c r="A217" s="2" t="str">
        <x:v>153_78</x:v>
      </x:c>
      <x:c r="B217" s="10" t="str">
        <x:v>153</x:v>
      </x:c>
      <x:c r="C217" s="10" t="n">
        <x:v>79</x:v>
      </x:c>
      <x:c r="D217" s="10" t="n">
        <x:v>78</x:v>
      </x:c>
      <x:c r="E217" s="10" t="n">
        <x:v>0</x:v>
      </x:c>
      <x:c r="F217" s="12" t="n">
        <x:v>0.46805555555555556</x:v>
      </x:c>
      <x:c r="G217" s="12" t="n">
        <x:v>0.4722222222222222</x:v>
      </x:c>
      <x:c r="H217" s="10"/>
      <x:c r="I217" s="12"/>
      <x:c r="J217" s="12"/>
      <x:c r="K217" s="2" t="str">
        <x:v>Walk in</x:v>
      </x:c>
      <x:c r="L217" s="2"/>
      <x:c r="M217" s="2"/>
      <x:c r="N217" s="14"/>
      <x:c r="O217" s="14"/>
    </x:row>
    <x:row r="218" ht="24" customHeight="1">
      <x:c r="A218" s="2" t="str">
        <x:v>153_79</x:v>
      </x:c>
      <x:c r="B218" s="10" t="str">
        <x:v>153</x:v>
      </x:c>
      <x:c r="C218" s="10" t="n">
        <x:v>80</x:v>
      </x:c>
      <x:c r="D218" s="10" t="n">
        <x:v>79</x:v>
      </x:c>
      <x:c r="E218" s="10" t="n">
        <x:v>2</x:v>
      </x:c>
      <x:c r="F218" s="12" t="n">
        <x:v>0.46875</x:v>
      </x:c>
      <x:c r="G218" s="12" t="n">
        <x:v>0.4722222222222222</x:v>
      </x:c>
      <x:c r="H218" s="10" t="str">
        <x:v>7A</x:v>
      </x:c>
      <x:c r="I218" s="12" t="n">
        <x:v>0.4722222222222222</x:v>
      </x:c>
      <x:c r="J218" s="12" t="n">
        <x:v>0.4965277777777778</x:v>
      </x:c>
      <x:c r="K218" s="2" t="str">
        <x:v>In house</x:v>
      </x:c>
      <x:c r="L218" s="2"/>
      <x:c r="M218" s="2"/>
      <x:c r="N218" s="14"/>
      <x:c r="O218" s="14"/>
    </x:row>
    <x:row r="219" ht="24" customHeight="1">
      <x:c r="A219" s="2" t="str">
        <x:v>153_80</x:v>
      </x:c>
      <x:c r="B219" s="10" t="str">
        <x:v>153</x:v>
      </x:c>
      <x:c r="C219" s="10" t="n">
        <x:v>81</x:v>
      </x:c>
      <x:c r="D219" s="10" t="n">
        <x:v>80</x:v>
      </x:c>
      <x:c r="E219" s="10" t="n">
        <x:v>2</x:v>
      </x:c>
      <x:c r="F219" s="12" t="n">
        <x:v>0.46875</x:v>
      </x:c>
      <x:c r="G219" s="12" t="n">
        <x:v>0.47430555555555554</x:v>
      </x:c>
      <x:c r="H219" s="10" t="str">
        <x:v>1B</x:v>
      </x:c>
      <x:c r="I219" s="12" t="n">
        <x:v>0.47430555555555554</x:v>
      </x:c>
      <x:c r="J219" s="12" t="n">
        <x:v>0.5138888888888888</x:v>
      </x:c>
      <x:c r="K219" s="2" t="str">
        <x:v>In house</x:v>
      </x:c>
      <x:c r="L219" s="2"/>
      <x:c r="M219" s="2"/>
      <x:c r="N219" s="14"/>
      <x:c r="O219" s="14"/>
    </x:row>
    <x:row r="220" ht="24" customHeight="1">
      <x:c r="A220" s="2" t="str">
        <x:v>153_81</x:v>
      </x:c>
      <x:c r="B220" s="10" t="str">
        <x:v>153</x:v>
      </x:c>
      <x:c r="C220" s="10" t="n">
        <x:v>82</x:v>
      </x:c>
      <x:c r="D220" s="10" t="n">
        <x:v>81</x:v>
      </x:c>
      <x:c r="E220" s="10" t="n">
        <x:v>2</x:v>
      </x:c>
      <x:c r="F220" s="12"/>
      <x:c r="G220" s="12"/>
      <x:c r="H220" s="10" t="n">
        <x:v>12</x:v>
      </x:c>
      <x:c r="I220" s="12" t="n">
        <x:v>0.4666666666666667</x:v>
      </x:c>
      <x:c r="J220" s="12" t="n">
        <x:v>0.5208333333333334</x:v>
      </x:c>
      <x:c r="K220" s="2" t="str">
        <x:v>In house</x:v>
      </x:c>
      <x:c r="L220" s="2"/>
      <x:c r="M220" s="2"/>
      <x:c r="N220" s="14"/>
      <x:c r="O220" s="14"/>
    </x:row>
    <x:row r="221" ht="24" customHeight="1">
      <x:c r="A221" s="2" t="str">
        <x:v>153_82</x:v>
      </x:c>
      <x:c r="B221" s="10" t="str">
        <x:v>153</x:v>
      </x:c>
      <x:c r="C221" s="10" t="n">
        <x:v>83</x:v>
      </x:c>
      <x:c r="D221" s="10" t="n">
        <x:v>82</x:v>
      </x:c>
      <x:c r="E221" s="10" t="n">
        <x:v>1</x:v>
      </x:c>
      <x:c r="F221" s="12"/>
      <x:c r="G221" s="12"/>
      <x:c r="H221" s="10" t="n">
        <x:v>12</x:v>
      </x:c>
      <x:c r="I221" s="12" t="n">
        <x:v>0.4756944444444444</x:v>
      </x:c>
      <x:c r="J221" s="12" t="n">
        <x:v>0.5</x:v>
      </x:c>
      <x:c r="K221" s="2" t="str">
        <x:v>In house</x:v>
      </x:c>
      <x:c r="L221" s="2"/>
      <x:c r="M221" s="2"/>
      <x:c r="N221" s="14"/>
      <x:c r="O221" s="14"/>
    </x:row>
    <x:row r="222" ht="24" customHeight="1">
      <x:c r="A222" s="2" t="str">
        <x:v>153_83</x:v>
      </x:c>
      <x:c r="B222" s="10" t="str">
        <x:v>153</x:v>
      </x:c>
      <x:c r="C222" s="10" t="n">
        <x:v>84</x:v>
      </x:c>
      <x:c r="D222" s="10" t="n">
        <x:v>83</x:v>
      </x:c>
      <x:c r="E222" s="10" t="n">
        <x:v>1</x:v>
      </x:c>
      <x:c r="F222" s="12" t="n">
        <x:v>0.4756944444444444</x:v>
      </x:c>
      <x:c r="G222" s="12" t="n">
        <x:v>0.47708333333333336</x:v>
      </x:c>
      <x:c r="H222" s="10" t="str">
        <x:v>15B</x:v>
      </x:c>
      <x:c r="I222" s="12" t="n">
        <x:v>0.47708333333333336</x:v>
      </x:c>
      <x:c r="J222" s="12" t="n">
        <x:v>0.5</x:v>
      </x:c>
      <x:c r="K222" s="2" t="str">
        <x:v>In house</x:v>
      </x:c>
      <x:c r="L222" s="2"/>
      <x:c r="M222" s="2"/>
      <x:c r="N222" s="14"/>
      <x:c r="O222" s="14"/>
    </x:row>
    <x:row r="223" ht="24" customHeight="1">
      <x:c r="A223" s="2" t="str">
        <x:v>153_84</x:v>
      </x:c>
      <x:c r="B223" s="10" t="str">
        <x:v>153</x:v>
      </x:c>
      <x:c r="C223" s="10" t="n">
        <x:v>85</x:v>
      </x:c>
      <x:c r="D223" s="10" t="n">
        <x:v>84</x:v>
      </x:c>
      <x:c r="E223" s="10" t="n">
        <x:v>1</x:v>
      </x:c>
      <x:c r="F223" s="12"/>
      <x:c r="G223" s="12"/>
      <x:c r="H223" s="10" t="str">
        <x:v>4B</x:v>
      </x:c>
      <x:c r="I223" s="12" t="n">
        <x:v>0.4791666666666667</x:v>
      </x:c>
      <x:c r="J223" s="12" t="n">
        <x:v>0.5104166666666666</x:v>
      </x:c>
      <x:c r="K223" s="2" t="str">
        <x:v>In house</x:v>
      </x:c>
      <x:c r="L223" s="2"/>
      <x:c r="M223" s="2"/>
      <x:c r="N223" s="14"/>
      <x:c r="O223" s="14"/>
    </x:row>
    <x:row r="224" ht="24" customHeight="1">
      <x:c r="A224" s="2" t="str">
        <x:v>153_85</x:v>
      </x:c>
      <x:c r="B224" s="10" t="str">
        <x:v>153</x:v>
      </x:c>
      <x:c r="C224" s="10" t="n">
        <x:v>86</x:v>
      </x:c>
      <x:c r="D224" s="10" t="n">
        <x:v>85</x:v>
      </x:c>
      <x:c r="E224" s="10" t="n">
        <x:v>1</x:v>
      </x:c>
      <x:c r="F224" s="12"/>
      <x:c r="G224" s="12"/>
      <x:c r="H224" s="10" t="n">
        <x:v>12</x:v>
      </x:c>
      <x:c r="I224" s="12" t="n">
        <x:v>0.4861111111111111</x:v>
      </x:c>
      <x:c r="J224" s="12" t="n">
        <x:v>0.5208333333333334</x:v>
      </x:c>
      <x:c r="K224" s="2" t="str">
        <x:v>Walk in</x:v>
      </x:c>
      <x:c r="L224" s="2"/>
      <x:c r="M224" s="2"/>
      <x:c r="N224" s="14"/>
      <x:c r="O224" s="14"/>
    </x:row>
    <x:row r="225" ht="24" customHeight="1">
      <x:c r="A225" s="2" t="str">
        <x:v>153_86</x:v>
      </x:c>
      <x:c r="B225" s="10" t="str">
        <x:v>153</x:v>
      </x:c>
      <x:c r="C225" s="10" t="n">
        <x:v>87</x:v>
      </x:c>
      <x:c r="D225" s="10" t="n">
        <x:v>86</x:v>
      </x:c>
      <x:c r="E225" s="10" t="n">
        <x:v>1</x:v>
      </x:c>
      <x:c r="F225" s="12"/>
      <x:c r="G225" s="12"/>
      <x:c r="H225" s="10" t="n">
        <x:v>16</x:v>
      </x:c>
      <x:c r="I225" s="12" t="n">
        <x:v>0.4895833333333333</x:v>
      </x:c>
      <x:c r="J225" s="12" t="n">
        <x:v>0.5208333333333334</x:v>
      </x:c>
      <x:c r="K225" s="2" t="str">
        <x:v>In house</x:v>
      </x:c>
      <x:c r="L225" s="2"/>
      <x:c r="M225" s="2"/>
      <x:c r="N225" s="14"/>
      <x:c r="O225" s="14"/>
    </x:row>
    <x:row r="226" ht="24" customHeight="1">
      <x:c r="A226" s="2" t="str">
        <x:v>173_1</x:v>
      </x:c>
      <x:c r="B226" s="10" t="str">
        <x:v>173</x:v>
      </x:c>
      <x:c r="C226" s="10" t="n">
        <x:v>2</x:v>
      </x:c>
      <x:c r="D226" s="10" t="n">
        <x:v>1</x:v>
      </x:c>
      <x:c r="E226" s="10" t="n">
        <x:v>1</x:v>
      </x:c>
      <x:c r="F226" s="12"/>
      <x:c r="G226" s="12"/>
      <x:c r="H226" s="10" t="str">
        <x:v>10A</x:v>
      </x:c>
      <x:c r="I226" s="12" t="n">
        <x:v>0.275</x:v>
      </x:c>
      <x:c r="J226" s="12" t="n">
        <x:v>0.3875</x:v>
      </x:c>
      <x:c r="K226" s="2" t="str">
        <x:v>Walk in</x:v>
      </x:c>
      <x:c r="L226" s="2"/>
      <x:c r="M226" s="2"/>
      <x:c r="N226" s="14"/>
      <x:c r="O226" s="14"/>
    </x:row>
    <x:row r="227" ht="24" customHeight="1">
      <x:c r="A227" s="2" t="str">
        <x:v>173_2</x:v>
      </x:c>
      <x:c r="B227" s="10" t="str">
        <x:v>173</x:v>
      </x:c>
      <x:c r="C227" s="10" t="n">
        <x:v>3</x:v>
      </x:c>
      <x:c r="D227" s="10" t="n">
        <x:v>2</x:v>
      </x:c>
      <x:c r="E227" s="10" t="n">
        <x:v>2</x:v>
      </x:c>
      <x:c r="F227" s="12"/>
      <x:c r="G227" s="12"/>
      <x:c r="H227" s="10" t="n">
        <x:v>5</x:v>
      </x:c>
      <x:c r="I227" s="12" t="n">
        <x:v>0.27569444444444446</x:v>
      </x:c>
      <x:c r="J227" s="12" t="n">
        <x:v>0.32430555555555557</x:v>
      </x:c>
      <x:c r="K227" s="2" t="str">
        <x:v>Walk in</x:v>
      </x:c>
      <x:c r="L227" s="2"/>
      <x:c r="M227" s="2"/>
      <x:c r="N227" s="14"/>
      <x:c r="O227" s="14"/>
    </x:row>
    <x:row r="228" ht="24" customHeight="1">
      <x:c r="A228" s="2" t="str">
        <x:v>173_3</x:v>
      </x:c>
      <x:c r="B228" s="10" t="str">
        <x:v>173</x:v>
      </x:c>
      <x:c r="C228" s="10" t="n">
        <x:v>4</x:v>
      </x:c>
      <x:c r="D228" s="10" t="n">
        <x:v>3</x:v>
      </x:c>
      <x:c r="E228" s="10" t="n">
        <x:v>1</x:v>
      </x:c>
      <x:c r="F228" s="12"/>
      <x:c r="G228" s="12"/>
      <x:c r="H228" s="10" t="str">
        <x:v>6B</x:v>
      </x:c>
      <x:c r="I228" s="12" t="n">
        <x:v>0.2777777777777778</x:v>
      </x:c>
      <x:c r="J228" s="12" t="n">
        <x:v>0.375</x:v>
      </x:c>
      <x:c r="K228" s="2" t="str">
        <x:v>Walk in</x:v>
      </x:c>
      <x:c r="L228" s="2"/>
      <x:c r="M228" s="2"/>
      <x:c r="N228" s="14"/>
      <x:c r="O228" s="14"/>
    </x:row>
    <x:row r="229" ht="24" customHeight="1">
      <x:c r="A229" s="2" t="str">
        <x:v>173_4</x:v>
      </x:c>
      <x:c r="B229" s="10" t="str">
        <x:v>173</x:v>
      </x:c>
      <x:c r="C229" s="10" t="n">
        <x:v>5</x:v>
      </x:c>
      <x:c r="D229" s="10" t="n">
        <x:v>4</x:v>
      </x:c>
      <x:c r="E229" s="10" t="n">
        <x:v>1</x:v>
      </x:c>
      <x:c r="F229" s="12"/>
      <x:c r="G229" s="12"/>
      <x:c r="H229" s="10" t="n">
        <x:v>16</x:v>
      </x:c>
      <x:c r="I229" s="12" t="n">
        <x:v>0.27847222222222223</x:v>
      </x:c>
      <x:c r="J229" s="12" t="n">
        <x:v>0.30625</x:v>
      </x:c>
      <x:c r="K229" s="2" t="str">
        <x:v>In house</x:v>
      </x:c>
      <x:c r="L229" s="2"/>
      <x:c r="M229" s="2"/>
      <x:c r="N229" s="14"/>
      <x:c r="O229" s="14"/>
    </x:row>
    <x:row r="230" ht="24" customHeight="1">
      <x:c r="A230" s="2" t="str">
        <x:v>173_5</x:v>
      </x:c>
      <x:c r="B230" s="10" t="str">
        <x:v>173</x:v>
      </x:c>
      <x:c r="C230" s="10" t="n">
        <x:v>6</x:v>
      </x:c>
      <x:c r="D230" s="10" t="n">
        <x:v>5</x:v>
      </x:c>
      <x:c r="E230" s="10" t="n">
        <x:v>2</x:v>
      </x:c>
      <x:c r="F230" s="12"/>
      <x:c r="G230" s="12"/>
      <x:c r="H230" s="10" t="str">
        <x:v>7A</x:v>
      </x:c>
      <x:c r="I230" s="12" t="n">
        <x:v>0.2861111111111111</x:v>
      </x:c>
      <x:c r="J230" s="12" t="n">
        <x:v>0.32916666666666666</x:v>
      </x:c>
      <x:c r="K230" s="2" t="str">
        <x:v>Walk in</x:v>
      </x:c>
      <x:c r="L230" s="2"/>
      <x:c r="M230" s="2"/>
      <x:c r="N230" s="14"/>
      <x:c r="O230" s="14"/>
    </x:row>
    <x:row r="231" ht="24" customHeight="1">
      <x:c r="A231" s="2" t="str">
        <x:v>173_6</x:v>
      </x:c>
      <x:c r="B231" s="10" t="str">
        <x:v>173</x:v>
      </x:c>
      <x:c r="C231" s="10" t="n">
        <x:v>7</x:v>
      </x:c>
      <x:c r="D231" s="10" t="n">
        <x:v>6</x:v>
      </x:c>
      <x:c r="E231" s="10" t="n">
        <x:v>1</x:v>
      </x:c>
      <x:c r="F231" s="12"/>
      <x:c r="G231" s="12"/>
      <x:c r="H231" s="10" t="str">
        <x:v>1A</x:v>
      </x:c>
      <x:c r="I231" s="12" t="n">
        <x:v>0.2902777777777778</x:v>
      </x:c>
      <x:c r="J231" s="12" t="n">
        <x:v>0.32916666666666666</x:v>
      </x:c>
      <x:c r="K231" s="2" t="str">
        <x:v>Walk in</x:v>
      </x:c>
      <x:c r="L231" s="2"/>
      <x:c r="M231" s="2"/>
      <x:c r="N231" s="14"/>
      <x:c r="O231" s="14"/>
    </x:row>
    <x:row r="232" ht="24" customHeight="1">
      <x:c r="A232" s="2" t="str">
        <x:v>173_7</x:v>
      </x:c>
      <x:c r="B232" s="10" t="str">
        <x:v>173</x:v>
      </x:c>
      <x:c r="C232" s="10" t="n">
        <x:v>8</x:v>
      </x:c>
      <x:c r="D232" s="10" t="n">
        <x:v>7</x:v>
      </x:c>
      <x:c r="E232" s="10" t="n">
        <x:v>1</x:v>
      </x:c>
      <x:c r="F232" s="12"/>
      <x:c r="G232" s="12"/>
      <x:c r="H232" s="10" t="str">
        <x:v>1B</x:v>
      </x:c>
      <x:c r="I232" s="12" t="n">
        <x:v>0.2916666666666667</x:v>
      </x:c>
      <x:c r="J232" s="12" t="n">
        <x:v>0.3076388888888889</x:v>
      </x:c>
      <x:c r="K232" s="2" t="str">
        <x:v>In house</x:v>
      </x:c>
      <x:c r="L232" s="2"/>
      <x:c r="M232" s="2"/>
      <x:c r="N232" s="14"/>
      <x:c r="O232" s="14"/>
    </x:row>
    <x:row r="233" ht="24" customHeight="1">
      <x:c r="A233" s="2" t="str">
        <x:v>173_8</x:v>
      </x:c>
      <x:c r="B233" s="10" t="str">
        <x:v>173</x:v>
      </x:c>
      <x:c r="C233" s="10" t="n">
        <x:v>9</x:v>
      </x:c>
      <x:c r="D233" s="10" t="n">
        <x:v>8</x:v>
      </x:c>
      <x:c r="E233" s="10" t="n">
        <x:v>4</x:v>
      </x:c>
      <x:c r="F233" s="12"/>
      <x:c r="G233" s="12"/>
      <x:c r="H233" s="10" t="n">
        <x:v>4</x:v>
      </x:c>
      <x:c r="I233" s="12" t="n">
        <x:v>0.2916666666666667</x:v>
      </x:c>
      <x:c r="J233" s="12" t="n">
        <x:v>0.35694444444444445</x:v>
      </x:c>
      <x:c r="K233" s="2" t="str">
        <x:v>In house</x:v>
      </x:c>
      <x:c r="L233" s="2"/>
      <x:c r="M233" s="2"/>
      <x:c r="N233" s="14"/>
      <x:c r="O233" s="14"/>
    </x:row>
    <x:row r="234" ht="24" customHeight="1">
      <x:c r="A234" s="2" t="str">
        <x:v>173_9</x:v>
      </x:c>
      <x:c r="B234" s="10" t="str">
        <x:v>173</x:v>
      </x:c>
      <x:c r="C234" s="10" t="n">
        <x:v>10</x:v>
      </x:c>
      <x:c r="D234" s="10" t="n">
        <x:v>9</x:v>
      </x:c>
      <x:c r="E234" s="10" t="n">
        <x:v>1</x:v>
      </x:c>
      <x:c r="F234" s="12"/>
      <x:c r="G234" s="12"/>
      <x:c r="H234" s="10" t="str">
        <x:v>8A</x:v>
      </x:c>
      <x:c r="I234" s="12" t="n">
        <x:v>0.2951388888888889</x:v>
      </x:c>
      <x:c r="J234" s="12" t="n">
        <x:v>0.3125</x:v>
      </x:c>
      <x:c r="K234" s="2" t="str">
        <x:v>In house</x:v>
      </x:c>
      <x:c r="L234" s="2"/>
      <x:c r="M234" s="2"/>
      <x:c r="N234" s="14"/>
      <x:c r="O234" s="14"/>
    </x:row>
    <x:row r="235" ht="24" customHeight="1">
      <x:c r="A235" s="2" t="str">
        <x:v>173_10</x:v>
      </x:c>
      <x:c r="B235" s="10" t="str">
        <x:v>173</x:v>
      </x:c>
      <x:c r="C235" s="10" t="n">
        <x:v>11</x:v>
      </x:c>
      <x:c r="D235" s="10" t="n">
        <x:v>10</x:v>
      </x:c>
      <x:c r="E235" s="10" t="n">
        <x:v>1</x:v>
      </x:c>
      <x:c r="F235" s="12"/>
      <x:c r="G235" s="12"/>
      <x:c r="H235" s="10" t="str">
        <x:v>7B</x:v>
      </x:c>
      <x:c r="I235" s="12" t="n">
        <x:v>0.3</x:v>
      </x:c>
      <x:c r="J235" s="12" t="n">
        <x:v>0.31666666666666665</x:v>
      </x:c>
      <x:c r="K235" s="2" t="str">
        <x:v>In house</x:v>
      </x:c>
      <x:c r="L235" s="2"/>
      <x:c r="M235" s="2"/>
      <x:c r="N235" s="14"/>
      <x:c r="O235" s="14"/>
    </x:row>
    <x:row r="236" ht="24" customHeight="1">
      <x:c r="A236" s="2" t="str">
        <x:v>173_11</x:v>
      </x:c>
      <x:c r="B236" s="10" t="str">
        <x:v>173</x:v>
      </x:c>
      <x:c r="C236" s="10" t="n">
        <x:v>12</x:v>
      </x:c>
      <x:c r="D236" s="10" t="n">
        <x:v>11</x:v>
      </x:c>
      <x:c r="E236" s="10" t="n">
        <x:v>2</x:v>
      </x:c>
      <x:c r="F236" s="12"/>
      <x:c r="G236" s="12"/>
      <x:c r="H236" s="10" t="str">
        <x:v>8B</x:v>
      </x:c>
      <x:c r="I236" s="12" t="n">
        <x:v>0.30069444444444443</x:v>
      </x:c>
      <x:c r="J236" s="12" t="n">
        <x:v>0.33055555555555555</x:v>
      </x:c>
      <x:c r="K236" s="2" t="str">
        <x:v>In house</x:v>
      </x:c>
      <x:c r="L236" s="2"/>
      <x:c r="M236" s="2"/>
      <x:c r="N236" s="14"/>
      <x:c r="O236" s="14"/>
    </x:row>
    <x:row r="237" ht="24" customHeight="1">
      <x:c r="A237" s="2" t="str">
        <x:v>173_12</x:v>
      </x:c>
      <x:c r="B237" s="10" t="str">
        <x:v>173</x:v>
      </x:c>
      <x:c r="C237" s="10" t="n">
        <x:v>13</x:v>
      </x:c>
      <x:c r="D237" s="10" t="n">
        <x:v>12</x:v>
      </x:c>
      <x:c r="E237" s="10" t="n">
        <x:v>2</x:v>
      </x:c>
      <x:c r="F237" s="12"/>
      <x:c r="G237" s="12"/>
      <x:c r="H237" s="10" t="n">
        <x:v>12</x:v>
      </x:c>
      <x:c r="I237" s="12" t="n">
        <x:v>0.3020833333333333</x:v>
      </x:c>
      <x:c r="J237" s="12" t="n">
        <x:v>0.32083333333333336</x:v>
      </x:c>
      <x:c r="K237" s="2" t="str">
        <x:v>In house</x:v>
      </x:c>
      <x:c r="L237" s="2"/>
      <x:c r="M237" s="2"/>
      <x:c r="N237" s="14"/>
      <x:c r="O237" s="14"/>
    </x:row>
    <x:row r="238" ht="24" customHeight="1">
      <x:c r="A238" s="2" t="str">
        <x:v>173_13</x:v>
      </x:c>
      <x:c r="B238" s="10" t="str">
        <x:v>173</x:v>
      </x:c>
      <x:c r="C238" s="10" t="n">
        <x:v>14</x:v>
      </x:c>
      <x:c r="D238" s="10" t="n">
        <x:v>13</x:v>
      </x:c>
      <x:c r="E238" s="10" t="n">
        <x:v>2</x:v>
      </x:c>
      <x:c r="F238" s="12"/>
      <x:c r="G238" s="12"/>
      <x:c r="H238" s="10" t="n">
        <x:v>4</x:v>
      </x:c>
      <x:c r="I238" s="12" t="n">
        <x:v>0.3055555555555556</x:v>
      </x:c>
      <x:c r="J238" s="12" t="n">
        <x:v>0.33055555555555555</x:v>
      </x:c>
      <x:c r="K238" s="2" t="str">
        <x:v>In house</x:v>
      </x:c>
      <x:c r="L238" s="2"/>
      <x:c r="M238" s="2"/>
      <x:c r="N238" s="14"/>
      <x:c r="O238" s="14"/>
    </x:row>
    <x:row r="239" ht="24" customHeight="1">
      <x:c r="A239" s="2" t="str">
        <x:v>173_14</x:v>
      </x:c>
      <x:c r="B239" s="10" t="str">
        <x:v>173</x:v>
      </x:c>
      <x:c r="C239" s="10" t="n">
        <x:v>15</x:v>
      </x:c>
      <x:c r="D239" s="10" t="n">
        <x:v>14</x:v>
      </x:c>
      <x:c r="E239" s="10" t="n">
        <x:v>1</x:v>
      </x:c>
      <x:c r="F239" s="12"/>
      <x:c r="G239" s="12"/>
      <x:c r="H239" s="10" t="str">
        <x:v>11A</x:v>
      </x:c>
      <x:c r="I239" s="12" t="n">
        <x:v>0.3125</x:v>
      </x:c>
      <x:c r="J239" s="12" t="n">
        <x:v>0.3576388888888889</x:v>
      </x:c>
      <x:c r="K239" s="2" t="str">
        <x:v>Walk in</x:v>
      </x:c>
      <x:c r="L239" s="2"/>
      <x:c r="M239" s="2"/>
      <x:c r="N239" s="14"/>
      <x:c r="O239" s="14"/>
    </x:row>
    <x:row r="240" ht="24" customHeight="1">
      <x:c r="A240" s="2" t="str">
        <x:v>173_15</x:v>
      </x:c>
      <x:c r="B240" s="10" t="str">
        <x:v>173</x:v>
      </x:c>
      <x:c r="C240" s="10" t="n">
        <x:v>16</x:v>
      </x:c>
      <x:c r="D240" s="10" t="n">
        <x:v>15</x:v>
      </x:c>
      <x:c r="E240" s="10" t="n">
        <x:v>1</x:v>
      </x:c>
      <x:c r="F240" s="12"/>
      <x:c r="G240" s="12"/>
      <x:c r="H240" s="10" t="n">
        <x:v>3</x:v>
      </x:c>
      <x:c r="I240" s="12" t="n">
        <x:v>0.3125</x:v>
      </x:c>
      <x:c r="J240" s="12" t="n">
        <x:v>0.32013888888888886</x:v>
      </x:c>
      <x:c r="K240" s="2" t="str">
        <x:v>In house</x:v>
      </x:c>
      <x:c r="L240" s="2"/>
      <x:c r="M240" s="2"/>
      <x:c r="N240" s="14"/>
      <x:c r="O240" s="14"/>
    </x:row>
    <x:row r="241" ht="24" customHeight="1">
      <x:c r="A241" s="2" t="str">
        <x:v>173_16</x:v>
      </x:c>
      <x:c r="B241" s="10" t="str">
        <x:v>173</x:v>
      </x:c>
      <x:c r="C241" s="10" t="n">
        <x:v>17</x:v>
      </x:c>
      <x:c r="D241" s="10" t="n">
        <x:v>16</x:v>
      </x:c>
      <x:c r="E241" s="10" t="n">
        <x:v>2</x:v>
      </x:c>
      <x:c r="F241" s="12"/>
      <x:c r="G241" s="12"/>
      <x:c r="H241" s="10" t="str">
        <x:v>1B</x:v>
      </x:c>
      <x:c r="I241" s="12" t="n">
        <x:v>0.31666666666666665</x:v>
      </x:c>
      <x:c r="J241" s="12" t="n">
        <x:v>0.33055555555555555</x:v>
      </x:c>
      <x:c r="K241" s="2" t="str">
        <x:v>Walk in</x:v>
      </x:c>
      <x:c r="L241" s="2"/>
      <x:c r="M241" s="2"/>
      <x:c r="N241" s="14"/>
      <x:c r="O241" s="14"/>
    </x:row>
    <x:row r="242" ht="24" customHeight="1">
      <x:c r="A242" s="2" t="str">
        <x:v>173_17</x:v>
      </x:c>
      <x:c r="B242" s="10" t="str">
        <x:v>173</x:v>
      </x:c>
      <x:c r="C242" s="10" t="n">
        <x:v>18</x:v>
      </x:c>
      <x:c r="D242" s="10" t="n">
        <x:v>17</x:v>
      </x:c>
      <x:c r="E242" s="10" t="n">
        <x:v>1</x:v>
      </x:c>
      <x:c r="F242" s="12"/>
      <x:c r="G242" s="12"/>
      <x:c r="H242" s="10" t="str">
        <x:v>8A</x:v>
      </x:c>
      <x:c r="I242" s="12" t="n">
        <x:v>0.3159722222222222</x:v>
      </x:c>
      <x:c r="J242" s="12" t="n">
        <x:v>0.3347222222222222</x:v>
      </x:c>
      <x:c r="K242" s="2" t="str">
        <x:v>In house</x:v>
      </x:c>
      <x:c r="L242" s="2"/>
      <x:c r="M242" s="2"/>
      <x:c r="N242" s="14"/>
      <x:c r="O242" s="14"/>
    </x:row>
    <x:row r="243" ht="24" customHeight="1">
      <x:c r="A243" s="2" t="str">
        <x:v>173_18</x:v>
      </x:c>
      <x:c r="B243" s="10" t="str">
        <x:v>173</x:v>
      </x:c>
      <x:c r="C243" s="10" t="n">
        <x:v>19</x:v>
      </x:c>
      <x:c r="D243" s="10" t="n">
        <x:v>18</x:v>
      </x:c>
      <x:c r="E243" s="10" t="n">
        <x:v>1</x:v>
      </x:c>
      <x:c r="F243" s="12"/>
      <x:c r="G243" s="12"/>
      <x:c r="H243" s="10" t="n">
        <x:v>16</x:v>
      </x:c>
      <x:c r="I243" s="12" t="n">
        <x:v>0.3173611111111111</x:v>
      </x:c>
      <x:c r="J243" s="12" t="n">
        <x:v>0.3680555555555556</x:v>
      </x:c>
      <x:c r="K243" s="2" t="str">
        <x:v>Walk in</x:v>
      </x:c>
      <x:c r="L243" s="2"/>
      <x:c r="M243" s="2"/>
      <x:c r="N243" s="14"/>
      <x:c r="O243" s="14"/>
    </x:row>
    <x:row r="244" ht="24" customHeight="1">
      <x:c r="A244" s="2" t="str">
        <x:v>173_19</x:v>
      </x:c>
      <x:c r="B244" s="10" t="str">
        <x:v>173</x:v>
      </x:c>
      <x:c r="C244" s="10" t="n">
        <x:v>20</x:v>
      </x:c>
      <x:c r="D244" s="10" t="n">
        <x:v>19</x:v>
      </x:c>
      <x:c r="E244" s="10" t="n">
        <x:v>2</x:v>
      </x:c>
      <x:c r="F244" s="12"/>
      <x:c r="G244" s="12"/>
      <x:c r="H244" s="10" t="n">
        <x:v>6</x:v>
      </x:c>
      <x:c r="I244" s="12" t="n">
        <x:v>0.3194444444444444</x:v>
      </x:c>
      <x:c r="J244" s="12" t="n">
        <x:v>0.4722222222222222</x:v>
      </x:c>
      <x:c r="K244" s="2" t="str">
        <x:v>Walk in</x:v>
      </x:c>
      <x:c r="L244" s="2"/>
      <x:c r="M244" s="2"/>
      <x:c r="N244" s="14"/>
      <x:c r="O244" s="14"/>
    </x:row>
    <x:row r="245" ht="24" customHeight="1">
      <x:c r="A245" s="2" t="str">
        <x:v>173_20</x:v>
      </x:c>
      <x:c r="B245" s="10" t="str">
        <x:v>173</x:v>
      </x:c>
      <x:c r="C245" s="10" t="n">
        <x:v>21</x:v>
      </x:c>
      <x:c r="D245" s="10" t="n">
        <x:v>20</x:v>
      </x:c>
      <x:c r="E245" s="10" t="n">
        <x:v>1</x:v>
      </x:c>
      <x:c r="F245" s="12"/>
      <x:c r="G245" s="12"/>
      <x:c r="H245" s="10" t="str">
        <x:v>7B</x:v>
      </x:c>
      <x:c r="I245" s="12" t="n">
        <x:v>0.3194444444444444</x:v>
      </x:c>
      <x:c r="J245" s="12" t="n">
        <x:v>0.3923611111111111</x:v>
      </x:c>
      <x:c r="K245" s="2" t="str">
        <x:v>Walk in</x:v>
      </x:c>
      <x:c r="L245" s="2"/>
      <x:c r="M245" s="2"/>
      <x:c r="N245" s="14"/>
      <x:c r="O245" s="14"/>
    </x:row>
    <x:row r="246" ht="24" customHeight="1">
      <x:c r="A246" s="2" t="str">
        <x:v>173_21</x:v>
      </x:c>
      <x:c r="B246" s="10" t="str">
        <x:v>173</x:v>
      </x:c>
      <x:c r="C246" s="10" t="n">
        <x:v>22</x:v>
      </x:c>
      <x:c r="D246" s="10" t="n">
        <x:v>21</x:v>
      </x:c>
      <x:c r="E246" s="10" t="n">
        <x:v>1</x:v>
      </x:c>
      <x:c r="F246" s="12"/>
      <x:c r="G246" s="12"/>
      <x:c r="H246" s="10" t="str">
        <x:v>7C</x:v>
      </x:c>
      <x:c r="I246" s="12" t="n">
        <x:v>0.32013888888888886</x:v>
      </x:c>
      <x:c r="J246" s="12" t="n">
        <x:v>0.3326388888888889</x:v>
      </x:c>
      <x:c r="K246" s="2" t="str">
        <x:v>In house</x:v>
      </x:c>
      <x:c r="L246" s="2"/>
      <x:c r="M246" s="2"/>
      <x:c r="N246" s="14"/>
      <x:c r="O246" s="14"/>
    </x:row>
    <x:row r="247" ht="24" customHeight="1">
      <x:c r="A247" s="2" t="str">
        <x:v>173_22</x:v>
      </x:c>
      <x:c r="B247" s="10" t="str">
        <x:v>173</x:v>
      </x:c>
      <x:c r="C247" s="10" t="n">
        <x:v>23</x:v>
      </x:c>
      <x:c r="D247" s="10" t="n">
        <x:v>22</x:v>
      </x:c>
      <x:c r="E247" s="10" t="n">
        <x:v>1</x:v>
      </x:c>
      <x:c r="F247" s="12"/>
      <x:c r="G247" s="12"/>
      <x:c r="H247" s="10" t="n">
        <x:v>12</x:v>
      </x:c>
      <x:c r="I247" s="12" t="n">
        <x:v>0.3236111111111111</x:v>
      </x:c>
      <x:c r="J247" s="12" t="n">
        <x:v>0.33055555555555555</x:v>
      </x:c>
      <x:c r="K247" s="2" t="str">
        <x:v>In house</x:v>
      </x:c>
      <x:c r="L247" s="2"/>
      <x:c r="M247" s="2"/>
      <x:c r="N247" s="14"/>
      <x:c r="O247" s="14"/>
    </x:row>
    <x:row r="248" ht="24" customHeight="1">
      <x:c r="A248" s="2" t="str">
        <x:v>173_23</x:v>
      </x:c>
      <x:c r="B248" s="10" t="str">
        <x:v>173</x:v>
      </x:c>
      <x:c r="C248" s="10" t="n">
        <x:v>24</x:v>
      </x:c>
      <x:c r="D248" s="10" t="n">
        <x:v>23</x:v>
      </x:c>
      <x:c r="E248" s="10" t="n">
        <x:v>2</x:v>
      </x:c>
      <x:c r="F248" s="12"/>
      <x:c r="G248" s="12"/>
      <x:c r="H248" s="10" t="n">
        <x:v>3</x:v>
      </x:c>
      <x:c r="I248" s="12" t="n">
        <x:v>0.325</x:v>
      </x:c>
      <x:c r="J248" s="12" t="n">
        <x:v>0.36527777777777776</x:v>
      </x:c>
      <x:c r="K248" s="2" t="str">
        <x:v>In house</x:v>
      </x:c>
      <x:c r="L248" s="2"/>
      <x:c r="M248" s="2"/>
      <x:c r="N248" s="14"/>
      <x:c r="O248" s="14"/>
    </x:row>
    <x:row r="249" ht="24" customHeight="1">
      <x:c r="A249" s="2" t="str">
        <x:v>173_24</x:v>
      </x:c>
      <x:c r="B249" s="10" t="str">
        <x:v>173</x:v>
      </x:c>
      <x:c r="C249" s="10" t="n">
        <x:v>25</x:v>
      </x:c>
      <x:c r="D249" s="10" t="n">
        <x:v>24</x:v>
      </x:c>
      <x:c r="E249" s="10" t="n">
        <x:v>2</x:v>
      </x:c>
      <x:c r="F249" s="12"/>
      <x:c r="G249" s="12"/>
      <x:c r="H249" s="10" t="n">
        <x:v>14</x:v>
      </x:c>
      <x:c r="I249" s="12" t="n">
        <x:v>0.32708333333333334</x:v>
      </x:c>
      <x:c r="J249" s="12" t="n">
        <x:v>0.34791666666666665</x:v>
      </x:c>
      <x:c r="K249" s="2" t="str">
        <x:v>Walk in</x:v>
      </x:c>
      <x:c r="L249" s="2"/>
      <x:c r="M249" s="2"/>
      <x:c r="N249" s="14"/>
      <x:c r="O249" s="14"/>
    </x:row>
    <x:row r="250" ht="24" customHeight="1">
      <x:c r="A250" s="2" t="str">
        <x:v>173_25</x:v>
      </x:c>
      <x:c r="B250" s="10" t="str">
        <x:v>173</x:v>
      </x:c>
      <x:c r="C250" s="10" t="n">
        <x:v>26</x:v>
      </x:c>
      <x:c r="D250" s="10" t="n">
        <x:v>25</x:v>
      </x:c>
      <x:c r="E250" s="10" t="n">
        <x:v>6</x:v>
      </x:c>
      <x:c r="F250" s="12"/>
      <x:c r="G250" s="12"/>
      <x:c r="H250" s="10" t="n">
        <x:v>4</x:v>
      </x:c>
      <x:c r="I250" s="12" t="n">
        <x:v>0.33055555555555555</x:v>
      </x:c>
      <x:c r="J250" s="12" t="n">
        <x:v>0.37222222222222223</x:v>
      </x:c>
      <x:c r="K250" s="2" t="str">
        <x:v>Walk in</x:v>
      </x:c>
      <x:c r="L250" s="2"/>
      <x:c r="M250" s="2"/>
      <x:c r="N250" s="14"/>
      <x:c r="O250" s="14"/>
    </x:row>
    <x:row r="251" ht="24" customHeight="1">
      <x:c r="A251" s="2" t="str">
        <x:v>173_26</x:v>
      </x:c>
      <x:c r="B251" s="10" t="str">
        <x:v>173</x:v>
      </x:c>
      <x:c r="C251" s="10" t="n">
        <x:v>27</x:v>
      </x:c>
      <x:c r="D251" s="10" t="n">
        <x:v>26</x:v>
      </x:c>
      <x:c r="E251" s="10" t="n">
        <x:v>2</x:v>
      </x:c>
      <x:c r="F251" s="12"/>
      <x:c r="G251" s="12"/>
      <x:c r="H251" s="10" t="str">
        <x:v>1A</x:v>
      </x:c>
      <x:c r="I251" s="12" t="n">
        <x:v>0.3368055555555556</x:v>
      </x:c>
      <x:c r="J251" s="12" t="n">
        <x:v>0.37777777777777777</x:v>
      </x:c>
      <x:c r="K251" s="2" t="str">
        <x:v>Walk in</x:v>
      </x:c>
      <x:c r="L251" s="2"/>
      <x:c r="M251" s="2"/>
      <x:c r="N251" s="14"/>
      <x:c r="O251" s="14"/>
    </x:row>
    <x:row r="252" ht="24" customHeight="1">
      <x:c r="A252" s="2" t="str">
        <x:v>173_27</x:v>
      </x:c>
      <x:c r="B252" s="10" t="str">
        <x:v>173</x:v>
      </x:c>
      <x:c r="C252" s="10" t="n">
        <x:v>28</x:v>
      </x:c>
      <x:c r="D252" s="10" t="n">
        <x:v>27</x:v>
      </x:c>
      <x:c r="E252" s="10" t="n">
        <x:v>2</x:v>
      </x:c>
      <x:c r="F252" s="12"/>
      <x:c r="G252" s="12"/>
      <x:c r="H252" s="10" t="str">
        <x:v>8B</x:v>
      </x:c>
      <x:c r="I252" s="12" t="n">
        <x:v>0.3368055555555556</x:v>
      </x:c>
      <x:c r="J252" s="12" t="n">
        <x:v>0.36944444444444446</x:v>
      </x:c>
      <x:c r="K252" s="2" t="str">
        <x:v>In house</x:v>
      </x:c>
      <x:c r="L252" s="2"/>
      <x:c r="M252" s="2"/>
      <x:c r="N252" s="14"/>
      <x:c r="O252" s="14"/>
    </x:row>
    <x:row r="253" ht="24" customHeight="1">
      <x:c r="A253" s="2" t="str">
        <x:v>173_28</x:v>
      </x:c>
      <x:c r="B253" s="10" t="str">
        <x:v>173</x:v>
      </x:c>
      <x:c r="C253" s="10" t="n">
        <x:v>29</x:v>
      </x:c>
      <x:c r="D253" s="10" t="n">
        <x:v>28</x:v>
      </x:c>
      <x:c r="E253" s="10" t="n">
        <x:v>3</x:v>
      </x:c>
      <x:c r="F253" s="12"/>
      <x:c r="G253" s="12"/>
      <x:c r="H253" s="10" t="n">
        <x:v>9</x:v>
      </x:c>
      <x:c r="I253" s="12" t="n">
        <x:v>0.3375</x:v>
      </x:c>
      <x:c r="J253" s="12" t="n">
        <x:v>0.3701388888888889</x:v>
      </x:c>
      <x:c r="K253" s="2" t="str">
        <x:v>Walk in</x:v>
      </x:c>
      <x:c r="L253" s="2"/>
      <x:c r="M253" s="2"/>
      <x:c r="N253" s="14"/>
      <x:c r="O253" s="14"/>
    </x:row>
    <x:row r="254" ht="24" customHeight="1">
      <x:c r="A254" s="2" t="str">
        <x:v>173_29</x:v>
      </x:c>
      <x:c r="B254" s="10" t="str">
        <x:v>173</x:v>
      </x:c>
      <x:c r="C254" s="10" t="n">
        <x:v>30</x:v>
      </x:c>
      <x:c r="D254" s="10" t="n">
        <x:v>29</x:v>
      </x:c>
      <x:c r="E254" s="10" t="n">
        <x:v>1</x:v>
      </x:c>
      <x:c r="F254" s="12"/>
      <x:c r="G254" s="12"/>
      <x:c r="H254" s="10" t="str">
        <x:v>8A</x:v>
      </x:c>
      <x:c r="I254" s="12" t="n">
        <x:v>0.34444444444444444</x:v>
      </x:c>
      <x:c r="J254" s="12" t="n">
        <x:v>0.3951388888888889</x:v>
      </x:c>
      <x:c r="K254" s="2" t="str">
        <x:v>Walk in</x:v>
      </x:c>
      <x:c r="L254" s="2"/>
      <x:c r="M254" s="2"/>
      <x:c r="N254" s="14"/>
      <x:c r="O254" s="14"/>
    </x:row>
    <x:row r="255" ht="24" customHeight="1">
      <x:c r="A255" s="2" t="str">
        <x:v>173_30</x:v>
      </x:c>
      <x:c r="B255" s="10" t="str">
        <x:v>173</x:v>
      </x:c>
      <x:c r="C255" s="10" t="n">
        <x:v>31</x:v>
      </x:c>
      <x:c r="D255" s="10" t="n">
        <x:v>30</x:v>
      </x:c>
      <x:c r="E255" s="10" t="n">
        <x:v>2</x:v>
      </x:c>
      <x:c r="F255" s="12"/>
      <x:c r="G255" s="12"/>
      <x:c r="H255" s="10" t="n">
        <x:v>12</x:v>
      </x:c>
      <x:c r="I255" s="12" t="n">
        <x:v>0.34930555555555554</x:v>
      </x:c>
      <x:c r="J255" s="12" t="n">
        <x:v>0.3798611111111111</x:v>
      </x:c>
      <x:c r="K255" s="2" t="str">
        <x:v>In house</x:v>
      </x:c>
      <x:c r="L255" s="2"/>
      <x:c r="M255" s="2"/>
      <x:c r="N255" s="14"/>
      <x:c r="O255" s="14"/>
    </x:row>
    <x:row r="256" ht="24" customHeight="1">
      <x:c r="A256" s="2" t="str">
        <x:v>173_31</x:v>
      </x:c>
      <x:c r="B256" s="10" t="str">
        <x:v>173</x:v>
      </x:c>
      <x:c r="C256" s="10" t="n">
        <x:v>32</x:v>
      </x:c>
      <x:c r="D256" s="10" t="n">
        <x:v>31</x:v>
      </x:c>
      <x:c r="E256" s="10" t="n">
        <x:v>2</x:v>
      </x:c>
      <x:c r="F256" s="12"/>
      <x:c r="G256" s="12"/>
      <x:c r="H256" s="10" t="str">
        <x:v>1B</x:v>
      </x:c>
      <x:c r="I256" s="12" t="n">
        <x:v>0.35</x:v>
      </x:c>
      <x:c r="J256" s="12" t="n">
        <x:v>0.40902777777777777</x:v>
      </x:c>
      <x:c r="K256" s="2" t="str">
        <x:v>Walk in</x:v>
      </x:c>
      <x:c r="L256" s="2"/>
      <x:c r="M256" s="2"/>
      <x:c r="N256" s="14"/>
      <x:c r="O256" s="14"/>
    </x:row>
    <x:row r="257" ht="24" customHeight="1">
      <x:c r="A257" s="2" t="str">
        <x:v>173_32</x:v>
      </x:c>
      <x:c r="B257" s="10" t="str">
        <x:v>173</x:v>
      </x:c>
      <x:c r="C257" s="10" t="n">
        <x:v>33</x:v>
      </x:c>
      <x:c r="D257" s="10" t="n">
        <x:v>32</x:v>
      </x:c>
      <x:c r="E257" s="10" t="n">
        <x:v>1</x:v>
      </x:c>
      <x:c r="F257" s="12"/>
      <x:c r="G257" s="12"/>
      <x:c r="H257" s="10" t="str">
        <x:v>2B</x:v>
      </x:c>
      <x:c r="I257" s="12" t="n">
        <x:v>0.35625</x:v>
      </x:c>
      <x:c r="J257" s="12" t="n">
        <x:v>0.3840277777777778</x:v>
      </x:c>
      <x:c r="K257" s="2" t="str">
        <x:v>Walk in</x:v>
      </x:c>
      <x:c r="L257" s="2"/>
      <x:c r="M257" s="2"/>
      <x:c r="N257" s="14"/>
      <x:c r="O257" s="14"/>
    </x:row>
    <x:row r="258" ht="24" customHeight="1">
      <x:c r="A258" s="2" t="str">
        <x:v>173_33</x:v>
      </x:c>
      <x:c r="B258" s="10" t="str">
        <x:v>173</x:v>
      </x:c>
      <x:c r="C258" s="10" t="n">
        <x:v>34</x:v>
      </x:c>
      <x:c r="D258" s="10" t="n">
        <x:v>33</x:v>
      </x:c>
      <x:c r="E258" s="10" t="n">
        <x:v>2</x:v>
      </x:c>
      <x:c r="F258" s="12"/>
      <x:c r="G258" s="12"/>
      <x:c r="H258" s="10" t="str">
        <x:v>7A</x:v>
      </x:c>
      <x:c r="I258" s="12" t="n">
        <x:v>0.36319444444444443</x:v>
      </x:c>
      <x:c r="J258" s="12" t="n">
        <x:v>0.38958333333333334</x:v>
      </x:c>
      <x:c r="K258" s="2" t="str">
        <x:v>In house</x:v>
      </x:c>
      <x:c r="L258" s="2"/>
      <x:c r="M258" s="2"/>
      <x:c r="N258" s="14"/>
      <x:c r="O258" s="14"/>
    </x:row>
    <x:row r="259" ht="24" customHeight="1">
      <x:c r="A259" s="2" t="str">
        <x:v>173_34</x:v>
      </x:c>
      <x:c r="B259" s="10" t="str">
        <x:v>173</x:v>
      </x:c>
      <x:c r="C259" s="10" t="n">
        <x:v>35</x:v>
      </x:c>
      <x:c r="D259" s="10" t="n">
        <x:v>34</x:v>
      </x:c>
      <x:c r="E259" s="10" t="n">
        <x:v>2</x:v>
      </x:c>
      <x:c r="F259" s="12"/>
      <x:c r="G259" s="12"/>
      <x:c r="H259" s="10" t="n">
        <x:v>14</x:v>
      </x:c>
      <x:c r="I259" s="12" t="n">
        <x:v>0.36180555555555555</x:v>
      </x:c>
      <x:c r="J259" s="12" t="n">
        <x:v>0.39652777777777776</x:v>
      </x:c>
      <x:c r="K259" s="2" t="str">
        <x:v>Walk in</x:v>
      </x:c>
      <x:c r="L259" s="2"/>
      <x:c r="M259" s="2"/>
      <x:c r="N259" s="14"/>
      <x:c r="O259" s="14"/>
    </x:row>
    <x:row r="260" ht="24" customHeight="1">
      <x:c r="A260" s="2" t="str">
        <x:v>173_35</x:v>
      </x:c>
      <x:c r="B260" s="10" t="str">
        <x:v>173</x:v>
      </x:c>
      <x:c r="C260" s="10" t="n">
        <x:v>36</x:v>
      </x:c>
      <x:c r="D260" s="10" t="n">
        <x:v>35</x:v>
      </x:c>
      <x:c r="E260" s="10" t="n">
        <x:v>1</x:v>
      </x:c>
      <x:c r="F260" s="12"/>
      <x:c r="G260" s="12"/>
      <x:c r="H260" s="10" t="str">
        <x:v>8C</x:v>
      </x:c>
      <x:c r="I260" s="12" t="n">
        <x:v>0.36319444444444443</x:v>
      </x:c>
      <x:c r="J260" s="12" t="n">
        <x:v>0.3888888888888889</x:v>
      </x:c>
      <x:c r="K260" s="2" t="str">
        <x:v>Walk in</x:v>
      </x:c>
      <x:c r="L260" s="2"/>
      <x:c r="M260" s="2"/>
      <x:c r="N260" s="14"/>
      <x:c r="O260" s="14"/>
    </x:row>
    <x:row r="261" ht="24" customHeight="1">
      <x:c r="A261" s="2" t="str">
        <x:v>173_36</x:v>
      </x:c>
      <x:c r="B261" s="10" t="str">
        <x:v>173</x:v>
      </x:c>
      <x:c r="C261" s="10" t="n">
        <x:v>37</x:v>
      </x:c>
      <x:c r="D261" s="10" t="n">
        <x:v>36</x:v>
      </x:c>
      <x:c r="E261" s="10" t="n">
        <x:v>2</x:v>
      </x:c>
      <x:c r="F261" s="12"/>
      <x:c r="G261" s="12"/>
      <x:c r="H261" s="10" t="str">
        <x:v>11B</x:v>
      </x:c>
      <x:c r="I261" s="12" t="n">
        <x:v>0.3680555555555556</x:v>
      </x:c>
      <x:c r="J261" s="12" t="n">
        <x:v>0.3958333333333333</x:v>
      </x:c>
      <x:c r="K261" s="2" t="str">
        <x:v>In house</x:v>
      </x:c>
      <x:c r="L261" s="2"/>
      <x:c r="M261" s="2"/>
      <x:c r="N261" s="14"/>
      <x:c r="O261" s="14"/>
    </x:row>
    <x:row r="262" ht="24" customHeight="1">
      <x:c r="A262" s="2" t="str">
        <x:v>173_37</x:v>
      </x:c>
      <x:c r="B262" s="10" t="str">
        <x:v>173</x:v>
      </x:c>
      <x:c r="C262" s="10" t="n">
        <x:v>38</x:v>
      </x:c>
      <x:c r="D262" s="10" t="n">
        <x:v>37</x:v>
      </x:c>
      <x:c r="E262" s="10" t="n">
        <x:v>1</x:v>
      </x:c>
      <x:c r="F262" s="12"/>
      <x:c r="G262" s="12"/>
      <x:c r="H262" s="10" t="n">
        <x:v>15</x:v>
      </x:c>
      <x:c r="I262" s="12" t="n">
        <x:v>0.37222222222222223</x:v>
      </x:c>
      <x:c r="J262" s="12" t="n">
        <x:v>0.38333333333333336</x:v>
      </x:c>
      <x:c r="K262" s="2" t="str">
        <x:v>In house</x:v>
      </x:c>
      <x:c r="L262" s="2"/>
      <x:c r="M262" s="2"/>
      <x:c r="N262" s="14"/>
      <x:c r="O262" s="14"/>
    </x:row>
    <x:row r="263" ht="24" customHeight="1">
      <x:c r="A263" s="2" t="str">
        <x:v>173_38</x:v>
      </x:c>
      <x:c r="B263" s="10" t="str">
        <x:v>173</x:v>
      </x:c>
      <x:c r="C263" s="10" t="n">
        <x:v>39</x:v>
      </x:c>
      <x:c r="D263" s="10" t="n">
        <x:v>38</x:v>
      </x:c>
      <x:c r="E263" s="10" t="n">
        <x:v>1</x:v>
      </x:c>
      <x:c r="F263" s="12"/>
      <x:c r="G263" s="12"/>
      <x:c r="H263" s="10" t="n">
        <x:v>16</x:v>
      </x:c>
      <x:c r="I263" s="12" t="n">
        <x:v>0.3784722222222222</x:v>
      </x:c>
      <x:c r="J263" s="12" t="n">
        <x:v>0.40069444444444446</x:v>
      </x:c>
      <x:c r="K263" s="2" t="str">
        <x:v>Walk in</x:v>
      </x:c>
      <x:c r="L263" s="2"/>
      <x:c r="M263" s="2"/>
      <x:c r="N263" s="14"/>
      <x:c r="O263" s="14"/>
    </x:row>
    <x:row r="264" ht="24" customHeight="1">
      <x:c r="A264" s="2" t="str">
        <x:v>173_39</x:v>
      </x:c>
      <x:c r="B264" s="10" t="str">
        <x:v>173</x:v>
      </x:c>
      <x:c r="C264" s="10" t="n">
        <x:v>40</x:v>
      </x:c>
      <x:c r="D264" s="10" t="n">
        <x:v>39</x:v>
      </x:c>
      <x:c r="E264" s="10" t="n">
        <x:v>2</x:v>
      </x:c>
      <x:c r="F264" s="12"/>
      <x:c r="G264" s="12"/>
      <x:c r="H264" s="10" t="n">
        <x:v>4</x:v>
      </x:c>
      <x:c r="I264" s="12" t="n">
        <x:v>0.3784722222222222</x:v>
      </x:c>
      <x:c r="J264" s="12" t="n">
        <x:v>0.46875</x:v>
      </x:c>
      <x:c r="K264" s="2" t="str">
        <x:v>Walk in</x:v>
      </x:c>
      <x:c r="L264" s="2"/>
      <x:c r="M264" s="2"/>
      <x:c r="N264" s="14"/>
      <x:c r="O264" s="14"/>
    </x:row>
    <x:row r="265" ht="24" customHeight="1">
      <x:c r="A265" s="2" t="str">
        <x:v>173_40</x:v>
      </x:c>
      <x:c r="B265" s="10" t="str">
        <x:v>173</x:v>
      </x:c>
      <x:c r="C265" s="10" t="n">
        <x:v>41</x:v>
      </x:c>
      <x:c r="D265" s="10" t="n">
        <x:v>40</x:v>
      </x:c>
      <x:c r="E265" s="10" t="n">
        <x:v>2</x:v>
      </x:c>
      <x:c r="F265" s="12"/>
      <x:c r="G265" s="12"/>
      <x:c r="H265" s="10" t="str">
        <x:v>8B</x:v>
      </x:c>
      <x:c r="I265" s="12" t="n">
        <x:v>0.3819444444444444</x:v>
      </x:c>
      <x:c r="J265" s="12" t="n">
        <x:v>0.43194444444444446</x:v>
      </x:c>
      <x:c r="K265" s="2" t="str">
        <x:v>In house</x:v>
      </x:c>
      <x:c r="L265" s="2"/>
      <x:c r="M265" s="2"/>
      <x:c r="N265" s="14"/>
      <x:c r="O265" s="14"/>
    </x:row>
    <x:row r="266" ht="24" customHeight="1">
      <x:c r="A266" s="2" t="str">
        <x:v>173_41</x:v>
      </x:c>
      <x:c r="B266" s="10" t="str">
        <x:v>173</x:v>
      </x:c>
      <x:c r="C266" s="10" t="n">
        <x:v>42</x:v>
      </x:c>
      <x:c r="D266" s="10" t="n">
        <x:v>41</x:v>
      </x:c>
      <x:c r="E266" s="10" t="n">
        <x:v>2</x:v>
      </x:c>
      <x:c r="F266" s="12"/>
      <x:c r="G266" s="12"/>
      <x:c r="H266" s="10" t="str">
        <x:v>1A</x:v>
      </x:c>
      <x:c r="I266" s="12" t="n">
        <x:v>0.38472222222222224</x:v>
      </x:c>
      <x:c r="J266" s="12" t="n">
        <x:v>0.4326388888888889</x:v>
      </x:c>
      <x:c r="K266" s="2" t="str">
        <x:v>Walk in</x:v>
      </x:c>
      <x:c r="L266" s="2"/>
      <x:c r="M266" s="2"/>
      <x:c r="N266" s="14"/>
      <x:c r="O266" s="14"/>
    </x:row>
    <x:row r="267" ht="24" customHeight="1">
      <x:c r="A267" s="2" t="str">
        <x:v>173_42</x:v>
      </x:c>
      <x:c r="B267" s="10" t="str">
        <x:v>173</x:v>
      </x:c>
      <x:c r="C267" s="10" t="n">
        <x:v>43</x:v>
      </x:c>
      <x:c r="D267" s="10" t="n">
        <x:v>42</x:v>
      </x:c>
      <x:c r="E267" s="10" t="n">
        <x:v>1</x:v>
      </x:c>
      <x:c r="F267" s="12"/>
      <x:c r="G267" s="12"/>
      <x:c r="H267" s="10" t="str">
        <x:v>1B</x:v>
      </x:c>
      <x:c r="I267" s="12" t="n">
        <x:v>0.3861111111111111</x:v>
      </x:c>
      <x:c r="J267" s="12" t="n">
        <x:v>0.4486111111111111</x:v>
      </x:c>
      <x:c r="K267" s="2" t="str">
        <x:v>Walk in</x:v>
      </x:c>
      <x:c r="L267" s="2"/>
      <x:c r="M267" s="2"/>
      <x:c r="N267" s="14"/>
      <x:c r="O267" s="14"/>
    </x:row>
    <x:row r="268" ht="24" customHeight="1">
      <x:c r="A268" s="2" t="str">
        <x:v>173_43</x:v>
      </x:c>
      <x:c r="B268" s="10" t="str">
        <x:v>173</x:v>
      </x:c>
      <x:c r="C268" s="10" t="n">
        <x:v>44</x:v>
      </x:c>
      <x:c r="D268" s="10" t="n">
        <x:v>43</x:v>
      </x:c>
      <x:c r="E268" s="10" t="n">
        <x:v>3</x:v>
      </x:c>
      <x:c r="F268" s="12"/>
      <x:c r="G268" s="12"/>
      <x:c r="H268" s="10" t="n">
        <x:v>11</x:v>
      </x:c>
      <x:c r="I268" s="12" t="n">
        <x:v>0.3958333333333333</x:v>
      </x:c>
      <x:c r="J268" s="12" t="n">
        <x:v>0.42083333333333334</x:v>
      </x:c>
      <x:c r="K268" s="2" t="str">
        <x:v>In house</x:v>
      </x:c>
      <x:c r="L268" s="2"/>
      <x:c r="M268" s="2"/>
      <x:c r="N268" s="14"/>
      <x:c r="O268" s="14"/>
    </x:row>
    <x:row r="269" ht="24" customHeight="1">
      <x:c r="A269" s="2" t="str">
        <x:v>173_44</x:v>
      </x:c>
      <x:c r="B269" s="10" t="str">
        <x:v>173</x:v>
      </x:c>
      <x:c r="C269" s="10" t="n">
        <x:v>45</x:v>
      </x:c>
      <x:c r="D269" s="10" t="n">
        <x:v>44</x:v>
      </x:c>
      <x:c r="E269" s="10" t="n">
        <x:v>1</x:v>
      </x:c>
      <x:c r="F269" s="12"/>
      <x:c r="G269" s="12"/>
      <x:c r="H269" s="10" t="str">
        <x:v>7A</x:v>
      </x:c>
      <x:c r="I269" s="12" t="n">
        <x:v>0.3972222222222222</x:v>
      </x:c>
      <x:c r="J269" s="12" t="n">
        <x:v>0.41180555555555554</x:v>
      </x:c>
      <x:c r="K269" s="2" t="str">
        <x:v>In house</x:v>
      </x:c>
      <x:c r="L269" s="2"/>
      <x:c r="M269" s="2"/>
      <x:c r="N269" s="14"/>
      <x:c r="O269" s="14"/>
    </x:row>
    <x:row r="270" ht="24" customHeight="1">
      <x:c r="A270" s="2" t="str">
        <x:v>173_45</x:v>
      </x:c>
      <x:c r="B270" s="10" t="str">
        <x:v>173</x:v>
      </x:c>
      <x:c r="C270" s="10" t="n">
        <x:v>46</x:v>
      </x:c>
      <x:c r="D270" s="10" t="n">
        <x:v>45</x:v>
      </x:c>
      <x:c r="E270" s="10" t="n">
        <x:v>3</x:v>
      </x:c>
      <x:c r="F270" s="12"/>
      <x:c r="G270" s="12"/>
      <x:c r="H270" s="10" t="n">
        <x:v>10</x:v>
      </x:c>
      <x:c r="I270" s="12" t="n">
        <x:v>0.3993055555555556</x:v>
      </x:c>
      <x:c r="J270" s="12" t="n">
        <x:v>0.4326388888888889</x:v>
      </x:c>
      <x:c r="K270" s="2" t="str">
        <x:v>In house</x:v>
      </x:c>
      <x:c r="L270" s="2"/>
      <x:c r="M270" s="2"/>
      <x:c r="N270" s="14"/>
      <x:c r="O270" s="14"/>
    </x:row>
    <x:row r="271" ht="24" customHeight="1">
      <x:c r="A271" s="2" t="str">
        <x:v>173_46</x:v>
      </x:c>
      <x:c r="B271" s="10" t="str">
        <x:v>173</x:v>
      </x:c>
      <x:c r="C271" s="10" t="n">
        <x:v>47</x:v>
      </x:c>
      <x:c r="D271" s="10" t="n">
        <x:v>46</x:v>
      </x:c>
      <x:c r="E271" s="10" t="n">
        <x:v>1</x:v>
      </x:c>
      <x:c r="F271" s="12"/>
      <x:c r="G271" s="12"/>
      <x:c r="H271" s="10" t="str">
        <x:v>8A</x:v>
      </x:c>
      <x:c r="I271" s="12" t="n">
        <x:v>0.35833333333333334</x:v>
      </x:c>
      <x:c r="J271" s="12" t="n">
        <x:v>0.5090277777777777</x:v>
      </x:c>
      <x:c r="K271" s="2" t="str">
        <x:v>In house</x:v>
      </x:c>
      <x:c r="L271" s="2"/>
      <x:c r="M271" s="2"/>
      <x:c r="N271" s="14"/>
      <x:c r="O271" s="14"/>
    </x:row>
    <x:row r="272" ht="24" customHeight="1">
      <x:c r="A272" s="2" t="str">
        <x:v>173_47</x:v>
      </x:c>
      <x:c r="B272" s="10" t="str">
        <x:v>173</x:v>
      </x:c>
      <x:c r="C272" s="10" t="n">
        <x:v>48</x:v>
      </x:c>
      <x:c r="D272" s="10" t="n">
        <x:v>47</x:v>
      </x:c>
      <x:c r="E272" s="10" t="n">
        <x:v>2</x:v>
      </x:c>
      <x:c r="F272" s="12"/>
      <x:c r="G272" s="12"/>
      <x:c r="H272" s="10" t="n">
        <x:v>2</x:v>
      </x:c>
      <x:c r="I272" s="12" t="n">
        <x:v>0.40347222222222223</x:v>
      </x:c>
      <x:c r="J272" s="12" t="n">
        <x:v>0.42083333333333334</x:v>
      </x:c>
      <x:c r="K272" s="2" t="str">
        <x:v>In house</x:v>
      </x:c>
      <x:c r="L272" s="2"/>
      <x:c r="M272" s="2"/>
      <x:c r="N272" s="14"/>
      <x:c r="O272" s="14"/>
    </x:row>
    <x:row r="273" ht="24" customHeight="1">
      <x:c r="A273" s="2" t="str">
        <x:v>173_48</x:v>
      </x:c>
      <x:c r="B273" s="10" t="str">
        <x:v>173</x:v>
      </x:c>
      <x:c r="C273" s="10" t="n">
        <x:v>49</x:v>
      </x:c>
      <x:c r="D273" s="10" t="n">
        <x:v>48</x:v>
      </x:c>
      <x:c r="E273" s="10" t="n">
        <x:v>2</x:v>
      </x:c>
      <x:c r="F273" s="12"/>
      <x:c r="G273" s="12"/>
      <x:c r="H273" s="10" t="n">
        <x:v>16</x:v>
      </x:c>
      <x:c r="I273" s="12" t="n">
        <x:v>0.40625</x:v>
      </x:c>
      <x:c r="J273" s="12" t="n">
        <x:v>0.42916666666666664</x:v>
      </x:c>
      <x:c r="K273" s="2" t="str">
        <x:v>In house</x:v>
      </x:c>
      <x:c r="L273" s="2"/>
      <x:c r="M273" s="2"/>
      <x:c r="N273" s="14"/>
      <x:c r="O273" s="14"/>
    </x:row>
    <x:row r="274" ht="24" customHeight="1">
      <x:c r="A274" s="2" t="str">
        <x:v>173_49</x:v>
      </x:c>
      <x:c r="B274" s="10" t="str">
        <x:v>173</x:v>
      </x:c>
      <x:c r="C274" s="10" t="n">
        <x:v>50</x:v>
      </x:c>
      <x:c r="D274" s="10" t="n">
        <x:v>49</x:v>
      </x:c>
      <x:c r="E274" s="10" t="n">
        <x:v>2</x:v>
      </x:c>
      <x:c r="F274" s="12"/>
      <x:c r="G274" s="12"/>
      <x:c r="H274" s="10" t="n">
        <x:v>4</x:v>
      </x:c>
      <x:c r="I274" s="12" t="n">
        <x:v>0.4097222222222222</x:v>
      </x:c>
      <x:c r="J274" s="12" t="n">
        <x:v>0.49375</x:v>
      </x:c>
      <x:c r="K274" s="2" t="str">
        <x:v>Walk in</x:v>
      </x:c>
      <x:c r="L274" s="2"/>
      <x:c r="M274" s="2"/>
      <x:c r="N274" s="14"/>
      <x:c r="O274" s="14"/>
    </x:row>
    <x:row r="275" ht="24" customHeight="1">
      <x:c r="A275" s="2" t="str">
        <x:v>173_50</x:v>
      </x:c>
      <x:c r="B275" s="10" t="str">
        <x:v>173</x:v>
      </x:c>
      <x:c r="C275" s="10" t="n">
        <x:v>51</x:v>
      </x:c>
      <x:c r="D275" s="10" t="n">
        <x:v>50</x:v>
      </x:c>
      <x:c r="E275" s="10" t="n">
        <x:v>2</x:v>
      </x:c>
      <x:c r="F275" s="12"/>
      <x:c r="G275" s="12"/>
      <x:c r="H275" s="10" t="str">
        <x:v>7A</x:v>
      </x:c>
      <x:c r="I275" s="12" t="n">
        <x:v>0.4111111111111111</x:v>
      </x:c>
      <x:c r="J275" s="12" t="n">
        <x:v>0.4583333333333333</x:v>
      </x:c>
      <x:c r="K275" s="2" t="str">
        <x:v>Walk in</x:v>
      </x:c>
      <x:c r="L275" s="2"/>
      <x:c r="M275" s="2"/>
      <x:c r="N275" s="14"/>
      <x:c r="O275" s="14"/>
    </x:row>
    <x:row r="276" ht="24" customHeight="1">
      <x:c r="A276" s="2" t="str">
        <x:v>173_51</x:v>
      </x:c>
      <x:c r="B276" s="10" t="str">
        <x:v>173</x:v>
      </x:c>
      <x:c r="C276" s="10" t="n">
        <x:v>52</x:v>
      </x:c>
      <x:c r="D276" s="10" t="n">
        <x:v>51</x:v>
      </x:c>
      <x:c r="E276" s="10" t="n">
        <x:v>2</x:v>
      </x:c>
      <x:c r="F276" s="12"/>
      <x:c r="G276" s="12"/>
      <x:c r="H276" s="10" t="str">
        <x:v>5B</x:v>
      </x:c>
      <x:c r="I276" s="12" t="n">
        <x:v>0.4125</x:v>
      </x:c>
      <x:c r="J276" s="12" t="n">
        <x:v>0.45416666666666666</x:v>
      </x:c>
      <x:c r="K276" s="2" t="str">
        <x:v>In house</x:v>
      </x:c>
      <x:c r="L276" s="2"/>
      <x:c r="M276" s="2"/>
      <x:c r="N276" s="14"/>
      <x:c r="O276" s="14"/>
    </x:row>
    <x:row r="277" ht="24" customHeight="1">
      <x:c r="A277" s="2" t="str">
        <x:v>173_52</x:v>
      </x:c>
      <x:c r="B277" s="10" t="str">
        <x:v>173</x:v>
      </x:c>
      <x:c r="C277" s="10" t="n">
        <x:v>53</x:v>
      </x:c>
      <x:c r="D277" s="10" t="n">
        <x:v>52</x:v>
      </x:c>
      <x:c r="E277" s="10" t="n">
        <x:v>1</x:v>
      </x:c>
      <x:c r="F277" s="12"/>
      <x:c r="G277" s="12"/>
      <x:c r="H277" s="10" t="str">
        <x:v>5A</x:v>
      </x:c>
      <x:c r="I277" s="12" t="n">
        <x:v>0.37083333333333335</x:v>
      </x:c>
      <x:c r="J277" s="12" t="n">
        <x:v>0.45694444444444443</x:v>
      </x:c>
      <x:c r="K277" s="2" t="str">
        <x:v>In house</x:v>
      </x:c>
      <x:c r="L277" s="2"/>
      <x:c r="M277" s="2"/>
      <x:c r="N277" s="14"/>
      <x:c r="O277" s="14"/>
    </x:row>
    <x:row r="278" ht="24" customHeight="1">
      <x:c r="A278" s="2" t="str">
        <x:v>173_53</x:v>
      </x:c>
      <x:c r="B278" s="10" t="str">
        <x:v>173</x:v>
      </x:c>
      <x:c r="C278" s="10" t="n">
        <x:v>54</x:v>
      </x:c>
      <x:c r="D278" s="10" t="n">
        <x:v>53</x:v>
      </x:c>
      <x:c r="E278" s="10" t="n">
        <x:v>1</x:v>
      </x:c>
      <x:c r="F278" s="12"/>
      <x:c r="G278" s="12"/>
      <x:c r="H278" s="10" t="n">
        <x:v>12</x:v>
      </x:c>
      <x:c r="I278" s="12" t="n">
        <x:v>0.42291666666666666</x:v>
      </x:c>
      <x:c r="J278" s="12" t="n">
        <x:v>0.4340277777777778</x:v>
      </x:c>
      <x:c r="K278" s="2" t="str">
        <x:v>Walk in</x:v>
      </x:c>
      <x:c r="L278" s="2"/>
      <x:c r="M278" s="2"/>
      <x:c r="N278" s="14"/>
      <x:c r="O278" s="14"/>
    </x:row>
    <x:row r="279" ht="24" customHeight="1">
      <x:c r="A279" s="2" t="str">
        <x:v>173_54</x:v>
      </x:c>
      <x:c r="B279" s="10" t="str">
        <x:v>173</x:v>
      </x:c>
      <x:c r="C279" s="10" t="n">
        <x:v>55</x:v>
      </x:c>
      <x:c r="D279" s="10" t="n">
        <x:v>54</x:v>
      </x:c>
      <x:c r="E279" s="10" t="n">
        <x:v>1</x:v>
      </x:c>
      <x:c r="F279" s="12"/>
      <x:c r="G279" s="12"/>
      <x:c r="H279" s="10" t="n">
        <x:v>3</x:v>
      </x:c>
      <x:c r="I279" s="12" t="n">
        <x:v>0.4236111111111111</x:v>
      </x:c>
      <x:c r="J279" s="12" t="n">
        <x:v>0.475</x:v>
      </x:c>
      <x:c r="K279" s="2" t="str">
        <x:v>In house</x:v>
      </x:c>
      <x:c r="L279" s="2"/>
      <x:c r="M279" s="2"/>
      <x:c r="N279" s="14"/>
      <x:c r="O279" s="14"/>
    </x:row>
    <x:row r="280" ht="24" customHeight="1">
      <x:c r="A280" s="2" t="str">
        <x:v>173_55</x:v>
      </x:c>
      <x:c r="B280" s="10" t="str">
        <x:v>173</x:v>
      </x:c>
      <x:c r="C280" s="10" t="n">
        <x:v>56</x:v>
      </x:c>
      <x:c r="D280" s="10" t="n">
        <x:v>55</x:v>
      </x:c>
      <x:c r="E280" s="10" t="n">
        <x:v>2</x:v>
      </x:c>
      <x:c r="F280" s="12"/>
      <x:c r="G280" s="12"/>
      <x:c r="H280" s="10" t="n">
        <x:v>9</x:v>
      </x:c>
      <x:c r="I280" s="12" t="n">
        <x:v>0.42430555555555555</x:v>
      </x:c>
      <x:c r="J280" s="12" t="n">
        <x:v>0.4465277777777778</x:v>
      </x:c>
      <x:c r="K280" s="2" t="str">
        <x:v>Walk in</x:v>
      </x:c>
      <x:c r="L280" s="2"/>
      <x:c r="M280" s="2"/>
      <x:c r="N280" s="14"/>
      <x:c r="O280" s="14"/>
    </x:row>
    <x:row r="281" ht="24" customHeight="1">
      <x:c r="A281" s="2" t="str">
        <x:v>173_56</x:v>
      </x:c>
      <x:c r="B281" s="10" t="str">
        <x:v>173</x:v>
      </x:c>
      <x:c r="C281" s="10" t="n">
        <x:v>57</x:v>
      </x:c>
      <x:c r="D281" s="10" t="n">
        <x:v>56</x:v>
      </x:c>
      <x:c r="E281" s="10" t="n">
        <x:v>2</x:v>
      </x:c>
      <x:c r="F281" s="12"/>
      <x:c r="G281" s="12"/>
      <x:c r="H281" s="10" t="n">
        <x:v>2</x:v>
      </x:c>
      <x:c r="I281" s="12" t="n">
        <x:v>0.4305555555555556</x:v>
      </x:c>
      <x:c r="J281" s="12" t="n">
        <x:v>0.5104166666666666</x:v>
      </x:c>
      <x:c r="K281" s="2" t="str">
        <x:v>Walk in</x:v>
      </x:c>
      <x:c r="L281" s="2"/>
      <x:c r="M281" s="2"/>
      <x:c r="N281" s="14"/>
      <x:c r="O281" s="14"/>
    </x:row>
    <x:row r="282" ht="24" customHeight="1">
      <x:c r="A282" s="2" t="str">
        <x:v>173_57</x:v>
      </x:c>
      <x:c r="B282" s="10" t="str">
        <x:v>173</x:v>
      </x:c>
      <x:c r="C282" s="10" t="n">
        <x:v>58</x:v>
      </x:c>
      <x:c r="D282" s="10" t="n">
        <x:v>57</x:v>
      </x:c>
      <x:c r="E282" s="10" t="n">
        <x:v>1</x:v>
      </x:c>
      <x:c r="F282" s="12"/>
      <x:c r="G282" s="12"/>
      <x:c r="H282" s="10" t="str">
        <x:v>1A</x:v>
      </x:c>
      <x:c r="I282" s="12" t="n">
        <x:v>0.4361111111111111</x:v>
      </x:c>
      <x:c r="J282" s="12" t="n">
        <x:v>0.4638888888888889</x:v>
      </x:c>
      <x:c r="K282" s="2" t="str">
        <x:v>Walk in</x:v>
      </x:c>
      <x:c r="L282" s="2"/>
      <x:c r="M282" s="2"/>
      <x:c r="N282" s="14"/>
      <x:c r="O282" s="14"/>
    </x:row>
    <x:row r="283" ht="24" customHeight="1">
      <x:c r="A283" s="2" t="str">
        <x:v>173_58</x:v>
      </x:c>
      <x:c r="B283" s="10" t="str">
        <x:v>173</x:v>
      </x:c>
      <x:c r="C283" s="10" t="n">
        <x:v>59</x:v>
      </x:c>
      <x:c r="D283" s="10" t="n">
        <x:v>58</x:v>
      </x:c>
      <x:c r="E283" s="10" t="n">
        <x:v>3</x:v>
      </x:c>
      <x:c r="F283" s="12"/>
      <x:c r="G283" s="12"/>
      <x:c r="H283" s="10" t="str">
        <x:v>7B/7A</x:v>
      </x:c>
      <x:c r="I283" s="12" t="n">
        <x:v>0.4409722222222222</x:v>
      </x:c>
      <x:c r="J283" s="12" t="n">
        <x:v>0.47430555555555554</x:v>
      </x:c>
      <x:c r="K283" s="2" t="str">
        <x:v>In house</x:v>
      </x:c>
      <x:c r="L283" s="2"/>
      <x:c r="M283" s="2"/>
      <x:c r="N283" s="14"/>
      <x:c r="O283" s="14"/>
    </x:row>
    <x:row r="284" ht="24" customHeight="1">
      <x:c r="A284" s="2" t="str">
        <x:v>173_59</x:v>
      </x:c>
      <x:c r="B284" s="10" t="str">
        <x:v>173</x:v>
      </x:c>
      <x:c r="C284" s="10" t="n">
        <x:v>60</x:v>
      </x:c>
      <x:c r="D284" s="10" t="n">
        <x:v>59</x:v>
      </x:c>
      <x:c r="E284" s="10" t="n">
        <x:v>2</x:v>
      </x:c>
      <x:c r="F284" s="12"/>
      <x:c r="G284" s="12"/>
      <x:c r="H284" s="10" t="n">
        <x:v>10</x:v>
      </x:c>
      <x:c r="I284" s="12" t="n">
        <x:v>0.4423611111111111</x:v>
      </x:c>
      <x:c r="J284" s="12" t="n">
        <x:v>0.46458333333333335</x:v>
      </x:c>
      <x:c r="K284" s="2" t="str">
        <x:v>Walk in</x:v>
      </x:c>
      <x:c r="L284" s="2"/>
      <x:c r="M284" s="2"/>
      <x:c r="N284" s="14"/>
      <x:c r="O284" s="14"/>
    </x:row>
    <x:row r="285" ht="24" customHeight="1">
      <x:c r="A285" s="2" t="str">
        <x:v>173_60</x:v>
      </x:c>
      <x:c r="B285" s="10" t="str">
        <x:v>173</x:v>
      </x:c>
      <x:c r="C285" s="10" t="n">
        <x:v>61</x:v>
      </x:c>
      <x:c r="D285" s="10" t="n">
        <x:v>60</x:v>
      </x:c>
      <x:c r="E285" s="10" t="n">
        <x:v>3</x:v>
      </x:c>
      <x:c r="F285" s="12"/>
      <x:c r="G285" s="12"/>
      <x:c r="H285" s="10" t="n">
        <x:v>15</x:v>
      </x:c>
      <x:c r="I285" s="12" t="n">
        <x:v>0.44375</x:v>
      </x:c>
      <x:c r="J285" s="12" t="n">
        <x:v>0.5076388888888889</x:v>
      </x:c>
      <x:c r="K285" s="2" t="str">
        <x:v>Walk in</x:v>
      </x:c>
      <x:c r="L285" s="2"/>
      <x:c r="M285" s="2"/>
      <x:c r="N285" s="14"/>
      <x:c r="O285" s="14"/>
    </x:row>
    <x:row r="286" ht="24" customHeight="1">
      <x:c r="A286" s="2" t="str">
        <x:v>173_61</x:v>
      </x:c>
      <x:c r="B286" s="10" t="str">
        <x:v>173</x:v>
      </x:c>
      <x:c r="C286" s="10" t="n">
        <x:v>62</x:v>
      </x:c>
      <x:c r="D286" s="10" t="n">
        <x:v>61</x:v>
      </x:c>
      <x:c r="E286" s="10" t="n">
        <x:v>2</x:v>
      </x:c>
      <x:c r="F286" s="12"/>
      <x:c r="G286" s="12"/>
      <x:c r="H286" s="10" t="n">
        <x:v>14</x:v>
      </x:c>
      <x:c r="I286" s="12" t="n">
        <x:v>0.4444444444444444</x:v>
      </x:c>
      <x:c r="J286" s="12" t="n">
        <x:v>0.475</x:v>
      </x:c>
      <x:c r="K286" s="2" t="str">
        <x:v>In house</x:v>
      </x:c>
      <x:c r="L286" s="2"/>
      <x:c r="M286" s="2"/>
      <x:c r="N286" s="14"/>
      <x:c r="O286" s="14"/>
    </x:row>
    <x:row r="287" ht="24" customHeight="1">
      <x:c r="A287" s="2" t="str">
        <x:v>173_62</x:v>
      </x:c>
      <x:c r="B287" s="10" t="str">
        <x:v>173</x:v>
      </x:c>
      <x:c r="C287" s="10" t="n">
        <x:v>63</x:v>
      </x:c>
      <x:c r="D287" s="10" t="n">
        <x:v>62</x:v>
      </x:c>
      <x:c r="E287" s="10" t="n">
        <x:v>2</x:v>
      </x:c>
      <x:c r="F287" s="12"/>
      <x:c r="G287" s="12"/>
      <x:c r="H287" s="10" t="n">
        <x:v>16</x:v>
      </x:c>
      <x:c r="I287" s="12" t="n">
        <x:v>0.44722222222222224</x:v>
      </x:c>
      <x:c r="J287" s="12" t="n">
        <x:v>0.4861111111111111</x:v>
      </x:c>
      <x:c r="K287" s="2" t="str">
        <x:v>Walk in</x:v>
      </x:c>
      <x:c r="L287" s="2"/>
      <x:c r="M287" s="2"/>
      <x:c r="N287" s="14"/>
      <x:c r="O287" s="14"/>
    </x:row>
    <x:row r="288" ht="24" customHeight="1">
      <x:c r="A288" s="2" t="str">
        <x:v>173_63</x:v>
      </x:c>
      <x:c r="B288" s="10" t="str">
        <x:v>173</x:v>
      </x:c>
      <x:c r="C288" s="10" t="n">
        <x:v>64</x:v>
      </x:c>
      <x:c r="D288" s="10" t="n">
        <x:v>63</x:v>
      </x:c>
      <x:c r="E288" s="10" t="n">
        <x:v>1</x:v>
      </x:c>
      <x:c r="F288" s="12"/>
      <x:c r="G288" s="12"/>
      <x:c r="H288" s="10" t="str">
        <x:v>8C</x:v>
      </x:c>
      <x:c r="I288" s="12" t="n">
        <x:v>0.4513888888888889</x:v>
      </x:c>
      <x:c r="J288" s="12" t="n">
        <x:v>0.4791666666666667</x:v>
      </x:c>
      <x:c r="K288" s="2" t="str">
        <x:v>In house</x:v>
      </x:c>
      <x:c r="L288" s="2"/>
      <x:c r="M288" s="2"/>
      <x:c r="N288" s="14"/>
      <x:c r="O288" s="14"/>
    </x:row>
    <x:row r="289" ht="24" customHeight="1">
      <x:c r="A289" s="2" t="str">
        <x:v>173_64</x:v>
      </x:c>
      <x:c r="B289" s="10" t="str">
        <x:v>173</x:v>
      </x:c>
      <x:c r="C289" s="10" t="n">
        <x:v>65</x:v>
      </x:c>
      <x:c r="D289" s="10" t="n">
        <x:v>64</x:v>
      </x:c>
      <x:c r="E289" s="10" t="n">
        <x:v>2</x:v>
      </x:c>
      <x:c r="F289" s="12"/>
      <x:c r="G289" s="12"/>
      <x:c r="H289" s="10" t="n">
        <x:v>5</x:v>
      </x:c>
      <x:c r="I289" s="12" t="n">
        <x:v>0.46111111111111114</x:v>
      </x:c>
      <x:c r="J289" s="12" t="n">
        <x:v>0.5013888888888889</x:v>
      </x:c>
      <x:c r="K289" s="2" t="str">
        <x:v>Walk in</x:v>
      </x:c>
      <x:c r="L289" s="2"/>
      <x:c r="M289" s="2"/>
      <x:c r="N289" s="14"/>
      <x:c r="O289" s="14"/>
    </x:row>
    <x:row r="290" ht="24" customHeight="1">
      <x:c r="A290" s="2" t="str">
        <x:v>173_65</x:v>
      </x:c>
      <x:c r="B290" s="10" t="str">
        <x:v>173</x:v>
      </x:c>
      <x:c r="C290" s="10" t="n">
        <x:v>66</x:v>
      </x:c>
      <x:c r="D290" s="10" t="n">
        <x:v>65</x:v>
      </x:c>
      <x:c r="E290" s="10" t="n">
        <x:v>1</x:v>
      </x:c>
      <x:c r="F290" s="12"/>
      <x:c r="G290" s="12"/>
      <x:c r="H290" s="10" t="str">
        <x:v>6B</x:v>
      </x:c>
      <x:c r="I290" s="12" t="n">
        <x:v>0.4618055555555556</x:v>
      </x:c>
      <x:c r="J290" s="12" t="n">
        <x:v>0.4756944444444444</x:v>
      </x:c>
      <x:c r="K290" s="2" t="str">
        <x:v>Walk in</x:v>
      </x:c>
      <x:c r="L290" s="2"/>
      <x:c r="M290" s="2"/>
      <x:c r="N290" s="14"/>
      <x:c r="O290" s="14"/>
    </x:row>
    <x:row r="291" ht="24" customHeight="1">
      <x:c r="A291" s="2" t="str">
        <x:v>173_66</x:v>
      </x:c>
      <x:c r="B291" s="10" t="str">
        <x:v>173</x:v>
      </x:c>
      <x:c r="C291" s="10" t="n">
        <x:v>67</x:v>
      </x:c>
      <x:c r="D291" s="10" t="n">
        <x:v>66</x:v>
      </x:c>
      <x:c r="E291" s="10" t="n">
        <x:v>1</x:v>
      </x:c>
      <x:c r="F291" s="12"/>
      <x:c r="G291" s="12"/>
      <x:c r="H291" s="10" t="str">
        <x:v>7A</x:v>
      </x:c>
      <x:c r="I291" s="12" t="n">
        <x:v>0.47291666666666665</x:v>
      </x:c>
      <x:c r="J291" s="12" t="n">
        <x:v>0.48541666666666666</x:v>
      </x:c>
      <x:c r="K291" s="2" t="str">
        <x:v>Walk in</x:v>
      </x:c>
      <x:c r="L291" s="2"/>
      <x:c r="M291" s="2"/>
      <x:c r="N291" s="14"/>
      <x:c r="O291" s="14"/>
    </x:row>
    <x:row r="292" ht="24" customHeight="1">
      <x:c r="A292" s="2" t="str">
        <x:v>173_67</x:v>
      </x:c>
      <x:c r="B292" s="10" t="str">
        <x:v>173</x:v>
      </x:c>
      <x:c r="C292" s="10" t="n">
        <x:v>68</x:v>
      </x:c>
      <x:c r="D292" s="10" t="n">
        <x:v>67</x:v>
      </x:c>
      <x:c r="E292" s="10" t="n">
        <x:v>2</x:v>
      </x:c>
      <x:c r="F292" s="12"/>
      <x:c r="G292" s="12"/>
      <x:c r="H292" s="10" t="n">
        <x:v>9</x:v>
      </x:c>
      <x:c r="I292" s="12" t="n">
        <x:v>0.475</x:v>
      </x:c>
      <x:c r="J292" s="12" t="n">
        <x:v>0.49166666666666664</x:v>
      </x:c>
      <x:c r="K292" s="2" t="str">
        <x:v>In house</x:v>
      </x:c>
      <x:c r="L292" s="2"/>
      <x:c r="M292" s="2"/>
      <x:c r="N292" s="14"/>
      <x:c r="O292" s="14"/>
    </x:row>
    <x:row r="293" ht="24" customHeight="1">
      <x:c r="A293" s="2" t="str">
        <x:v>173_68</x:v>
      </x:c>
      <x:c r="B293" s="10" t="str">
        <x:v>173</x:v>
      </x:c>
      <x:c r="C293" s="10" t="n">
        <x:v>69</x:v>
      </x:c>
      <x:c r="D293" s="10" t="n">
        <x:v>68</x:v>
      </x:c>
      <x:c r="E293" s="10" t="n">
        <x:v>1</x:v>
      </x:c>
      <x:c r="F293" s="12"/>
      <x:c r="G293" s="12"/>
      <x:c r="H293" s="10" t="n">
        <x:v>1</x:v>
      </x:c>
      <x:c r="I293" s="12" t="n">
        <x:v>0.47430555555555554</x:v>
      </x:c>
      <x:c r="J293" s="12" t="n">
        <x:v>0.5013888888888889</x:v>
      </x:c>
      <x:c r="K293" s="2" t="str">
        <x:v>Walk in</x:v>
      </x:c>
      <x:c r="L293" s="2"/>
      <x:c r="M293" s="2"/>
      <x:c r="N293" s="14"/>
      <x:c r="O293" s="14"/>
    </x:row>
    <x:row r="294" ht="24" customHeight="1">
      <x:c r="A294" s="2" t="str">
        <x:v>173_69</x:v>
      </x:c>
      <x:c r="B294" s="10" t="str">
        <x:v>173</x:v>
      </x:c>
      <x:c r="C294" s="10" t="n">
        <x:v>70</x:v>
      </x:c>
      <x:c r="D294" s="10" t="n">
        <x:v>69</x:v>
      </x:c>
      <x:c r="E294" s="10" t="n">
        <x:v>1</x:v>
      </x:c>
      <x:c r="F294" s="12"/>
      <x:c r="G294" s="12"/>
      <x:c r="H294" s="10" t="str">
        <x:v>7B</x:v>
      </x:c>
      <x:c r="I294" s="12" t="n">
        <x:v>0.48819444444444443</x:v>
      </x:c>
      <x:c r="J294" s="12" t="n">
        <x:v>0.5027777777777778</x:v>
      </x:c>
      <x:c r="K294" s="2" t="str">
        <x:v>In house</x:v>
      </x:c>
      <x:c r="L294" s="2"/>
      <x:c r="M294" s="2"/>
      <x:c r="N294" s="14"/>
      <x:c r="O294" s="14"/>
    </x:row>
    <x:row r="295" ht="24" customHeight="1">
      <x:c r="A295" s="2" t="str">
        <x:v>173_70</x:v>
      </x:c>
      <x:c r="B295" s="10" t="str">
        <x:v>173</x:v>
      </x:c>
      <x:c r="C295" s="10" t="n">
        <x:v>71</x:v>
      </x:c>
      <x:c r="D295" s="10" t="n">
        <x:v>70</x:v>
      </x:c>
      <x:c r="E295" s="10"/>
      <x:c r="F295" s="12"/>
      <x:c r="G295" s="12"/>
      <x:c r="H295" s="10"/>
      <x:c r="I295" s="12"/>
      <x:c r="J295" s="12"/>
      <x:c r="K295" s="2" t="str">
        <x:v>Walk in</x:v>
      </x:c>
      <x:c r="L295" s="2"/>
      <x:c r="M295" s="2"/>
      <x:c r="N295" s="14"/>
      <x:c r="O295" s="14"/>
    </x:row>
    <x:row r="296" ht="24" customHeight="1">
      <x:c r="A296" s="2" t="str">
        <x:v>183_1</x:v>
      </x:c>
      <x:c r="B296" s="10" t="str">
        <x:v>183</x:v>
      </x:c>
      <x:c r="C296" s="10" t="n">
        <x:v>2</x:v>
      </x:c>
      <x:c r="D296" s="10" t="n">
        <x:v>1</x:v>
      </x:c>
      <x:c r="E296" s="10" t="n">
        <x:v>1</x:v>
      </x:c>
      <x:c r="F296" s="12"/>
      <x:c r="G296" s="12"/>
      <x:c r="H296" s="10" t="str">
        <x:v>4A</x:v>
      </x:c>
      <x:c r="I296" s="12" t="n">
        <x:v>0.26805555555555555</x:v>
      </x:c>
      <x:c r="J296" s="12" t="n">
        <x:v>0.3625</x:v>
      </x:c>
      <x:c r="K296" s="2" t="str">
        <x:v>Walk in</x:v>
      </x:c>
      <x:c r="L296" s="2" t="str">
        <x:v>=D2-C2</x:v>
      </x:c>
      <x:c r="M296" s="2" t="str">
        <x:v>=G2-F2</x:v>
      </x:c>
      <x:c r="N296" s="14" t="n">
        <x:v>0</x:v>
      </x:c>
      <x:c r="O296" s="14" t="n">
        <x:v>0.09444444444444444</x:v>
      </x:c>
    </x:row>
    <x:row r="297" ht="24" customHeight="1">
      <x:c r="A297" s="2" t="str">
        <x:v>183_2</x:v>
      </x:c>
      <x:c r="B297" s="10" t="str">
        <x:v>183</x:v>
      </x:c>
      <x:c r="C297" s="10" t="n">
        <x:v>3</x:v>
      </x:c>
      <x:c r="D297" s="10" t="n">
        <x:v>2</x:v>
      </x:c>
      <x:c r="E297" s="10" t="n">
        <x:v>2</x:v>
      </x:c>
      <x:c r="F297" s="12"/>
      <x:c r="G297" s="12"/>
      <x:c r="H297" s="10" t="n">
        <x:v>11</x:v>
      </x:c>
      <x:c r="I297" s="12" t="n">
        <x:v>0.28055555555555556</x:v>
      </x:c>
      <x:c r="J297" s="12" t="n">
        <x:v>0.32222222222222224</x:v>
      </x:c>
      <x:c r="K297" s="2" t="str">
        <x:v>Walk in</x:v>
      </x:c>
      <x:c r="L297" s="2" t="str">
        <x:v>=D3-C3</x:v>
      </x:c>
      <x:c r="M297" s="2" t="str">
        <x:v>=G3-F3</x:v>
      </x:c>
      <x:c r="N297" s="14" t="n">
        <x:v>0</x:v>
      </x:c>
      <x:c r="O297" s="14" t="n">
        <x:v>0.041666666666666664</x:v>
      </x:c>
    </x:row>
    <x:row r="298" ht="24" customHeight="1">
      <x:c r="A298" s="2" t="str">
        <x:v>183_3</x:v>
      </x:c>
      <x:c r="B298" s="10" t="str">
        <x:v>183</x:v>
      </x:c>
      <x:c r="C298" s="10" t="n">
        <x:v>4</x:v>
      </x:c>
      <x:c r="D298" s="10" t="n">
        <x:v>3</x:v>
      </x:c>
      <x:c r="E298" s="10" t="n">
        <x:v>1</x:v>
      </x:c>
      <x:c r="F298" s="12"/>
      <x:c r="G298" s="12"/>
      <x:c r="H298" s="10" t="str">
        <x:v>7A</x:v>
      </x:c>
      <x:c r="I298" s="12" t="n">
        <x:v>0.2902777777777778</x:v>
      </x:c>
      <x:c r="J298" s="12" t="n">
        <x:v>0.36527777777777776</x:v>
      </x:c>
      <x:c r="K298" s="2" t="str">
        <x:v>Walk in</x:v>
      </x:c>
      <x:c r="L298" s="2" t="str">
        <x:v>=D4-C4</x:v>
      </x:c>
      <x:c r="M298" s="2" t="str">
        <x:v>=G4-F4</x:v>
      </x:c>
      <x:c r="N298" s="14" t="n">
        <x:v>0</x:v>
      </x:c>
      <x:c r="O298" s="14" t="n">
        <x:v>0.075</x:v>
      </x:c>
    </x:row>
    <x:row r="299" ht="24" customHeight="1">
      <x:c r="A299" s="2" t="str">
        <x:v>183_4</x:v>
      </x:c>
      <x:c r="B299" s="10" t="str">
        <x:v>183</x:v>
      </x:c>
      <x:c r="C299" s="10" t="n">
        <x:v>5</x:v>
      </x:c>
      <x:c r="D299" s="10" t="n">
        <x:v>4</x:v>
      </x:c>
      <x:c r="E299" s="10" t="n">
        <x:v>2</x:v>
      </x:c>
      <x:c r="F299" s="12"/>
      <x:c r="G299" s="12"/>
      <x:c r="H299" s="10" t="n">
        <x:v>16</x:v>
      </x:c>
      <x:c r="I299" s="12" t="n">
        <x:v>0.2965277777777778</x:v>
      </x:c>
      <x:c r="J299" s="12" t="n">
        <x:v>0.3284722222222222</x:v>
      </x:c>
      <x:c r="K299" s="2" t="str">
        <x:v>In house</x:v>
      </x:c>
      <x:c r="L299" s="2" t="str">
        <x:v>=D5-C5</x:v>
      </x:c>
      <x:c r="M299" s="2" t="str">
        <x:v>=G5-F5</x:v>
      </x:c>
      <x:c r="N299" s="14" t="n">
        <x:v>0</x:v>
      </x:c>
      <x:c r="O299" s="14" t="n">
        <x:v>0.03194444444444444</x:v>
      </x:c>
    </x:row>
    <x:row r="300" ht="24" customHeight="1">
      <x:c r="A300" s="2" t="str">
        <x:v>183_5</x:v>
      </x:c>
      <x:c r="B300" s="10" t="str">
        <x:v>183</x:v>
      </x:c>
      <x:c r="C300" s="10" t="n">
        <x:v>6</x:v>
      </x:c>
      <x:c r="D300" s="10" t="n">
        <x:v>5</x:v>
      </x:c>
      <x:c r="E300" s="10" t="n">
        <x:v>1</x:v>
      </x:c>
      <x:c r="F300" s="12"/>
      <x:c r="G300" s="12"/>
      <x:c r="H300" s="10" t="str">
        <x:v>8A</x:v>
      </x:c>
      <x:c r="I300" s="12" t="n">
        <x:v>0.10347222222222222</x:v>
      </x:c>
      <x:c r="J300" s="12" t="n">
        <x:v>0.3263888888888889</x:v>
      </x:c>
      <x:c r="K300" s="2" t="str">
        <x:v>In house</x:v>
      </x:c>
      <x:c r="L300" s="2" t="str">
        <x:v>=D6-C6</x:v>
      </x:c>
      <x:c r="M300" s="2" t="str">
        <x:v>=G6-F6</x:v>
      </x:c>
      <x:c r="N300" s="14" t="n">
        <x:v>0</x:v>
      </x:c>
      <x:c r="O300" s="14" t="n">
        <x:v>0.22291666666666668</x:v>
      </x:c>
    </x:row>
    <x:row r="301" ht="24" customHeight="1">
      <x:c r="A301" s="2" t="str">
        <x:v>183_6</x:v>
      </x:c>
      <x:c r="B301" s="10" t="str">
        <x:v>183</x:v>
      </x:c>
      <x:c r="C301" s="10" t="n">
        <x:v>7</x:v>
      </x:c>
      <x:c r="D301" s="10" t="n">
        <x:v>6</x:v>
      </x:c>
      <x:c r="E301" s="10" t="n">
        <x:v>1</x:v>
      </x:c>
      <x:c r="F301" s="12"/>
      <x:c r="G301" s="12"/>
      <x:c r="H301" s="10" t="str">
        <x:v>8C</x:v>
      </x:c>
      <x:c r="I301" s="12" t="n">
        <x:v>0.31527777777777777</x:v>
      </x:c>
      <x:c r="J301" s="12" t="n">
        <x:v>0.32430555555555557</x:v>
      </x:c>
      <x:c r="K301" s="2" t="str">
        <x:v>In house</x:v>
      </x:c>
      <x:c r="L301" s="2" t="str">
        <x:v>=D7-C7</x:v>
      </x:c>
      <x:c r="M301" s="2" t="str">
        <x:v>=G7-F7</x:v>
      </x:c>
      <x:c r="N301" s="14" t="n">
        <x:v>0</x:v>
      </x:c>
      <x:c r="O301" s="14" t="n">
        <x:v>0.009027777777777777</x:v>
      </x:c>
    </x:row>
    <x:row r="302" ht="24" customHeight="1">
      <x:c r="A302" s="2" t="str">
        <x:v>183_7</x:v>
      </x:c>
      <x:c r="B302" s="10" t="str">
        <x:v>183</x:v>
      </x:c>
      <x:c r="C302" s="10" t="n">
        <x:v>8</x:v>
      </x:c>
      <x:c r="D302" s="10" t="n">
        <x:v>7</x:v>
      </x:c>
      <x:c r="E302" s="10" t="n">
        <x:v>1</x:v>
      </x:c>
      <x:c r="F302" s="12"/>
      <x:c r="G302" s="12"/>
      <x:c r="H302" s="10" t="n">
        <x:v>6</x:v>
      </x:c>
      <x:c r="I302" s="12" t="n">
        <x:v>0.3159722222222222</x:v>
      </x:c>
      <x:c r="J302" s="12" t="n">
        <x:v>0.3229166666666667</x:v>
      </x:c>
      <x:c r="K302" s="2" t="str">
        <x:v>In house</x:v>
      </x:c>
      <x:c r="L302" s="2" t="str">
        <x:v>=D8-C8</x:v>
      </x:c>
      <x:c r="M302" s="2" t="str">
        <x:v>=G8-F8</x:v>
      </x:c>
      <x:c r="N302" s="14" t="n">
        <x:v>0</x:v>
      </x:c>
      <x:c r="O302" s="14" t="n">
        <x:v>0.006944444444444444</x:v>
      </x:c>
    </x:row>
    <x:row r="303" ht="24" customHeight="1">
      <x:c r="A303" s="2" t="str">
        <x:v>183_8</x:v>
      </x:c>
      <x:c r="B303" s="10" t="str">
        <x:v>183</x:v>
      </x:c>
      <x:c r="C303" s="10" t="n">
        <x:v>9</x:v>
      </x:c>
      <x:c r="D303" s="10" t="n">
        <x:v>8</x:v>
      </x:c>
      <x:c r="E303" s="10" t="n">
        <x:v>1</x:v>
      </x:c>
      <x:c r="F303" s="12"/>
      <x:c r="G303" s="12"/>
      <x:c r="H303" s="10" t="str">
        <x:v>10B</x:v>
      </x:c>
      <x:c r="I303" s="12" t="n">
        <x:v>0.32222222222222224</x:v>
      </x:c>
      <x:c r="J303" s="12" t="n">
        <x:v>0.3326388888888889</x:v>
      </x:c>
      <x:c r="K303" s="2" t="str">
        <x:v>In house</x:v>
      </x:c>
      <x:c r="L303" s="2" t="str">
        <x:v>=D9-C9</x:v>
      </x:c>
      <x:c r="M303" s="2" t="str">
        <x:v>=G9-F9</x:v>
      </x:c>
      <x:c r="N303" s="14" t="n">
        <x:v>0</x:v>
      </x:c>
      <x:c r="O303" s="14" t="n">
        <x:v>0.010416666666666666</x:v>
      </x:c>
    </x:row>
    <x:row r="304" ht="24" customHeight="1">
      <x:c r="A304" s="2" t="str">
        <x:v>183_9</x:v>
      </x:c>
      <x:c r="B304" s="10" t="str">
        <x:v>183</x:v>
      </x:c>
      <x:c r="C304" s="10" t="n">
        <x:v>10</x:v>
      </x:c>
      <x:c r="D304" s="10" t="n">
        <x:v>9</x:v>
      </x:c>
      <x:c r="E304" s="10" t="n">
        <x:v>2</x:v>
      </x:c>
      <x:c r="F304" s="12"/>
      <x:c r="G304" s="12"/>
      <x:c r="H304" s="10" t="n">
        <x:v>1</x:v>
      </x:c>
      <x:c r="I304" s="12" t="n">
        <x:v>0.3229166666666667</x:v>
      </x:c>
      <x:c r="J304" s="12" t="n">
        <x:v>0.33819444444444446</x:v>
      </x:c>
      <x:c r="K304" s="2" t="str">
        <x:v>In house</x:v>
      </x:c>
      <x:c r="L304" s="2" t="str">
        <x:v>=D10-C10</x:v>
      </x:c>
      <x:c r="M304" s="2" t="str">
        <x:v>=G10-F10</x:v>
      </x:c>
      <x:c r="N304" s="14" t="n">
        <x:v>0</x:v>
      </x:c>
      <x:c r="O304" s="14" t="n">
        <x:v>0.015277777777777777</x:v>
      </x:c>
    </x:row>
    <x:row r="305" ht="24" customHeight="1">
      <x:c r="A305" s="2" t="str">
        <x:v>183_10</x:v>
      </x:c>
      <x:c r="B305" s="10" t="str">
        <x:v>183</x:v>
      </x:c>
      <x:c r="C305" s="10" t="n">
        <x:v>11</x:v>
      </x:c>
      <x:c r="D305" s="10" t="n">
        <x:v>10</x:v>
      </x:c>
      <x:c r="E305" s="10" t="n">
        <x:v>2</x:v>
      </x:c>
      <x:c r="F305" s="12"/>
      <x:c r="G305" s="12"/>
      <x:c r="H305" s="10" t="n">
        <x:v>6</x:v>
      </x:c>
      <x:c r="I305" s="12" t="n">
        <x:v>0.3236111111111111</x:v>
      </x:c>
      <x:c r="J305" s="12" t="n">
        <x:v>0.39375</x:v>
      </x:c>
      <x:c r="K305" s="2" t="str">
        <x:v>In house</x:v>
      </x:c>
      <x:c r="L305" s="2" t="str">
        <x:v>=D11-C11</x:v>
      </x:c>
      <x:c r="M305" s="2" t="str">
        <x:v>=G11-F11</x:v>
      </x:c>
      <x:c r="N305" s="14" t="n">
        <x:v>0</x:v>
      </x:c>
      <x:c r="O305" s="14" t="n">
        <x:v>0.07013888888888889</x:v>
      </x:c>
    </x:row>
    <x:row r="306" ht="24" customHeight="1">
      <x:c r="A306" s="2" t="str">
        <x:v>183_11</x:v>
      </x:c>
      <x:c r="B306" s="10" t="str">
        <x:v>183</x:v>
      </x:c>
      <x:c r="C306" s="10" t="n">
        <x:v>12</x:v>
      </x:c>
      <x:c r="D306" s="10" t="n">
        <x:v>11</x:v>
      </x:c>
      <x:c r="E306" s="10" t="n">
        <x:v>1</x:v>
      </x:c>
      <x:c r="F306" s="12"/>
      <x:c r="G306" s="12"/>
      <x:c r="H306" s="10" t="str">
        <x:v>7B</x:v>
      </x:c>
      <x:c r="I306" s="12" t="n">
        <x:v>0.32569444444444445</x:v>
      </x:c>
      <x:c r="J306" s="12" t="n">
        <x:v>0.3423611111111111</x:v>
      </x:c>
      <x:c r="K306" s="2" t="str">
        <x:v>In house</x:v>
      </x:c>
      <x:c r="L306" s="2" t="str">
        <x:v>=D12-C12</x:v>
      </x:c>
      <x:c r="M306" s="2" t="str">
        <x:v>=G12-F12</x:v>
      </x:c>
      <x:c r="N306" s="14" t="n">
        <x:v>0</x:v>
      </x:c>
      <x:c r="O306" s="14" t="n">
        <x:v>0.016666666666666666</x:v>
      </x:c>
    </x:row>
    <x:row r="307" ht="24" customHeight="1">
      <x:c r="A307" s="2" t="str">
        <x:v>183_12</x:v>
      </x:c>
      <x:c r="B307" s="10" t="str">
        <x:v>183</x:v>
      </x:c>
      <x:c r="C307" s="10" t="n">
        <x:v>13</x:v>
      </x:c>
      <x:c r="D307" s="10" t="n">
        <x:v>12</x:v>
      </x:c>
      <x:c r="E307" s="10" t="n">
        <x:v>1</x:v>
      </x:c>
      <x:c r="F307" s="12"/>
      <x:c r="G307" s="12"/>
      <x:c r="H307" s="10" t="str">
        <x:v>8A</x:v>
      </x:c>
      <x:c r="I307" s="12" t="n">
        <x:v>0.3298611111111111</x:v>
      </x:c>
      <x:c r="J307" s="12" t="n">
        <x:v>0.38958333333333334</x:v>
      </x:c>
      <x:c r="K307" s="2" t="str">
        <x:v>Walk in</x:v>
      </x:c>
      <x:c r="L307" s="2" t="str">
        <x:v>=D13-C13</x:v>
      </x:c>
      <x:c r="M307" s="2" t="str">
        <x:v>=G13-F13</x:v>
      </x:c>
      <x:c r="N307" s="14" t="n">
        <x:v>0</x:v>
      </x:c>
      <x:c r="O307" s="14" t="n">
        <x:v>0.059722222222222225</x:v>
      </x:c>
    </x:row>
    <x:row r="308" ht="24" customHeight="1">
      <x:c r="A308" s="2" t="str">
        <x:v>183_13</x:v>
      </x:c>
      <x:c r="B308" s="10" t="str">
        <x:v>183</x:v>
      </x:c>
      <x:c r="C308" s="10" t="n">
        <x:v>14</x:v>
      </x:c>
      <x:c r="D308" s="10" t="n">
        <x:v>13</x:v>
      </x:c>
      <x:c r="E308" s="10" t="n">
        <x:v>1</x:v>
      </x:c>
      <x:c r="F308" s="12"/>
      <x:c r="G308" s="12"/>
      <x:c r="H308" s="10" t="str">
        <x:v>4B</x:v>
      </x:c>
      <x:c r="I308" s="12" t="n">
        <x:v>0.33194444444444443</x:v>
      </x:c>
      <x:c r="J308" s="12" t="n">
        <x:v>0.37430555555555556</x:v>
      </x:c>
      <x:c r="K308" s="2" t="str">
        <x:v>Walk in</x:v>
      </x:c>
      <x:c r="L308" s="2" t="str">
        <x:v>=D14-C14</x:v>
      </x:c>
      <x:c r="M308" s="2" t="str">
        <x:v>=G14-F14</x:v>
      </x:c>
      <x:c r="N308" s="14" t="n">
        <x:v>0</x:v>
      </x:c>
      <x:c r="O308" s="14" t="n">
        <x:v>0.04236111111111111</x:v>
      </x:c>
    </x:row>
    <x:row r="309" ht="24" customHeight="1">
      <x:c r="A309" s="2" t="str">
        <x:v>183_14</x:v>
      </x:c>
      <x:c r="B309" s="10" t="str">
        <x:v>183</x:v>
      </x:c>
      <x:c r="C309" s="10" t="n">
        <x:v>15</x:v>
      </x:c>
      <x:c r="D309" s="10" t="n">
        <x:v>14</x:v>
      </x:c>
      <x:c r="E309" s="10" t="n">
        <x:v>2</x:v>
      </x:c>
      <x:c r="F309" s="12"/>
      <x:c r="G309" s="12"/>
      <x:c r="H309" s="10" t="n">
        <x:v>16</x:v>
      </x:c>
      <x:c r="I309" s="12" t="n">
        <x:v>0.33541666666666664</x:v>
      </x:c>
      <x:c r="J309" s="12" t="n">
        <x:v>0.3576388888888889</x:v>
      </x:c>
      <x:c r="K309" s="2" t="str">
        <x:v>Walk in</x:v>
      </x:c>
      <x:c r="L309" s="2" t="str">
        <x:v>=D15-C15</x:v>
      </x:c>
      <x:c r="M309" s="2" t="str">
        <x:v>=G15-F15</x:v>
      </x:c>
      <x:c r="N309" s="14" t="n">
        <x:v>0</x:v>
      </x:c>
      <x:c r="O309" s="14" t="n">
        <x:v>0.022222222222222223</x:v>
      </x:c>
    </x:row>
    <x:row r="310" ht="24" customHeight="1">
      <x:c r="A310" s="2" t="str">
        <x:v>183_15</x:v>
      </x:c>
      <x:c r="B310" s="10" t="str">
        <x:v>183</x:v>
      </x:c>
      <x:c r="C310" s="10" t="n">
        <x:v>16</x:v>
      </x:c>
      <x:c r="D310" s="10" t="n">
        <x:v>15</x:v>
      </x:c>
      <x:c r="E310" s="10" t="n">
        <x:v>2</x:v>
      </x:c>
      <x:c r="F310" s="12"/>
      <x:c r="G310" s="12"/>
      <x:c r="H310" s="10" t="str">
        <x:v>10B</x:v>
      </x:c>
      <x:c r="I310" s="12" t="n">
        <x:v>0.3368055555555556</x:v>
      </x:c>
      <x:c r="J310" s="12" t="n">
        <x:v>0.3680555555555556</x:v>
      </x:c>
      <x:c r="K310" s="2" t="str">
        <x:v>In house</x:v>
      </x:c>
      <x:c r="L310" s="2" t="str">
        <x:v>=D16-C16</x:v>
      </x:c>
      <x:c r="M310" s="2" t="str">
        <x:v>=G16-F16</x:v>
      </x:c>
      <x:c r="N310" s="14" t="n">
        <x:v>0</x:v>
      </x:c>
      <x:c r="O310" s="14" t="n">
        <x:v>0.03125</x:v>
      </x:c>
    </x:row>
    <x:row r="311" ht="24" customHeight="1">
      <x:c r="A311" s="2" t="str">
        <x:v>183_16</x:v>
      </x:c>
      <x:c r="B311" s="10" t="str">
        <x:v>183</x:v>
      </x:c>
      <x:c r="C311" s="10" t="n">
        <x:v>17</x:v>
      </x:c>
      <x:c r="D311" s="10" t="n">
        <x:v>16</x:v>
      </x:c>
      <x:c r="E311" s="10" t="n">
        <x:v>2</x:v>
      </x:c>
      <x:c r="F311" s="12"/>
      <x:c r="G311" s="12"/>
      <x:c r="H311" s="10" t="str">
        <x:v>11A</x:v>
      </x:c>
      <x:c r="I311" s="12" t="n">
        <x:v>0.3375</x:v>
      </x:c>
      <x:c r="J311" s="12" t="n">
        <x:v>0.35833333333333334</x:v>
      </x:c>
      <x:c r="K311" s="2" t="str">
        <x:v>In house</x:v>
      </x:c>
      <x:c r="L311" s="2" t="str">
        <x:v>=D17-C17</x:v>
      </x:c>
      <x:c r="M311" s="2" t="str">
        <x:v>=G17-F17</x:v>
      </x:c>
      <x:c r="N311" s="14" t="n">
        <x:v>0</x:v>
      </x:c>
      <x:c r="O311" s="14" t="n">
        <x:v>0.020833333333333332</x:v>
      </x:c>
    </x:row>
    <x:row r="312" ht="24" customHeight="1">
      <x:c r="A312" s="2" t="str">
        <x:v>183_17</x:v>
      </x:c>
      <x:c r="B312" s="10" t="str">
        <x:v>183</x:v>
      </x:c>
      <x:c r="C312" s="10" t="n">
        <x:v>18</x:v>
      </x:c>
      <x:c r="D312" s="10" t="n">
        <x:v>17</x:v>
      </x:c>
      <x:c r="E312" s="10" t="n">
        <x:v>1</x:v>
      </x:c>
      <x:c r="F312" s="12"/>
      <x:c r="G312" s="12"/>
      <x:c r="H312" s="10" t="str">
        <x:v>1A</x:v>
      </x:c>
      <x:c r="I312" s="12" t="n">
        <x:v>0.34375</x:v>
      </x:c>
      <x:c r="J312" s="12" t="n">
        <x:v>0.375</x:v>
      </x:c>
      <x:c r="K312" s="2" t="str">
        <x:v>Walk in</x:v>
      </x:c>
      <x:c r="L312" s="2" t="str">
        <x:v>=D18-C18</x:v>
      </x:c>
      <x:c r="M312" s="2" t="str">
        <x:v>=G18-F18</x:v>
      </x:c>
      <x:c r="N312" s="14" t="n">
        <x:v>0</x:v>
      </x:c>
      <x:c r="O312" s="14" t="n">
        <x:v>0.03125</x:v>
      </x:c>
    </x:row>
    <x:row r="313" ht="24" customHeight="1">
      <x:c r="A313" s="2" t="str">
        <x:v>183_18</x:v>
      </x:c>
      <x:c r="B313" s="10" t="str">
        <x:v>183</x:v>
      </x:c>
      <x:c r="C313" s="10" t="n">
        <x:v>19</x:v>
      </x:c>
      <x:c r="D313" s="10" t="n">
        <x:v>18</x:v>
      </x:c>
      <x:c r="E313" s="10" t="n">
        <x:v>1</x:v>
      </x:c>
      <x:c r="F313" s="12"/>
      <x:c r="G313" s="12"/>
      <x:c r="H313" s="10" t="str">
        <x:v>1B</x:v>
      </x:c>
      <x:c r="I313" s="12" t="n">
        <x:v>0.34444444444444444</x:v>
      </x:c>
      <x:c r="J313" s="12" t="n">
        <x:v>0.4125</x:v>
      </x:c>
      <x:c r="K313" s="2" t="str">
        <x:v>Walk in</x:v>
      </x:c>
      <x:c r="L313" s="2" t="str">
        <x:v>=D19-C19</x:v>
      </x:c>
      <x:c r="M313" s="2" t="str">
        <x:v>=G19-F19</x:v>
      </x:c>
      <x:c r="N313" s="14" t="n">
        <x:v>0</x:v>
      </x:c>
      <x:c r="O313" s="14" t="n">
        <x:v>0.06805555555555555</x:v>
      </x:c>
    </x:row>
    <x:row r="314" ht="24" customHeight="1">
      <x:c r="A314" s="2" t="str">
        <x:v>183_19</x:v>
      </x:c>
      <x:c r="B314" s="10" t="str">
        <x:v>183</x:v>
      </x:c>
      <x:c r="C314" s="10" t="n">
        <x:v>20</x:v>
      </x:c>
      <x:c r="D314" s="10" t="n">
        <x:v>19</x:v>
      </x:c>
      <x:c r="E314" s="10" t="n">
        <x:v>1</x:v>
      </x:c>
      <x:c r="F314" s="12"/>
      <x:c r="G314" s="12"/>
      <x:c r="H314" s="10" t="str">
        <x:v>7B</x:v>
      </x:c>
      <x:c r="I314" s="12" t="n">
        <x:v>0.3458333333333333</x:v>
      </x:c>
      <x:c r="J314" s="12" t="n">
        <x:v>0.40069444444444446</x:v>
      </x:c>
      <x:c r="K314" s="2" t="str">
        <x:v>Walk in</x:v>
      </x:c>
      <x:c r="L314" s="2" t="str">
        <x:v>=D20-C20</x:v>
      </x:c>
      <x:c r="M314" s="2" t="str">
        <x:v>=G20-F20</x:v>
      </x:c>
      <x:c r="N314" s="14" t="n">
        <x:v>0</x:v>
      </x:c>
      <x:c r="O314" s="14" t="n">
        <x:v>0.05486111111111111</x:v>
      </x:c>
    </x:row>
    <x:row r="315" ht="24" customHeight="1">
      <x:c r="A315" s="2" t="str">
        <x:v>183_20</x:v>
      </x:c>
      <x:c r="B315" s="10" t="str">
        <x:v>183</x:v>
      </x:c>
      <x:c r="C315" s="10" t="n">
        <x:v>21</x:v>
      </x:c>
      <x:c r="D315" s="10" t="n">
        <x:v>20</x:v>
      </x:c>
      <x:c r="E315" s="10" t="n">
        <x:v>2</x:v>
      </x:c>
      <x:c r="F315" s="12"/>
      <x:c r="G315" s="12"/>
      <x:c r="H315" s="10" t="n">
        <x:v>3</x:v>
      </x:c>
      <x:c r="I315" s="12" t="n">
        <x:v>0.3506944444444444</x:v>
      </x:c>
      <x:c r="J315" s="12" t="n">
        <x:v>0.3784722222222222</x:v>
      </x:c>
      <x:c r="K315" s="2" t="str">
        <x:v>In house</x:v>
      </x:c>
      <x:c r="L315" s="2" t="str">
        <x:v>=D21-C21</x:v>
      </x:c>
      <x:c r="M315" s="2" t="str">
        <x:v>=G21-F21</x:v>
      </x:c>
      <x:c r="N315" s="14" t="n">
        <x:v>0</x:v>
      </x:c>
      <x:c r="O315" s="14" t="n">
        <x:v>0.027777777777777776</x:v>
      </x:c>
    </x:row>
    <x:row r="316" ht="24" customHeight="1">
      <x:c r="A316" s="2" t="str">
        <x:v>183_21</x:v>
      </x:c>
      <x:c r="B316" s="10" t="str">
        <x:v>183</x:v>
      </x:c>
      <x:c r="C316" s="10" t="n">
        <x:v>22</x:v>
      </x:c>
      <x:c r="D316" s="10" t="n">
        <x:v>21</x:v>
      </x:c>
      <x:c r="E316" s="10" t="n">
        <x:v>2</x:v>
      </x:c>
      <x:c r="F316" s="12"/>
      <x:c r="G316" s="12"/>
      <x:c r="H316" s="10" t="str">
        <x:v>8B</x:v>
      </x:c>
      <x:c r="I316" s="12" t="n">
        <x:v>0.3527777777777778</x:v>
      </x:c>
      <x:c r="J316" s="12" t="n">
        <x:v>0.37916666666666665</x:v>
      </x:c>
      <x:c r="K316" s="2" t="str">
        <x:v>In house</x:v>
      </x:c>
      <x:c r="L316" s="2" t="str">
        <x:v>=D22-C22</x:v>
      </x:c>
      <x:c r="M316" s="2" t="str">
        <x:v>=G22-F22</x:v>
      </x:c>
      <x:c r="N316" s="14" t="n">
        <x:v>0</x:v>
      </x:c>
      <x:c r="O316" s="14" t="n">
        <x:v>0.02638888888888889</x:v>
      </x:c>
    </x:row>
    <x:row r="317" ht="24" customHeight="1">
      <x:c r="A317" s="2" t="str">
        <x:v>183_22</x:v>
      </x:c>
      <x:c r="B317" s="10" t="str">
        <x:v>183</x:v>
      </x:c>
      <x:c r="C317" s="10" t="n">
        <x:v>23</x:v>
      </x:c>
      <x:c r="D317" s="10" t="n">
        <x:v>22</x:v>
      </x:c>
      <x:c r="E317" s="10" t="n">
        <x:v>2</x:v>
      </x:c>
      <x:c r="F317" s="12"/>
      <x:c r="G317" s="12"/>
      <x:c r="H317" s="10" t="n">
        <x:v>15</x:v>
      </x:c>
      <x:c r="I317" s="12" t="n">
        <x:v>0.35347222222222224</x:v>
      </x:c>
      <x:c r="J317" s="12" t="n">
        <x:v>0.38819444444444445</x:v>
      </x:c>
      <x:c r="K317" s="2" t="str">
        <x:v>Walk in</x:v>
      </x:c>
      <x:c r="L317" s="2" t="str">
        <x:v>=D23-C23</x:v>
      </x:c>
      <x:c r="M317" s="2" t="str">
        <x:v>=G23-F23</x:v>
      </x:c>
      <x:c r="N317" s="14" t="n">
        <x:v>0</x:v>
      </x:c>
      <x:c r="O317" s="14" t="n">
        <x:v>0.034722222222222224</x:v>
      </x:c>
    </x:row>
    <x:row r="318" ht="24" customHeight="1">
      <x:c r="A318" s="2" t="str">
        <x:v>183_23</x:v>
      </x:c>
      <x:c r="B318" s="10" t="str">
        <x:v>183</x:v>
      </x:c>
      <x:c r="C318" s="10" t="n">
        <x:v>24</x:v>
      </x:c>
      <x:c r="D318" s="10" t="n">
        <x:v>23</x:v>
      </x:c>
      <x:c r="E318" s="10" t="n">
        <x:v>4</x:v>
      </x:c>
      <x:c r="F318" s="12"/>
      <x:c r="G318" s="12"/>
      <x:c r="H318" s="10" t="n">
        <x:v>2</x:v>
      </x:c>
      <x:c r="I318" s="12" t="n">
        <x:v>0.3541666666666667</x:v>
      </x:c>
      <x:c r="J318" s="12" t="n">
        <x:v>0.3819444444444444</x:v>
      </x:c>
      <x:c r="K318" s="2" t="str">
        <x:v>In house</x:v>
      </x:c>
      <x:c r="L318" s="2" t="str">
        <x:v>=D24-C24</x:v>
      </x:c>
      <x:c r="M318" s="2" t="str">
        <x:v>=G24-F24</x:v>
      </x:c>
      <x:c r="N318" s="14" t="n">
        <x:v>0</x:v>
      </x:c>
      <x:c r="O318" s="14" t="n">
        <x:v>0.027777777777777776</x:v>
      </x:c>
    </x:row>
    <x:row r="319" ht="24" customHeight="1">
      <x:c r="A319" s="2" t="str">
        <x:v>183_24</x:v>
      </x:c>
      <x:c r="B319" s="10" t="str">
        <x:v>183</x:v>
      </x:c>
      <x:c r="C319" s="10" t="n">
        <x:v>25</x:v>
      </x:c>
      <x:c r="D319" s="10" t="n">
        <x:v>24</x:v>
      </x:c>
      <x:c r="E319" s="10" t="n">
        <x:v>1</x:v>
      </x:c>
      <x:c r="F319" s="12"/>
      <x:c r="G319" s="12"/>
      <x:c r="H319" s="10" t="n">
        <x:v>16</x:v>
      </x:c>
      <x:c r="I319" s="12" t="n">
        <x:v>0.3611111111111111</x:v>
      </x:c>
      <x:c r="J319" s="12" t="n">
        <x:v>0.3951388888888889</x:v>
      </x:c>
      <x:c r="K319" s="2" t="str">
        <x:v>Walk in</x:v>
      </x:c>
      <x:c r="L319" s="2" t="str">
        <x:v>=D25-C25</x:v>
      </x:c>
      <x:c r="M319" s="2" t="str">
        <x:v>=G25-F25</x:v>
      </x:c>
      <x:c r="N319" s="14" t="n">
        <x:v>0</x:v>
      </x:c>
      <x:c r="O319" s="14" t="n">
        <x:v>0.034027777777777775</x:v>
      </x:c>
    </x:row>
    <x:row r="320" ht="24" customHeight="1">
      <x:c r="A320" s="2" t="str">
        <x:v>183_25</x:v>
      </x:c>
      <x:c r="B320" s="10" t="str">
        <x:v>183</x:v>
      </x:c>
      <x:c r="C320" s="10" t="n">
        <x:v>26</x:v>
      </x:c>
      <x:c r="D320" s="10" t="n">
        <x:v>25</x:v>
      </x:c>
      <x:c r="E320" s="10" t="n">
        <x:v>2</x:v>
      </x:c>
      <x:c r="F320" s="12"/>
      <x:c r="G320" s="12"/>
      <x:c r="H320" s="10" t="str">
        <x:v>11B</x:v>
      </x:c>
      <x:c r="I320" s="12" t="n">
        <x:v>0.3625</x:v>
      </x:c>
      <x:c r="J320" s="12" t="n">
        <x:v>0.3993055555555556</x:v>
      </x:c>
      <x:c r="K320" s="2" t="str">
        <x:v>In house</x:v>
      </x:c>
      <x:c r="L320" s="2" t="str">
        <x:v>=D26-C26</x:v>
      </x:c>
      <x:c r="M320" s="2" t="str">
        <x:v>=G26-F26</x:v>
      </x:c>
      <x:c r="N320" s="14" t="n">
        <x:v>0</x:v>
      </x:c>
      <x:c r="O320" s="14" t="n">
        <x:v>0.03680555555555556</x:v>
      </x:c>
    </x:row>
    <x:row r="321" ht="24" customHeight="1">
      <x:c r="A321" s="2" t="str">
        <x:v>183_26</x:v>
      </x:c>
      <x:c r="B321" s="10" t="str">
        <x:v>183</x:v>
      </x:c>
      <x:c r="C321" s="10" t="n">
        <x:v>27</x:v>
      </x:c>
      <x:c r="D321" s="10" t="n">
        <x:v>26</x:v>
      </x:c>
      <x:c r="E321" s="10" t="n">
        <x:v>3</x:v>
      </x:c>
      <x:c r="F321" s="12"/>
      <x:c r="G321" s="12"/>
      <x:c r="H321" s="10" t="n">
        <x:v>5</x:v>
      </x:c>
      <x:c r="I321" s="12" t="n">
        <x:v>0.36319444444444443</x:v>
      </x:c>
      <x:c r="J321" s="12" t="n">
        <x:v>0.3736111111111111</x:v>
      </x:c>
      <x:c r="K321" s="2" t="str">
        <x:v>In house</x:v>
      </x:c>
      <x:c r="L321" s="2" t="str">
        <x:v>=D27-C27</x:v>
      </x:c>
      <x:c r="M321" s="2" t="str">
        <x:v>=G27-F27</x:v>
      </x:c>
      <x:c r="N321" s="14" t="n">
        <x:v>0</x:v>
      </x:c>
      <x:c r="O321" s="14" t="n">
        <x:v>0.010416666666666666</x:v>
      </x:c>
    </x:row>
    <x:row r="322" ht="24" customHeight="1">
      <x:c r="A322" s="2" t="str">
        <x:v>183_27</x:v>
      </x:c>
      <x:c r="B322" s="10" t="str">
        <x:v>183</x:v>
      </x:c>
      <x:c r="C322" s="10" t="n">
        <x:v>28</x:v>
      </x:c>
      <x:c r="D322" s="10" t="n">
        <x:v>27</x:v>
      </x:c>
      <x:c r="E322" s="10" t="n">
        <x:v>1</x:v>
      </x:c>
      <x:c r="F322" s="12"/>
      <x:c r="G322" s="12"/>
      <x:c r="H322" s="10" t="str">
        <x:v>7B</x:v>
      </x:c>
      <x:c r="I322" s="12" t="n">
        <x:v>0.3638888888888889</x:v>
      </x:c>
      <x:c r="J322" s="12" t="n">
        <x:v>0.3840277777777778</x:v>
      </x:c>
      <x:c r="K322" s="2" t="str">
        <x:v>In house</x:v>
      </x:c>
      <x:c r="L322" s="2" t="str">
        <x:v>=D28-C28</x:v>
      </x:c>
      <x:c r="M322" s="2" t="str">
        <x:v>=G28-F28</x:v>
      </x:c>
      <x:c r="N322" s="14" t="n">
        <x:v>0</x:v>
      </x:c>
      <x:c r="O322" s="14" t="n">
        <x:v>0.02013888888888889</x:v>
      </x:c>
    </x:row>
    <x:row r="323" ht="24" customHeight="1">
      <x:c r="A323" s="2" t="str">
        <x:v>183_28</x:v>
      </x:c>
      <x:c r="B323" s="10" t="str">
        <x:v>183</x:v>
      </x:c>
      <x:c r="C323" s="10" t="n">
        <x:v>29</x:v>
      </x:c>
      <x:c r="D323" s="10" t="n">
        <x:v>28</x:v>
      </x:c>
      <x:c r="E323" s="10" t="n">
        <x:v>5</x:v>
      </x:c>
      <x:c r="F323" s="12"/>
      <x:c r="G323" s="12"/>
      <x:c r="H323" s="10" t="str">
        <x:v>12/13</x:v>
      </x:c>
      <x:c r="I323" s="12" t="n">
        <x:v>0.3659722222222222</x:v>
      </x:c>
      <x:c r="J323" s="12" t="n">
        <x:v>0.43472222222222223</x:v>
      </x:c>
      <x:c r="K323" s="2" t="str">
        <x:v>Walk in</x:v>
      </x:c>
      <x:c r="L323" s="2" t="str">
        <x:v>=D29-C29</x:v>
      </x:c>
      <x:c r="M323" s="2" t="str">
        <x:v>=G29-F29</x:v>
      </x:c>
      <x:c r="N323" s="14" t="n">
        <x:v>0</x:v>
      </x:c>
      <x:c r="O323" s="14" t="n">
        <x:v>0.06875</x:v>
      </x:c>
    </x:row>
    <x:row r="324" ht="24" customHeight="1">
      <x:c r="A324" s="2" t="str">
        <x:v>183_29</x:v>
      </x:c>
      <x:c r="B324" s="10" t="str">
        <x:v>183</x:v>
      </x:c>
      <x:c r="C324" s="10" t="n">
        <x:v>30</x:v>
      </x:c>
      <x:c r="D324" s="10" t="n">
        <x:v>29</x:v>
      </x:c>
      <x:c r="E324" s="10" t="n">
        <x:v>1</x:v>
      </x:c>
      <x:c r="F324" s="12"/>
      <x:c r="G324" s="12"/>
      <x:c r="H324" s="10" t="str">
        <x:v>4A</x:v>
      </x:c>
      <x:c r="I324" s="12" t="n">
        <x:v>0.36736111111111114</x:v>
      </x:c>
      <x:c r="J324" s="12" t="n">
        <x:v>0.3923611111111111</x:v>
      </x:c>
      <x:c r="K324" s="2" t="str">
        <x:v>Walk in</x:v>
      </x:c>
      <x:c r="L324" s="2" t="str">
        <x:v>=D30-C30</x:v>
      </x:c>
      <x:c r="M324" s="2" t="str">
        <x:v>=G30-F30</x:v>
      </x:c>
      <x:c r="N324" s="14" t="n">
        <x:v>0</x:v>
      </x:c>
      <x:c r="O324" s="14" t="n">
        <x:v>0.025</x:v>
      </x:c>
    </x:row>
    <x:row r="325" ht="24" customHeight="1">
      <x:c r="A325" s="2" t="str">
        <x:v>183_30</x:v>
      </x:c>
      <x:c r="B325" s="10" t="str">
        <x:v>183</x:v>
      </x:c>
      <x:c r="C325" s="10" t="n">
        <x:v>31</x:v>
      </x:c>
      <x:c r="D325" s="10" t="n">
        <x:v>30</x:v>
      </x:c>
      <x:c r="E325" s="10" t="n">
        <x:v>1</x:v>
      </x:c>
      <x:c r="F325" s="12"/>
      <x:c r="G325" s="12"/>
      <x:c r="H325" s="10" t="str">
        <x:v>7A</x:v>
      </x:c>
      <x:c r="I325" s="12" t="n">
        <x:v>0.36736111111111114</x:v>
      </x:c>
      <x:c r="J325" s="12" t="n">
        <x:v>0.4548611111111111</x:v>
      </x:c>
      <x:c r="K325" s="2" t="str">
        <x:v>In house</x:v>
      </x:c>
      <x:c r="L325" s="2" t="str">
        <x:v>=D31-C31</x:v>
      </x:c>
      <x:c r="M325" s="2" t="str">
        <x:v>=G31-F31</x:v>
      </x:c>
      <x:c r="N325" s="14" t="n">
        <x:v>0</x:v>
      </x:c>
      <x:c r="O325" s="14" t="n">
        <x:v>0.0875</x:v>
      </x:c>
    </x:row>
    <x:row r="326" ht="24" customHeight="1">
      <x:c r="A326" s="2" t="str">
        <x:v>183_31</x:v>
      </x:c>
      <x:c r="B326" s="10" t="str">
        <x:v>183</x:v>
      </x:c>
      <x:c r="C326" s="10" t="n">
        <x:v>32</x:v>
      </x:c>
      <x:c r="D326" s="10" t="n">
        <x:v>31</x:v>
      </x:c>
      <x:c r="E326" s="10" t="n">
        <x:v>1</x:v>
      </x:c>
      <x:c r="F326" s="12"/>
      <x:c r="G326" s="12"/>
      <x:c r="H326" s="10" t="n">
        <x:v>14</x:v>
      </x:c>
      <x:c r="I326" s="12" t="n">
        <x:v>0.36319444444444443</x:v>
      </x:c>
      <x:c r="J326" s="12" t="n">
        <x:v>0.3993055555555556</x:v>
      </x:c>
      <x:c r="K326" s="2" t="str">
        <x:v>In house</x:v>
      </x:c>
      <x:c r="L326" s="2" t="str">
        <x:v>=D32-C32</x:v>
      </x:c>
      <x:c r="M326" s="2" t="str">
        <x:v>=G32-F32</x:v>
      </x:c>
      <x:c r="N326" s="14" t="n">
        <x:v>0</x:v>
      </x:c>
      <x:c r="O326" s="14" t="n">
        <x:v>0.03611111111111111</x:v>
      </x:c>
    </x:row>
    <x:row r="327" ht="24" customHeight="1">
      <x:c r="A327" s="2" t="str">
        <x:v>183_32</x:v>
      </x:c>
      <x:c r="B327" s="10" t="str">
        <x:v>183</x:v>
      </x:c>
      <x:c r="C327" s="10" t="n">
        <x:v>33</x:v>
      </x:c>
      <x:c r="D327" s="10" t="n">
        <x:v>32</x:v>
      </x:c>
      <x:c r="E327" s="10" t="n">
        <x:v>2</x:v>
      </x:c>
      <x:c r="F327" s="12"/>
      <x:c r="G327" s="12"/>
      <x:c r="H327" s="10" t="str">
        <x:v>5B</x:v>
      </x:c>
      <x:c r="I327" s="12" t="n">
        <x:v>0.375</x:v>
      </x:c>
      <x:c r="J327" s="12" t="n">
        <x:v>0.4166666666666667</x:v>
      </x:c>
      <x:c r="K327" s="2" t="str">
        <x:v>In house</x:v>
      </x:c>
      <x:c r="L327" s="2" t="str">
        <x:v>=D33-C33</x:v>
      </x:c>
      <x:c r="M327" s="2" t="str">
        <x:v>=G33-F33</x:v>
      </x:c>
      <x:c r="N327" s="14" t="n">
        <x:v>0</x:v>
      </x:c>
      <x:c r="O327" s="14" t="n">
        <x:v>0.041666666666666664</x:v>
      </x:c>
    </x:row>
    <x:row r="328" ht="24" customHeight="1">
      <x:c r="A328" s="2" t="str">
        <x:v>183_33</x:v>
      </x:c>
      <x:c r="B328" s="10" t="str">
        <x:v>183</x:v>
      </x:c>
      <x:c r="C328" s="10" t="n">
        <x:v>34</x:v>
      </x:c>
      <x:c r="D328" s="10" t="n">
        <x:v>33</x:v>
      </x:c>
      <x:c r="E328" s="10" t="n">
        <x:v>1</x:v>
      </x:c>
      <x:c r="F328" s="12"/>
      <x:c r="G328" s="12"/>
      <x:c r="H328" s="10" t="str">
        <x:v>8B</x:v>
      </x:c>
      <x:c r="I328" s="12" t="n">
        <x:v>0.38055555555555554</x:v>
      </x:c>
      <x:c r="J328" s="12" t="n">
        <x:v>0.41875</x:v>
      </x:c>
      <x:c r="K328" s="2" t="str">
        <x:v>Walk in</x:v>
      </x:c>
      <x:c r="L328" s="2" t="str">
        <x:v>=D34-C34</x:v>
      </x:c>
      <x:c r="M328" s="2" t="str">
        <x:v>=G34-F34</x:v>
      </x:c>
      <x:c r="N328" s="14" t="n">
        <x:v>0</x:v>
      </x:c>
      <x:c r="O328" s="14" t="n">
        <x:v>0.03819444444444445</x:v>
      </x:c>
    </x:row>
    <x:row r="329" ht="24" customHeight="1">
      <x:c r="A329" s="2" t="str">
        <x:v>183_34</x:v>
      </x:c>
      <x:c r="B329" s="10" t="str">
        <x:v>183</x:v>
      </x:c>
      <x:c r="C329" s="10" t="n">
        <x:v>35</x:v>
      </x:c>
      <x:c r="D329" s="10" t="n">
        <x:v>34</x:v>
      </x:c>
      <x:c r="E329" s="10" t="n">
        <x:v>2</x:v>
      </x:c>
      <x:c r="F329" s="12"/>
      <x:c r="G329" s="12"/>
      <x:c r="H329" s="10" t="str">
        <x:v>1A</x:v>
      </x:c>
      <x:c r="I329" s="12" t="n">
        <x:v>0.38263888888888886</x:v>
      </x:c>
      <x:c r="J329" s="12" t="n">
        <x:v>0.42430555555555555</x:v>
      </x:c>
      <x:c r="K329" s="2" t="str">
        <x:v>In house</x:v>
      </x:c>
      <x:c r="L329" s="2" t="str">
        <x:v>=D35-C35</x:v>
      </x:c>
      <x:c r="M329" s="2" t="str">
        <x:v>=G35-F35</x:v>
      </x:c>
      <x:c r="N329" s="14" t="n">
        <x:v>0</x:v>
      </x:c>
      <x:c r="O329" s="14" t="n">
        <x:v>0.041666666666666664</x:v>
      </x:c>
    </x:row>
    <x:row r="330" ht="24" customHeight="1">
      <x:c r="A330" s="2" t="str">
        <x:v>183_35</x:v>
      </x:c>
      <x:c r="B330" s="10" t="str">
        <x:v>183</x:v>
      </x:c>
      <x:c r="C330" s="10" t="n">
        <x:v>36</x:v>
      </x:c>
      <x:c r="D330" s="10" t="n">
        <x:v>35</x:v>
      </x:c>
      <x:c r="E330" s="10" t="n">
        <x:v>4</x:v>
      </x:c>
      <x:c r="F330" s="12"/>
      <x:c r="G330" s="12"/>
      <x:c r="H330" s="10" t="n">
        <x:v>9</x:v>
      </x:c>
      <x:c r="I330" s="12" t="n">
        <x:v>0.38333333333333336</x:v>
      </x:c>
      <x:c r="J330" s="12" t="n">
        <x:v>0.4222222222222222</x:v>
      </x:c>
      <x:c r="K330" s="2" t="str">
        <x:v>Walk in</x:v>
      </x:c>
      <x:c r="L330" s="2" t="str">
        <x:v>=D36-C36</x:v>
      </x:c>
      <x:c r="M330" s="2" t="str">
        <x:v>=G36-F36</x:v>
      </x:c>
      <x:c r="N330" s="14" t="n">
        <x:v>0</x:v>
      </x:c>
      <x:c r="O330" s="14" t="n">
        <x:v>0.03888888888888889</x:v>
      </x:c>
    </x:row>
    <x:row r="331" ht="24" customHeight="1">
      <x:c r="A331" s="2" t="str">
        <x:v>183_36</x:v>
      </x:c>
      <x:c r="B331" s="10" t="str">
        <x:v>183</x:v>
      </x:c>
      <x:c r="C331" s="10" t="n">
        <x:v>37</x:v>
      </x:c>
      <x:c r="D331" s="10" t="n">
        <x:v>36</x:v>
      </x:c>
      <x:c r="E331" s="10" t="n">
        <x:v>2</x:v>
      </x:c>
      <x:c r="F331" s="12"/>
      <x:c r="G331" s="12"/>
      <x:c r="H331" s="10" t="n">
        <x:v>3</x:v>
      </x:c>
      <x:c r="I331" s="12" t="n">
        <x:v>0.3840277777777778</x:v>
      </x:c>
      <x:c r="J331" s="12" t="n">
        <x:v>0.4201388888888889</x:v>
      </x:c>
      <x:c r="K331" s="2" t="str">
        <x:v>Walk in</x:v>
      </x:c>
      <x:c r="L331" s="2" t="str">
        <x:v>=D37-C37</x:v>
      </x:c>
      <x:c r="M331" s="2" t="str">
        <x:v>=G37-F37</x:v>
      </x:c>
      <x:c r="N331" s="14" t="n">
        <x:v>0</x:v>
      </x:c>
      <x:c r="O331" s="14" t="n">
        <x:v>0.03611111111111111</x:v>
      </x:c>
    </x:row>
    <x:row r="332" ht="24" customHeight="1">
      <x:c r="A332" s="2" t="str">
        <x:v>183_37</x:v>
      </x:c>
      <x:c r="B332" s="10" t="str">
        <x:v>183</x:v>
      </x:c>
      <x:c r="C332" s="10" t="n">
        <x:v>38</x:v>
      </x:c>
      <x:c r="D332" s="10" t="n">
        <x:v>37</x:v>
      </x:c>
      <x:c r="E332" s="10" t="n">
        <x:v>2</x:v>
      </x:c>
      <x:c r="F332" s="12"/>
      <x:c r="G332" s="12"/>
      <x:c r="H332" s="10" t="str">
        <x:v>4B/5A</x:v>
      </x:c>
      <x:c r="I332" s="12" t="n">
        <x:v>0.3888888888888889</x:v>
      </x:c>
      <x:c r="J332" s="12" t="n">
        <x:v>0.4125</x:v>
      </x:c>
      <x:c r="K332" s="2" t="str">
        <x:v>Walk in</x:v>
      </x:c>
      <x:c r="L332" s="2" t="str">
        <x:v>=D38-C38</x:v>
      </x:c>
      <x:c r="M332" s="2" t="str">
        <x:v>=G38-F38</x:v>
      </x:c>
      <x:c r="N332" s="14" t="n">
        <x:v>0</x:v>
      </x:c>
      <x:c r="O332" s="14" t="n">
        <x:v>0.02361111111111111</x:v>
      </x:c>
    </x:row>
    <x:row r="333" ht="24" customHeight="1">
      <x:c r="A333" s="2" t="str">
        <x:v>183_38</x:v>
      </x:c>
      <x:c r="B333" s="10" t="str">
        <x:v>183</x:v>
      </x:c>
      <x:c r="C333" s="10" t="n">
        <x:v>39</x:v>
      </x:c>
      <x:c r="D333" s="10" t="n">
        <x:v>38</x:v>
      </x:c>
      <x:c r="E333" s="10" t="n">
        <x:v>2</x:v>
      </x:c>
      <x:c r="F333" s="12"/>
      <x:c r="G333" s="12"/>
      <x:c r="H333" s="10" t="n">
        <x:v>15</x:v>
      </x:c>
      <x:c r="I333" s="12" t="n">
        <x:v>0.3902777777777778</x:v>
      </x:c>
      <x:c r="J333" s="12" t="n">
        <x:v>0.4270833333333333</x:v>
      </x:c>
      <x:c r="K333" s="2" t="str">
        <x:v>Walk in</x:v>
      </x:c>
      <x:c r="L333" s="2" t="str">
        <x:v>=D39-C39</x:v>
      </x:c>
      <x:c r="M333" s="2" t="str">
        <x:v>=G39-F39</x:v>
      </x:c>
      <x:c r="N333" s="14" t="n">
        <x:v>0</x:v>
      </x:c>
      <x:c r="O333" s="14" t="n">
        <x:v>0.03680555555555556</x:v>
      </x:c>
    </x:row>
    <x:row r="334" ht="24" customHeight="1">
      <x:c r="A334" s="2" t="str">
        <x:v>183_39</x:v>
      </x:c>
      <x:c r="B334" s="10" t="str">
        <x:v>183</x:v>
      </x:c>
      <x:c r="C334" s="10" t="n">
        <x:v>40</x:v>
      </x:c>
      <x:c r="D334" s="10" t="n">
        <x:v>39</x:v>
      </x:c>
      <x:c r="E334" s="10" t="n">
        <x:v>1</x:v>
      </x:c>
      <x:c r="F334" s="12"/>
      <x:c r="G334" s="12"/>
      <x:c r="H334" s="10" t="str">
        <x:v>4A</x:v>
      </x:c>
      <x:c r="I334" s="12" t="n">
        <x:v>0.40069444444444446</x:v>
      </x:c>
      <x:c r="J334" s="12" t="n">
        <x:v>0.4486111111111111</x:v>
      </x:c>
      <x:c r="K334" s="2" t="str">
        <x:v>Walk in</x:v>
      </x:c>
      <x:c r="L334" s="2" t="str">
        <x:v>=D40-C40</x:v>
      </x:c>
      <x:c r="M334" s="2" t="str">
        <x:v>=G40-F40</x:v>
      </x:c>
      <x:c r="N334" s="14" t="n">
        <x:v>0</x:v>
      </x:c>
      <x:c r="O334" s="14" t="n">
        <x:v>0.04791666666666667</x:v>
      </x:c>
    </x:row>
    <x:row r="335" ht="24" customHeight="1">
      <x:c r="A335" s="2" t="str">
        <x:v>183_40</x:v>
      </x:c>
      <x:c r="B335" s="10" t="str">
        <x:v>183</x:v>
      </x:c>
      <x:c r="C335" s="10" t="n">
        <x:v>41</x:v>
      </x:c>
      <x:c r="D335" s="10" t="n">
        <x:v>40</x:v>
      </x:c>
      <x:c r="E335" s="10" t="n">
        <x:v>1</x:v>
      </x:c>
      <x:c r="F335" s="12"/>
      <x:c r="G335" s="12"/>
      <x:c r="H335" s="10" t="str">
        <x:v>6B</x:v>
      </x:c>
      <x:c r="I335" s="12" t="n">
        <x:v>0.4076388888888889</x:v>
      </x:c>
      <x:c r="J335" s="12" t="n">
        <x:v>0.5069444444444444</x:v>
      </x:c>
      <x:c r="K335" s="2" t="str">
        <x:v>Walk in</x:v>
      </x:c>
      <x:c r="L335" s="2" t="str">
        <x:v>=D41-C41</x:v>
      </x:c>
      <x:c r="M335" s="2" t="str">
        <x:v>=G41-F41</x:v>
      </x:c>
      <x:c r="N335" s="14" t="n">
        <x:v>0</x:v>
      </x:c>
      <x:c r="O335" s="14" t="n">
        <x:v>0.09930555555555555</x:v>
      </x:c>
    </x:row>
    <x:row r="336" ht="24" customHeight="1">
      <x:c r="A336" s="2" t="str">
        <x:v>183_41</x:v>
      </x:c>
      <x:c r="B336" s="10" t="str">
        <x:v>183</x:v>
      </x:c>
      <x:c r="C336" s="10" t="n">
        <x:v>42</x:v>
      </x:c>
      <x:c r="D336" s="10" t="n">
        <x:v>41</x:v>
      </x:c>
      <x:c r="E336" s="10" t="n">
        <x:v>1</x:v>
      </x:c>
      <x:c r="F336" s="12"/>
      <x:c r="G336" s="12"/>
      <x:c r="H336" s="10" t="str">
        <x:v>6A</x:v>
      </x:c>
      <x:c r="I336" s="12" t="n">
        <x:v>0.4083333333333333</x:v>
      </x:c>
      <x:c r="J336" s="12" t="n">
        <x:v>0.4479166666666667</x:v>
      </x:c>
      <x:c r="K336" s="2" t="str">
        <x:v>Walk in</x:v>
      </x:c>
      <x:c r="L336" s="2" t="str">
        <x:v>=D42-C42</x:v>
      </x:c>
      <x:c r="M336" s="2" t="str">
        <x:v>=G42-F42</x:v>
      </x:c>
      <x:c r="N336" s="14" t="n">
        <x:v>0</x:v>
      </x:c>
      <x:c r="O336" s="14" t="n">
        <x:v>0.03958333333333333</x:v>
      </x:c>
    </x:row>
    <x:row r="337" ht="24" customHeight="1">
      <x:c r="A337" s="2" t="str">
        <x:v>183_42</x:v>
      </x:c>
      <x:c r="B337" s="10" t="str">
        <x:v>183</x:v>
      </x:c>
      <x:c r="C337" s="10" t="n">
        <x:v>43</x:v>
      </x:c>
      <x:c r="D337" s="10" t="n">
        <x:v>42</x:v>
      </x:c>
      <x:c r="E337" s="10" t="n">
        <x:v>4</x:v>
      </x:c>
      <x:c r="F337" s="12"/>
      <x:c r="G337" s="12"/>
      <x:c r="H337" s="10" t="n">
        <x:v>2</x:v>
      </x:c>
      <x:c r="I337" s="12" t="n">
        <x:v>0.40902777777777777</x:v>
      </x:c>
      <x:c r="J337" s="12" t="n">
        <x:v>0.48680555555555555</x:v>
      </x:c>
      <x:c r="K337" s="2" t="str">
        <x:v>Walk in</x:v>
      </x:c>
      <x:c r="L337" s="2" t="str">
        <x:v>=D43-C43</x:v>
      </x:c>
      <x:c r="M337" s="2" t="str">
        <x:v>=G43-F43</x:v>
      </x:c>
      <x:c r="N337" s="14" t="n">
        <x:v>0</x:v>
      </x:c>
      <x:c r="O337" s="14" t="n">
        <x:v>0.07777777777777778</x:v>
      </x:c>
    </x:row>
    <x:row r="338" ht="24" customHeight="1">
      <x:c r="A338" s="2" t="str">
        <x:v>183_43</x:v>
      </x:c>
      <x:c r="B338" s="10" t="str">
        <x:v>183</x:v>
      </x:c>
      <x:c r="C338" s="10" t="n">
        <x:v>44</x:v>
      </x:c>
      <x:c r="D338" s="10" t="n">
        <x:v>43</x:v>
      </x:c>
      <x:c r="E338" s="10" t="n">
        <x:v>2</x:v>
      </x:c>
      <x:c r="F338" s="12"/>
      <x:c r="G338" s="12"/>
      <x:c r="H338" s="10" t="n">
        <x:v>16</x:v>
      </x:c>
      <x:c r="I338" s="12" t="n">
        <x:v>0.41388888888888886</x:v>
      </x:c>
      <x:c r="J338" s="12" t="n">
        <x:v>0.4479166666666667</x:v>
      </x:c>
      <x:c r="K338" s="2" t="str">
        <x:v>Walk in</x:v>
      </x:c>
      <x:c r="L338" s="2" t="str">
        <x:v>=D44-C44</x:v>
      </x:c>
      <x:c r="M338" s="2" t="str">
        <x:v>=G44-F44</x:v>
      </x:c>
      <x:c r="N338" s="14" t="n">
        <x:v>0</x:v>
      </x:c>
      <x:c r="O338" s="14" t="n">
        <x:v>0.034027777777777775</x:v>
      </x:c>
    </x:row>
    <x:row r="339" ht="24" customHeight="1">
      <x:c r="A339" s="2" t="str">
        <x:v>183_44</x:v>
      </x:c>
      <x:c r="B339" s="10" t="str">
        <x:v>183</x:v>
      </x:c>
      <x:c r="C339" s="10" t="n">
        <x:v>45</x:v>
      </x:c>
      <x:c r="D339" s="10" t="n">
        <x:v>44</x:v>
      </x:c>
      <x:c r="E339" s="10" t="n">
        <x:v>2</x:v>
      </x:c>
      <x:c r="F339" s="12"/>
      <x:c r="G339" s="12"/>
      <x:c r="H339" s="10" t="str">
        <x:v>7B</x:v>
      </x:c>
      <x:c r="I339" s="12" t="n">
        <x:v>0.4152777777777778</x:v>
      </x:c>
      <x:c r="J339" s="12" t="n">
        <x:v>0.4284722222222222</x:v>
      </x:c>
      <x:c r="K339" s="2" t="str">
        <x:v>In house</x:v>
      </x:c>
      <x:c r="L339" s="2" t="str">
        <x:v>=D45-C45</x:v>
      </x:c>
      <x:c r="M339" s="2" t="str">
        <x:v>=G45-F45</x:v>
      </x:c>
      <x:c r="N339" s="14" t="n">
        <x:v>0</x:v>
      </x:c>
      <x:c r="O339" s="14" t="n">
        <x:v>0.013194444444444444</x:v>
      </x:c>
    </x:row>
    <x:row r="340" ht="24" customHeight="1">
      <x:c r="A340" s="2" t="str">
        <x:v>183_45</x:v>
      </x:c>
      <x:c r="B340" s="10" t="str">
        <x:v>183</x:v>
      </x:c>
      <x:c r="C340" s="10" t="n">
        <x:v>46</x:v>
      </x:c>
      <x:c r="D340" s="10" t="n">
        <x:v>45</x:v>
      </x:c>
      <x:c r="E340" s="10" t="n">
        <x:v>2</x:v>
      </x:c>
      <x:c r="F340" s="12"/>
      <x:c r="G340" s="12"/>
      <x:c r="H340" s="10" t="n">
        <x:v>14</x:v>
      </x:c>
      <x:c r="I340" s="12" t="n">
        <x:v>0.41597222222222224</x:v>
      </x:c>
      <x:c r="J340" s="12" t="n">
        <x:v>0.4361111111111111</x:v>
      </x:c>
      <x:c r="K340" s="2" t="str">
        <x:v>In house</x:v>
      </x:c>
      <x:c r="L340" s="2" t="str">
        <x:v>=D46-C46</x:v>
      </x:c>
      <x:c r="M340" s="2" t="str">
        <x:v>=G46-F46</x:v>
      </x:c>
      <x:c r="N340" s="14" t="n">
        <x:v>0</x:v>
      </x:c>
      <x:c r="O340" s="14" t="n">
        <x:v>0.02013888888888889</x:v>
      </x:c>
    </x:row>
    <x:row r="341" ht="24" customHeight="1">
      <x:c r="A341" s="2" t="str">
        <x:v>183_46</x:v>
      </x:c>
      <x:c r="B341" s="10" t="str">
        <x:v>183</x:v>
      </x:c>
      <x:c r="C341" s="10" t="n">
        <x:v>47</x:v>
      </x:c>
      <x:c r="D341" s="10" t="n">
        <x:v>46</x:v>
      </x:c>
      <x:c r="E341" s="10" t="n">
        <x:v>2</x:v>
      </x:c>
      <x:c r="F341" s="12"/>
      <x:c r="G341" s="12"/>
      <x:c r="H341" s="10" t="str">
        <x:v>1B</x:v>
      </x:c>
      <x:c r="I341" s="12" t="n">
        <x:v>0.41875</x:v>
      </x:c>
      <x:c r="J341" s="12" t="n">
        <x:v>0.45069444444444445</x:v>
      </x:c>
      <x:c r="K341" s="2" t="str">
        <x:v>In house</x:v>
      </x:c>
      <x:c r="L341" s="2" t="str">
        <x:v>=D47-C47</x:v>
      </x:c>
      <x:c r="M341" s="2" t="str">
        <x:v>=G47-F47</x:v>
      </x:c>
      <x:c r="N341" s="14" t="n">
        <x:v>0</x:v>
      </x:c>
      <x:c r="O341" s="14" t="n">
        <x:v>0.03194444444444444</x:v>
      </x:c>
    </x:row>
    <x:row r="342" ht="24" customHeight="1">
      <x:c r="A342" s="2" t="str">
        <x:v>183_47</x:v>
      </x:c>
      <x:c r="B342" s="10" t="str">
        <x:v>183</x:v>
      </x:c>
      <x:c r="C342" s="10" t="n">
        <x:v>48</x:v>
      </x:c>
      <x:c r="D342" s="10" t="n">
        <x:v>47</x:v>
      </x:c>
      <x:c r="E342" s="10" t="n">
        <x:v>3</x:v>
      </x:c>
      <x:c r="F342" s="12"/>
      <x:c r="G342" s="12"/>
      <x:c r="H342" s="10" t="str">
        <x:v>4B/5A</x:v>
      </x:c>
      <x:c r="I342" s="12" t="n">
        <x:v>0.4201388888888889</x:v>
      </x:c>
      <x:c r="J342" s="12" t="n">
        <x:v>0.4597222222222222</x:v>
      </x:c>
      <x:c r="K342" s="2" t="str">
        <x:v>In house</x:v>
      </x:c>
      <x:c r="L342" s="2" t="str">
        <x:v>=D48-C48</x:v>
      </x:c>
      <x:c r="M342" s="2" t="str">
        <x:v>=G48-F48</x:v>
      </x:c>
      <x:c r="N342" s="14" t="n">
        <x:v>0</x:v>
      </x:c>
      <x:c r="O342" s="14" t="n">
        <x:v>0.03958333333333333</x:v>
      </x:c>
    </x:row>
    <x:row r="343" ht="24" customHeight="1">
      <x:c r="A343" s="2" t="str">
        <x:v>183_48</x:v>
      </x:c>
      <x:c r="B343" s="10" t="str">
        <x:v>183</x:v>
      </x:c>
      <x:c r="C343" s="10" t="n">
        <x:v>49</x:v>
      </x:c>
      <x:c r="D343" s="10" t="n">
        <x:v>48</x:v>
      </x:c>
      <x:c r="E343" s="10" t="n">
        <x:v>2</x:v>
      </x:c>
      <x:c r="F343" s="12"/>
      <x:c r="G343" s="12"/>
      <x:c r="H343" s="10" t="str">
        <x:v>11A</x:v>
      </x:c>
      <x:c r="I343" s="12" t="n">
        <x:v>0.4236111111111111</x:v>
      </x:c>
      <x:c r="J343" s="12" t="n">
        <x:v>0.4527777777777778</x:v>
      </x:c>
      <x:c r="K343" s="2" t="str">
        <x:v>In house</x:v>
      </x:c>
      <x:c r="L343" s="2" t="str">
        <x:v>=D49-C49</x:v>
      </x:c>
      <x:c r="M343" s="2" t="str">
        <x:v>=G49-F49</x:v>
      </x:c>
      <x:c r="N343" s="14" t="n">
        <x:v>0</x:v>
      </x:c>
      <x:c r="O343" s="14" t="n">
        <x:v>0.029166666666666667</x:v>
      </x:c>
    </x:row>
    <x:row r="344" ht="24" customHeight="1">
      <x:c r="A344" s="2" t="str">
        <x:v>183_49</x:v>
      </x:c>
      <x:c r="B344" s="10" t="str">
        <x:v>183</x:v>
      </x:c>
      <x:c r="C344" s="10" t="n">
        <x:v>50</x:v>
      </x:c>
      <x:c r="D344" s="10" t="n">
        <x:v>49</x:v>
      </x:c>
      <x:c r="E344" s="10" t="n">
        <x:v>2</x:v>
      </x:c>
      <x:c r="F344" s="12"/>
      <x:c r="G344" s="12"/>
      <x:c r="H344" s="10" t="str">
        <x:v>8A</x:v>
      </x:c>
      <x:c r="I344" s="12" t="n">
        <x:v>0.42777777777777776</x:v>
      </x:c>
      <x:c r="J344" s="12" t="n">
        <x:v>0.4597222222222222</x:v>
      </x:c>
      <x:c r="K344" s="2" t="str">
        <x:v>Walk in</x:v>
      </x:c>
      <x:c r="L344" s="2" t="str">
        <x:v>=D50-C50</x:v>
      </x:c>
      <x:c r="M344" s="2" t="str">
        <x:v>=G50-F50</x:v>
      </x:c>
      <x:c r="N344" s="14" t="n">
        <x:v>0</x:v>
      </x:c>
      <x:c r="O344" s="14" t="n">
        <x:v>0.03194444444444444</x:v>
      </x:c>
    </x:row>
    <x:row r="345" ht="24" customHeight="1">
      <x:c r="A345" s="2" t="str">
        <x:v>183_50</x:v>
      </x:c>
      <x:c r="B345" s="10" t="str">
        <x:v>183</x:v>
      </x:c>
      <x:c r="C345" s="10" t="n">
        <x:v>51</x:v>
      </x:c>
      <x:c r="D345" s="10" t="n">
        <x:v>50</x:v>
      </x:c>
      <x:c r="E345" s="10" t="n">
        <x:v>1</x:v>
      </x:c>
      <x:c r="F345" s="12"/>
      <x:c r="G345" s="12"/>
      <x:c r="H345" s="10" t="str">
        <x:v>1A</x:v>
      </x:c>
      <x:c r="I345" s="12" t="n">
        <x:v>0.42986111111111114</x:v>
      </x:c>
      <x:c r="J345" s="12" t="n">
        <x:v>0.4791666666666667</x:v>
      </x:c>
      <x:c r="K345" s="2" t="str">
        <x:v>Walk in</x:v>
      </x:c>
      <x:c r="L345" s="2" t="str">
        <x:v>=D51-C51</x:v>
      </x:c>
      <x:c r="M345" s="2" t="str">
        <x:v>=G51-F51</x:v>
      </x:c>
      <x:c r="N345" s="14" t="n">
        <x:v>0</x:v>
      </x:c>
      <x:c r="O345" s="14" t="n">
        <x:v>0.049305555555555554</x:v>
      </x:c>
    </x:row>
    <x:row r="346" ht="24" customHeight="1">
      <x:c r="A346" s="2" t="str">
        <x:v>183_51</x:v>
      </x:c>
      <x:c r="B346" s="10" t="str">
        <x:v>183</x:v>
      </x:c>
      <x:c r="C346" s="10" t="n">
        <x:v>52</x:v>
      </x:c>
      <x:c r="D346" s="10" t="n">
        <x:v>51</x:v>
      </x:c>
      <x:c r="E346" s="10" t="n">
        <x:v>4</x:v>
      </x:c>
      <x:c r="F346" s="12"/>
      <x:c r="G346" s="12"/>
      <x:c r="H346" s="10" t="n">
        <x:v>9</x:v>
      </x:c>
      <x:c r="I346" s="12" t="n">
        <x:v>0.4361111111111111</x:v>
      </x:c>
      <x:c r="J346" s="12" t="n">
        <x:v>0.5104166666666666</x:v>
      </x:c>
      <x:c r="K346" s="2" t="str">
        <x:v>Walk in</x:v>
      </x:c>
      <x:c r="L346" s="2" t="str">
        <x:v>=D52-C52</x:v>
      </x:c>
      <x:c r="M346" s="2" t="str">
        <x:v>=G52-F52</x:v>
      </x:c>
      <x:c r="N346" s="14" t="n">
        <x:v>0</x:v>
      </x:c>
      <x:c r="O346" s="14" t="n">
        <x:v>0.07430555555555556</x:v>
      </x:c>
    </x:row>
    <x:row r="347" ht="24" customHeight="1">
      <x:c r="A347" s="2" t="str">
        <x:v>183_52</x:v>
      </x:c>
      <x:c r="B347" s="10" t="str">
        <x:v>183</x:v>
      </x:c>
      <x:c r="C347" s="10" t="n">
        <x:v>53</x:v>
      </x:c>
      <x:c r="D347" s="10" t="n">
        <x:v>52</x:v>
      </x:c>
      <x:c r="E347" s="10" t="n">
        <x:v>1</x:v>
      </x:c>
      <x:c r="F347" s="12"/>
      <x:c r="G347" s="12"/>
      <x:c r="H347" s="10" t="n">
        <x:v>14</x:v>
      </x:c>
      <x:c r="I347" s="12" t="n">
        <x:v>0.4375</x:v>
      </x:c>
      <x:c r="J347" s="12" t="n">
        <x:v>0.4777777777777778</x:v>
      </x:c>
      <x:c r="K347" s="2" t="str">
        <x:v>In house</x:v>
      </x:c>
      <x:c r="L347" s="2" t="str">
        <x:v>=D53-C53</x:v>
      </x:c>
      <x:c r="M347" s="2" t="str">
        <x:v>=G53-F53</x:v>
      </x:c>
      <x:c r="N347" s="14" t="n">
        <x:v>0</x:v>
      </x:c>
      <x:c r="O347" s="14" t="n">
        <x:v>0.04027777777777778</x:v>
      </x:c>
    </x:row>
    <x:row r="348" ht="24" customHeight="1">
      <x:c r="A348" s="2" t="str">
        <x:v>183_53</x:v>
      </x:c>
      <x:c r="B348" s="10" t="str">
        <x:v>183</x:v>
      </x:c>
      <x:c r="C348" s="10" t="n">
        <x:v>54</x:v>
      </x:c>
      <x:c r="D348" s="10" t="n">
        <x:v>53</x:v>
      </x:c>
      <x:c r="E348" s="10" t="n">
        <x:v>1</x:v>
      </x:c>
      <x:c r="F348" s="12"/>
      <x:c r="G348" s="12"/>
      <x:c r="H348" s="10" t="str">
        <x:v>8C</x:v>
      </x:c>
      <x:c r="I348" s="12" t="n">
        <x:v>0.4375</x:v>
      </x:c>
      <x:c r="J348" s="12" t="n">
        <x:v>0.4673611111111111</x:v>
      </x:c>
      <x:c r="K348" s="2" t="str">
        <x:v>In house</x:v>
      </x:c>
      <x:c r="L348" s="2" t="str">
        <x:v>=D54-C54</x:v>
      </x:c>
      <x:c r="M348" s="2" t="str">
        <x:v>=G54-F54</x:v>
      </x:c>
      <x:c r="N348" s="14" t="n">
        <x:v>0</x:v>
      </x:c>
      <x:c r="O348" s="14" t="n">
        <x:v>0.029861111111111113</x:v>
      </x:c>
    </x:row>
    <x:row r="349" ht="24" customHeight="1">
      <x:c r="A349" s="2" t="str">
        <x:v>183_54</x:v>
      </x:c>
      <x:c r="B349" s="10" t="str">
        <x:v>183</x:v>
      </x:c>
      <x:c r="C349" s="10" t="n">
        <x:v>55</x:v>
      </x:c>
      <x:c r="D349" s="10" t="n">
        <x:v>54</x:v>
      </x:c>
      <x:c r="E349" s="10" t="n">
        <x:v>2</x:v>
      </x:c>
      <x:c r="F349" s="12"/>
      <x:c r="G349" s="12"/>
      <x:c r="H349" s="10" t="str">
        <x:v>7B</x:v>
      </x:c>
      <x:c r="I349" s="12" t="n">
        <x:v>0.44166666666666665</x:v>
      </x:c>
      <x:c r="J349" s="12" t="n">
        <x:v>0.4930555555555556</x:v>
      </x:c>
      <x:c r="K349" s="2" t="str">
        <x:v>Walk in</x:v>
      </x:c>
      <x:c r="L349" s="2" t="str">
        <x:v>=D55-C55</x:v>
      </x:c>
      <x:c r="M349" s="2" t="str">
        <x:v>=G55-F55</x:v>
      </x:c>
      <x:c r="N349" s="14" t="n">
        <x:v>0</x:v>
      </x:c>
      <x:c r="O349" s="14" t="n">
        <x:v>0.05138888888888889</x:v>
      </x:c>
    </x:row>
    <x:row r="350" ht="24" customHeight="1">
      <x:c r="A350" s="2" t="str">
        <x:v>183_55</x:v>
      </x:c>
      <x:c r="B350" s="10" t="str">
        <x:v>183</x:v>
      </x:c>
      <x:c r="C350" s="10" t="n">
        <x:v>56</x:v>
      </x:c>
      <x:c r="D350" s="10" t="n">
        <x:v>55</x:v>
      </x:c>
      <x:c r="E350" s="10" t="n">
        <x:v>1</x:v>
      </x:c>
      <x:c r="F350" s="12"/>
      <x:c r="G350" s="12"/>
      <x:c r="H350" s="10" t="str">
        <x:v>10B</x:v>
      </x:c>
      <x:c r="I350" s="12" t="n">
        <x:v>0.44305555555555554</x:v>
      </x:c>
      <x:c r="J350" s="12" t="n">
        <x:v>0.4986111111111111</x:v>
      </x:c>
      <x:c r="K350" s="2" t="str">
        <x:v>In house</x:v>
      </x:c>
      <x:c r="L350" s="2" t="str">
        <x:v>=D56-C56</x:v>
      </x:c>
      <x:c r="M350" s="2" t="str">
        <x:v>=G56-F56</x:v>
      </x:c>
      <x:c r="N350" s="14" t="n">
        <x:v>0</x:v>
      </x:c>
      <x:c r="O350" s="14" t="n">
        <x:v>0.05555555555555555</x:v>
      </x:c>
    </x:row>
    <x:row r="351" ht="24" customHeight="1">
      <x:c r="A351" s="2" t="str">
        <x:v>183_56</x:v>
      </x:c>
      <x:c r="B351" s="10" t="str">
        <x:v>183</x:v>
      </x:c>
      <x:c r="C351" s="10" t="n">
        <x:v>57</x:v>
      </x:c>
      <x:c r="D351" s="10" t="n">
        <x:v>56</x:v>
      </x:c>
      <x:c r="E351" s="10" t="n">
        <x:v>2</x:v>
      </x:c>
      <x:c r="F351" s="12"/>
      <x:c r="G351" s="12"/>
      <x:c r="H351" s="10" t="n">
        <x:v>15</x:v>
      </x:c>
      <x:c r="I351" s="12" t="n">
        <x:v>0.44027777777777777</x:v>
      </x:c>
      <x:c r="J351" s="12" t="n">
        <x:v>0.475</x:v>
      </x:c>
      <x:c r="K351" s="2" t="str">
        <x:v>Walk in</x:v>
      </x:c>
      <x:c r="L351" s="2" t="str">
        <x:v>=D57-C57</x:v>
      </x:c>
      <x:c r="M351" s="2" t="str">
        <x:v>=G57-F57</x:v>
      </x:c>
      <x:c r="N351" s="14" t="n">
        <x:v>0</x:v>
      </x:c>
      <x:c r="O351" s="14" t="n">
        <x:v>0.034722222222222224</x:v>
      </x:c>
    </x:row>
    <x:row r="352" ht="24" customHeight="1">
      <x:c r="A352" s="2" t="str">
        <x:v>183_57</x:v>
      </x:c>
      <x:c r="B352" s="10" t="str">
        <x:v>183</x:v>
      </x:c>
      <x:c r="C352" s="10" t="n">
        <x:v>58</x:v>
      </x:c>
      <x:c r="D352" s="10" t="n">
        <x:v>57</x:v>
      </x:c>
      <x:c r="E352" s="10" t="n">
        <x:v>2</x:v>
      </x:c>
      <x:c r="F352" s="12"/>
      <x:c r="G352" s="12"/>
      <x:c r="H352" s="10" t="n">
        <x:v>3</x:v>
      </x:c>
      <x:c r="I352" s="12" t="n">
        <x:v>0.4409722222222222</x:v>
      </x:c>
      <x:c r="J352" s="12" t="n">
        <x:v>0.4666666666666667</x:v>
      </x:c>
      <x:c r="K352" s="2" t="str">
        <x:v>In house</x:v>
      </x:c>
      <x:c r="L352" s="2" t="str">
        <x:v>=D58-C58</x:v>
      </x:c>
      <x:c r="M352" s="2" t="str">
        <x:v>=G58-F58</x:v>
      </x:c>
      <x:c r="N352" s="14" t="n">
        <x:v>0</x:v>
      </x:c>
      <x:c r="O352" s="14" t="n">
        <x:v>0.025694444444444443</x:v>
      </x:c>
    </x:row>
    <x:row r="353" ht="24" customHeight="1">
      <x:c r="A353" s="2" t="str">
        <x:v>183_58</x:v>
      </x:c>
      <x:c r="B353" s="10" t="str">
        <x:v>183</x:v>
      </x:c>
      <x:c r="C353" s="10" t="n">
        <x:v>59</x:v>
      </x:c>
      <x:c r="D353" s="10" t="n">
        <x:v>58</x:v>
      </x:c>
      <x:c r="E353" s="10" t="n">
        <x:v>1</x:v>
      </x:c>
      <x:c r="F353" s="12"/>
      <x:c r="G353" s="12"/>
      <x:c r="H353" s="10" t="str">
        <x:v>1B</x:v>
      </x:c>
      <x:c r="I353" s="12" t="n">
        <x:v>0.44375</x:v>
      </x:c>
      <x:c r="J353" s="12" t="n">
        <x:v>0.5625</x:v>
      </x:c>
      <x:c r="K353" s="2" t="str">
        <x:v>Walk in</x:v>
      </x:c>
      <x:c r="L353" s="2" t="str">
        <x:v>=D59-C59</x:v>
      </x:c>
      <x:c r="M353" s="2" t="str">
        <x:v>=G59-F59</x:v>
      </x:c>
      <x:c r="N353" s="14" t="n">
        <x:v>0</x:v>
      </x:c>
      <x:c r="O353" s="14" t="n">
        <x:v>0.11875</x:v>
      </x:c>
    </x:row>
    <x:row r="354" ht="24" customHeight="1">
      <x:c r="A354" s="2" t="str">
        <x:v>183_59</x:v>
      </x:c>
      <x:c r="B354" s="10" t="str">
        <x:v>183</x:v>
      </x:c>
      <x:c r="C354" s="10" t="n">
        <x:v>60</x:v>
      </x:c>
      <x:c r="D354" s="10" t="n">
        <x:v>59</x:v>
      </x:c>
      <x:c r="E354" s="10" t="n">
        <x:v>3</x:v>
      </x:c>
      <x:c r="F354" s="12"/>
      <x:c r="G354" s="12"/>
      <x:c r="H354" s="10" t="str">
        <x:v>12/13</x:v>
      </x:c>
      <x:c r="I354" s="12" t="n">
        <x:v>0.44513888888888886</x:v>
      </x:c>
      <x:c r="J354" s="12" t="n">
        <x:v>0.4861111111111111</x:v>
      </x:c>
      <x:c r="K354" s="2" t="str">
        <x:v>Walk in</x:v>
      </x:c>
      <x:c r="L354" s="2" t="str">
        <x:v>=D60-C60</x:v>
      </x:c>
      <x:c r="M354" s="2" t="str">
        <x:v>=G60-F60</x:v>
      </x:c>
      <x:c r="N354" s="14" t="n">
        <x:v>0</x:v>
      </x:c>
      <x:c r="O354" s="14" t="n">
        <x:v>0.04097222222222222</x:v>
      </x:c>
    </x:row>
    <x:row r="355" ht="24" customHeight="1">
      <x:c r="A355" s="2" t="str">
        <x:v>183_60</x:v>
      </x:c>
      <x:c r="B355" s="10" t="str">
        <x:v>183</x:v>
      </x:c>
      <x:c r="C355" s="10" t="n">
        <x:v>61</x:v>
      </x:c>
      <x:c r="D355" s="10" t="n">
        <x:v>60</x:v>
      </x:c>
      <x:c r="E355" s="10" t="n">
        <x:v>2</x:v>
      </x:c>
      <x:c r="F355" s="12"/>
      <x:c r="G355" s="12"/>
      <x:c r="H355" s="10" t="n">
        <x:v>16</x:v>
      </x:c>
      <x:c r="I355" s="12" t="n">
        <x:v>0.45416666666666666</x:v>
      </x:c>
      <x:c r="J355" s="12" t="n">
        <x:v>0.4986111111111111</x:v>
      </x:c>
      <x:c r="K355" s="2" t="str">
        <x:v>Walk in</x:v>
      </x:c>
      <x:c r="L355" s="2" t="str">
        <x:v>=D61-C61</x:v>
      </x:c>
      <x:c r="M355" s="2" t="str">
        <x:v>=G61-F61</x:v>
      </x:c>
      <x:c r="N355" s="14" t="n">
        <x:v>0</x:v>
      </x:c>
      <x:c r="O355" s="14" t="n">
        <x:v>0.044444444444444446</x:v>
      </x:c>
    </x:row>
    <x:row r="356" ht="24" customHeight="1">
      <x:c r="A356" s="2" t="str">
        <x:v>183_61</x:v>
      </x:c>
      <x:c r="B356" s="10" t="str">
        <x:v>183</x:v>
      </x:c>
      <x:c r="C356" s="10" t="n">
        <x:v>62</x:v>
      </x:c>
      <x:c r="D356" s="10" t="n">
        <x:v>61</x:v>
      </x:c>
      <x:c r="E356" s="10" t="n">
        <x:v>1</x:v>
      </x:c>
      <x:c r="F356" s="12"/>
      <x:c r="G356" s="12"/>
      <x:c r="H356" s="10" t="str">
        <x:v>4A</x:v>
      </x:c>
      <x:c r="I356" s="12" t="n">
        <x:v>0.45555555555555555</x:v>
      </x:c>
      <x:c r="J356" s="12" t="n">
        <x:v>0.48541666666666666</x:v>
      </x:c>
      <x:c r="K356" s="2" t="str">
        <x:v>Walk in</x:v>
      </x:c>
      <x:c r="L356" s="2" t="str">
        <x:v>=D62-C62</x:v>
      </x:c>
      <x:c r="M356" s="2" t="str">
        <x:v>=G62-F62</x:v>
      </x:c>
      <x:c r="N356" s="14" t="n">
        <x:v>0</x:v>
      </x:c>
      <x:c r="O356" s="14" t="n">
        <x:v>0.029861111111111113</x:v>
      </x:c>
    </x:row>
    <x:row r="357" ht="24" customHeight="1">
      <x:c r="A357" s="2" t="str">
        <x:v>183_62</x:v>
      </x:c>
      <x:c r="B357" s="10" t="str">
        <x:v>183</x:v>
      </x:c>
      <x:c r="C357" s="10" t="n">
        <x:v>63</x:v>
      </x:c>
      <x:c r="D357" s="10" t="n">
        <x:v>62</x:v>
      </x:c>
      <x:c r="E357" s="10" t="n">
        <x:v>1</x:v>
      </x:c>
      <x:c r="F357" s="12"/>
      <x:c r="G357" s="12"/>
      <x:c r="H357" s="10" t="str">
        <x:v>5B</x:v>
      </x:c>
      <x:c r="I357" s="12" t="n">
        <x:v>0.4951388888888889</x:v>
      </x:c>
      <x:c r="J357" s="12" t="n">
        <x:v>0.4777777777777778</x:v>
      </x:c>
      <x:c r="K357" s="2" t="str">
        <x:v>In house</x:v>
      </x:c>
      <x:c r="L357" s="2" t="str">
        <x:v>=D63-C63</x:v>
      </x:c>
      <x:c r="M357" s="2" t="str">
        <x:v>=G63-F63</x:v>
      </x:c>
      <x:c r="N357" s="14" t="n">
        <x:v>0</x:v>
      </x:c>
      <x:c r="O357" s="14" t="n">
        <x:v>0.9826388888888888</x:v>
      </x:c>
    </x:row>
    <x:row r="358" ht="24" customHeight="1">
      <x:c r="A358" s="2" t="str">
        <x:v>183_63</x:v>
      </x:c>
      <x:c r="B358" s="10" t="str">
        <x:v>183</x:v>
      </x:c>
      <x:c r="C358" s="10" t="n">
        <x:v>64</x:v>
      </x:c>
      <x:c r="D358" s="10" t="n">
        <x:v>63</x:v>
      </x:c>
      <x:c r="E358" s="10" t="n">
        <x:v>2</x:v>
      </x:c>
      <x:c r="F358" s="12"/>
      <x:c r="G358" s="12"/>
      <x:c r="H358" s="10" t="str">
        <x:v>7A</x:v>
      </x:c>
      <x:c r="I358" s="12" t="n">
        <x:v>0.4583333333333333</x:v>
      </x:c>
      <x:c r="J358" s="12" t="n">
        <x:v>0.49930555555555556</x:v>
      </x:c>
      <x:c r="K358" s="2" t="str">
        <x:v>In house</x:v>
      </x:c>
      <x:c r="L358" s="2" t="str">
        <x:v>=D64-C64</x:v>
      </x:c>
      <x:c r="M358" s="2" t="str">
        <x:v>=G64-F64</x:v>
      </x:c>
      <x:c r="N358" s="14" t="n">
        <x:v>0</x:v>
      </x:c>
      <x:c r="O358" s="14" t="n">
        <x:v>0.04097222222222222</x:v>
      </x:c>
    </x:row>
    <x:row r="359" ht="24" customHeight="1">
      <x:c r="A359" s="2" t="str">
        <x:v>183_64</x:v>
      </x:c>
      <x:c r="B359" s="10" t="str">
        <x:v>183</x:v>
      </x:c>
      <x:c r="C359" s="10" t="n">
        <x:v>65</x:v>
      </x:c>
      <x:c r="D359" s="10" t="n">
        <x:v>64</x:v>
      </x:c>
      <x:c r="E359" s="10" t="n">
        <x:v>1</x:v>
      </x:c>
      <x:c r="F359" s="12"/>
      <x:c r="G359" s="12"/>
      <x:c r="H359" s="10" t="str">
        <x:v>8A</x:v>
      </x:c>
      <x:c r="I359" s="12" t="n">
        <x:v>0.4638888888888889</x:v>
      </x:c>
      <x:c r="J359" s="12" t="n">
        <x:v>0.4888888888888889</x:v>
      </x:c>
      <x:c r="K359" s="2" t="str">
        <x:v>Walk in</x:v>
      </x:c>
      <x:c r="L359" s="2" t="str">
        <x:v>=D65-C65</x:v>
      </x:c>
      <x:c r="M359" s="2" t="str">
        <x:v>=G65-F65</x:v>
      </x:c>
      <x:c r="N359" s="14" t="n">
        <x:v>0</x:v>
      </x:c>
      <x:c r="O359" s="14" t="n">
        <x:v>0.025</x:v>
      </x:c>
    </x:row>
    <x:row r="360" ht="24" customHeight="1">
      <x:c r="A360" s="2" t="str">
        <x:v>183_65</x:v>
      </x:c>
      <x:c r="B360" s="10" t="str">
        <x:v>183</x:v>
      </x:c>
      <x:c r="C360" s="10" t="n">
        <x:v>66</x:v>
      </x:c>
      <x:c r="D360" s="10" t="n">
        <x:v>65</x:v>
      </x:c>
      <x:c r="E360" s="10" t="n">
        <x:v>3</x:v>
      </x:c>
      <x:c r="F360" s="12"/>
      <x:c r="G360" s="12"/>
      <x:c r="H360" s="10" t="str">
        <x:v>11A/11B</x:v>
      </x:c>
      <x:c r="I360" s="12" t="n">
        <x:v>0.4652777777777778</x:v>
      </x:c>
      <x:c r="J360" s="12" t="n">
        <x:v>0.5097222222222222</x:v>
      </x:c>
      <x:c r="K360" s="2" t="str">
        <x:v>In house</x:v>
      </x:c>
      <x:c r="L360" s="2" t="str">
        <x:v>=D66-C66</x:v>
      </x:c>
      <x:c r="M360" s="2" t="str">
        <x:v>=G66-F66</x:v>
      </x:c>
      <x:c r="N360" s="14" t="n">
        <x:v>0</x:v>
      </x:c>
      <x:c r="O360" s="14" t="n">
        <x:v>0.044444444444444446</x:v>
      </x:c>
    </x:row>
    <x:row r="361" ht="24" customHeight="1">
      <x:c r="A361" s="2" t="str">
        <x:v>183_66</x:v>
      </x:c>
      <x:c r="B361" s="10" t="str">
        <x:v>183</x:v>
      </x:c>
      <x:c r="C361" s="10" t="n">
        <x:v>67</x:v>
      </x:c>
      <x:c r="D361" s="10" t="n">
        <x:v>66</x:v>
      </x:c>
      <x:c r="E361" s="10" t="n">
        <x:v>2</x:v>
      </x:c>
      <x:c r="F361" s="12"/>
      <x:c r="G361" s="12"/>
      <x:c r="H361" s="10" t="n">
        <x:v>15</x:v>
      </x:c>
      <x:c r="I361" s="12" t="n">
        <x:v>0.4777777777777778</x:v>
      </x:c>
      <x:c r="J361" s="12" t="n">
        <x:v>0.49375</x:v>
      </x:c>
      <x:c r="K361" s="2" t="str">
        <x:v>In house</x:v>
      </x:c>
      <x:c r="L361" s="2" t="str">
        <x:v>=D67-C67</x:v>
      </x:c>
      <x:c r="M361" s="2" t="str">
        <x:v>=G67-F67</x:v>
      </x:c>
      <x:c r="N361" s="14" t="n">
        <x:v>0</x:v>
      </x:c>
      <x:c r="O361" s="14" t="n">
        <x:v>0.01597222222222222</x:v>
      </x:c>
    </x:row>
    <x:row r="362" ht="24" customHeight="1">
      <x:c r="A362" s="2" t="str">
        <x:v>183_67</x:v>
      </x:c>
      <x:c r="B362" s="10" t="str">
        <x:v>183</x:v>
      </x:c>
      <x:c r="C362" s="10" t="n">
        <x:v>68</x:v>
      </x:c>
      <x:c r="D362" s="10" t="n">
        <x:v>67</x:v>
      </x:c>
      <x:c r="E362" s="10" t="n">
        <x:v>1</x:v>
      </x:c>
      <x:c r="F362" s="12"/>
      <x:c r="G362" s="12"/>
      <x:c r="H362" s="10" t="str">
        <x:v>7C</x:v>
      </x:c>
      <x:c r="I362" s="12" t="n">
        <x:v>0.47847222222222224</x:v>
      </x:c>
      <x:c r="J362" s="12" t="n">
        <x:v>0.5097222222222222</x:v>
      </x:c>
      <x:c r="K362" s="2" t="str">
        <x:v>In house</x:v>
      </x:c>
      <x:c r="L362" s="2" t="str">
        <x:v>=D68-C68</x:v>
      </x:c>
      <x:c r="M362" s="2" t="str">
        <x:v>=G68-F68</x:v>
      </x:c>
      <x:c r="N362" s="14" t="n">
        <x:v>0</x:v>
      </x:c>
      <x:c r="O362" s="14" t="n">
        <x:v>0.03125</x:v>
      </x:c>
    </x:row>
    <x:row r="363" ht="24" customHeight="1">
      <x:c r="A363" s="2" t="str">
        <x:v>183_68</x:v>
      </x:c>
      <x:c r="B363" s="10" t="str">
        <x:v>183</x:v>
      </x:c>
      <x:c r="C363" s="10" t="n">
        <x:v>69</x:v>
      </x:c>
      <x:c r="D363" s="10" t="n">
        <x:v>68</x:v>
      </x:c>
      <x:c r="E363" s="10" t="n">
        <x:v>1</x:v>
      </x:c>
      <x:c r="F363" s="12"/>
      <x:c r="G363" s="12"/>
      <x:c r="H363" s="10" t="n">
        <x:v>4</x:v>
      </x:c>
      <x:c r="I363" s="12" t="n">
        <x:v>0.48541666666666666</x:v>
      </x:c>
      <x:c r="J363" s="12" t="n">
        <x:v>0.5625</x:v>
      </x:c>
      <x:c r="K363" s="2" t="str">
        <x:v>Walk in</x:v>
      </x:c>
      <x:c r="L363" s="2" t="str">
        <x:v>=D69-C69</x:v>
      </x:c>
      <x:c r="M363" s="2" t="str">
        <x:v>=G69-F69</x:v>
      </x:c>
      <x:c r="N363" s="14" t="n">
        <x:v>0</x:v>
      </x:c>
      <x:c r="O363" s="14" t="n">
        <x:v>0.07708333333333334</x:v>
      </x:c>
    </x:row>
    <x:row r="364" ht="24" customHeight="1">
      <x:c r="A364" s="2" t="str">
        <x:v>183_69</x:v>
      </x:c>
      <x:c r="B364" s="10" t="str">
        <x:v>183</x:v>
      </x:c>
      <x:c r="C364" s="10" t="n">
        <x:v>70</x:v>
      </x:c>
      <x:c r="D364" s="10" t="n">
        <x:v>69</x:v>
      </x:c>
      <x:c r="E364" s="10" t="n">
        <x:v>1</x:v>
      </x:c>
      <x:c r="F364" s="12"/>
      <x:c r="G364" s="12"/>
      <x:c r="H364" s="10" t="str">
        <x:v>8B</x:v>
      </x:c>
      <x:c r="I364" s="12" t="n">
        <x:v>0.4861111111111111</x:v>
      </x:c>
      <x:c r="J364" s="12" t="n">
        <x:v>0.49583333333333335</x:v>
      </x:c>
      <x:c r="K364" s="2" t="str">
        <x:v>In house</x:v>
      </x:c>
      <x:c r="L364" s="2" t="str">
        <x:v>=D70-C70</x:v>
      </x:c>
      <x:c r="M364" s="2" t="str">
        <x:v>=G70-F70</x:v>
      </x:c>
      <x:c r="N364" s="14" t="n">
        <x:v>0</x:v>
      </x:c>
      <x:c r="O364" s="14" t="n">
        <x:v>0.009722222222222222</x:v>
      </x:c>
    </x:row>
    <x:row r="365" ht="24" customHeight="1">
      <x:c r="A365" s="2" t="str">
        <x:v>183_70</x:v>
      </x:c>
      <x:c r="B365" s="10" t="str">
        <x:v>183</x:v>
      </x:c>
      <x:c r="C365" s="10" t="n">
        <x:v>71</x:v>
      </x:c>
      <x:c r="D365" s="10" t="n">
        <x:v>70</x:v>
      </x:c>
      <x:c r="E365" s="10" t="n">
        <x:v>1</x:v>
      </x:c>
      <x:c r="F365" s="12"/>
      <x:c r="G365" s="12"/>
      <x:c r="H365" s="10" t="str">
        <x:v>5A</x:v>
      </x:c>
      <x:c r="I365" s="12" t="n">
        <x:v>0.48819444444444443</x:v>
      </x:c>
      <x:c r="J365" s="12" t="n">
        <x:v>0.5138888888888888</x:v>
      </x:c>
      <x:c r="K365" s="2" t="str">
        <x:v>In house</x:v>
      </x:c>
      <x:c r="L365" s="2" t="str">
        <x:v>=D71-C71</x:v>
      </x:c>
      <x:c r="M365" s="2" t="str">
        <x:v>=G71-F71</x:v>
      </x:c>
      <x:c r="N365" s="14" t="n">
        <x:v>0</x:v>
      </x:c>
      <x:c r="O365" s="14" t="n">
        <x:v>0.025694444444444443</x:v>
      </x:c>
    </x:row>
  </x:sheetData>
  <x:pageMargins left="0.7" right="0.7" top="0.75" bottom="0.75" header="0.3" footer="0.3"/>
  <x:tableParts count="1">
    <x:tablePart xmlns:r="http://schemas.openxmlformats.org/officeDocument/2006/relationships" r:id="R6ac4dddf5cfb4555"/>
  </x:tableParts>
</x:worksheet>
</file>