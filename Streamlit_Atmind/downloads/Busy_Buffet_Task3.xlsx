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16Nue\Downloads\"/>
    </mc:Choice>
  </mc:AlternateContent>
  <xr:revisionPtr revIDLastSave="0" documentId="8_{96481FDE-37BC-42B0-913D-F9330EAE3CC3}" xr6:coauthVersionLast="47" xr6:coauthVersionMax="47" xr10:uidLastSave="{00000000-0000-0000-0000-000000000000}"/>
  <bookViews>
    <workbookView xWindow="11190" yWindow="2640" windowWidth="27015" windowHeight="17460" xr2:uid="{00000000-000D-0000-FFFF-FFFF00000000}"/>
  </bookViews>
  <sheets>
    <sheet name="Task3_Proposal" sheetId="1" r:id="rId1"/>
    <sheet name="Walkin_Data" sheetId="2" r:id="rId2"/>
    <sheet name="Queue_Interval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99" i="2" l="1"/>
  <c r="L199" i="2"/>
  <c r="K199" i="2"/>
  <c r="J199" i="2"/>
  <c r="I199" i="2"/>
  <c r="H199" i="2"/>
  <c r="M198" i="2"/>
  <c r="L198" i="2"/>
  <c r="K198" i="2"/>
  <c r="J198" i="2"/>
  <c r="I198" i="2"/>
  <c r="H198" i="2"/>
  <c r="M197" i="2"/>
  <c r="L197" i="2"/>
  <c r="K197" i="2"/>
  <c r="J197" i="2"/>
  <c r="I197" i="2"/>
  <c r="H197" i="2"/>
  <c r="M196" i="2"/>
  <c r="L196" i="2"/>
  <c r="K196" i="2"/>
  <c r="J196" i="2"/>
  <c r="I196" i="2"/>
  <c r="H196" i="2"/>
  <c r="M195" i="2"/>
  <c r="L195" i="2"/>
  <c r="K195" i="2"/>
  <c r="J195" i="2"/>
  <c r="I195" i="2"/>
  <c r="H195" i="2"/>
  <c r="M194" i="2"/>
  <c r="L194" i="2"/>
  <c r="K194" i="2"/>
  <c r="J194" i="2"/>
  <c r="I194" i="2"/>
  <c r="H194" i="2"/>
  <c r="M193" i="2"/>
  <c r="L193" i="2"/>
  <c r="K193" i="2"/>
  <c r="J193" i="2"/>
  <c r="I193" i="2"/>
  <c r="H193" i="2"/>
  <c r="M192" i="2"/>
  <c r="L192" i="2"/>
  <c r="K192" i="2"/>
  <c r="J192" i="2"/>
  <c r="I192" i="2"/>
  <c r="H192" i="2"/>
  <c r="M191" i="2"/>
  <c r="L191" i="2"/>
  <c r="K191" i="2"/>
  <c r="J191" i="2"/>
  <c r="I191" i="2"/>
  <c r="H191" i="2"/>
  <c r="M190" i="2"/>
  <c r="L190" i="2"/>
  <c r="K190" i="2"/>
  <c r="J190" i="2"/>
  <c r="I190" i="2"/>
  <c r="H190" i="2"/>
  <c r="M189" i="2"/>
  <c r="L189" i="2"/>
  <c r="K189" i="2"/>
  <c r="J189" i="2"/>
  <c r="I189" i="2"/>
  <c r="H189" i="2"/>
  <c r="M188" i="2"/>
  <c r="L188" i="2"/>
  <c r="K188" i="2"/>
  <c r="J188" i="2"/>
  <c r="I188" i="2"/>
  <c r="H188" i="2"/>
  <c r="M187" i="2"/>
  <c r="L187" i="2"/>
  <c r="K187" i="2"/>
  <c r="J187" i="2"/>
  <c r="I187" i="2"/>
  <c r="H187" i="2"/>
  <c r="M186" i="2"/>
  <c r="L186" i="2"/>
  <c r="K186" i="2"/>
  <c r="J186" i="2"/>
  <c r="I186" i="2"/>
  <c r="H186" i="2"/>
  <c r="M185" i="2"/>
  <c r="L185" i="2"/>
  <c r="K185" i="2"/>
  <c r="J185" i="2"/>
  <c r="I185" i="2"/>
  <c r="H185" i="2"/>
  <c r="M184" i="2"/>
  <c r="L184" i="2"/>
  <c r="K184" i="2"/>
  <c r="J184" i="2"/>
  <c r="I184" i="2"/>
  <c r="H184" i="2"/>
  <c r="M183" i="2"/>
  <c r="L183" i="2"/>
  <c r="K183" i="2"/>
  <c r="J183" i="2"/>
  <c r="I183" i="2"/>
  <c r="H183" i="2"/>
  <c r="M182" i="2"/>
  <c r="L182" i="2"/>
  <c r="K182" i="2"/>
  <c r="J182" i="2"/>
  <c r="I182" i="2"/>
  <c r="H182" i="2"/>
  <c r="M181" i="2"/>
  <c r="L181" i="2"/>
  <c r="K181" i="2"/>
  <c r="J181" i="2"/>
  <c r="I181" i="2"/>
  <c r="H181" i="2"/>
  <c r="M180" i="2"/>
  <c r="L180" i="2"/>
  <c r="K180" i="2"/>
  <c r="J180" i="2"/>
  <c r="I180" i="2"/>
  <c r="H180" i="2"/>
  <c r="M179" i="2"/>
  <c r="L179" i="2"/>
  <c r="K179" i="2"/>
  <c r="J179" i="2"/>
  <c r="I179" i="2"/>
  <c r="H179" i="2"/>
  <c r="M178" i="2"/>
  <c r="L178" i="2"/>
  <c r="K178" i="2"/>
  <c r="J178" i="2"/>
  <c r="I178" i="2"/>
  <c r="H178" i="2"/>
  <c r="M177" i="2"/>
  <c r="L177" i="2"/>
  <c r="K177" i="2"/>
  <c r="J177" i="2"/>
  <c r="I177" i="2"/>
  <c r="H177" i="2"/>
  <c r="M176" i="2"/>
  <c r="L176" i="2"/>
  <c r="K176" i="2"/>
  <c r="J176" i="2"/>
  <c r="I176" i="2"/>
  <c r="H176" i="2"/>
  <c r="M175" i="2"/>
  <c r="L175" i="2"/>
  <c r="K175" i="2"/>
  <c r="J175" i="2"/>
  <c r="I175" i="2"/>
  <c r="H175" i="2"/>
  <c r="M174" i="2"/>
  <c r="L174" i="2"/>
  <c r="K174" i="2"/>
  <c r="J174" i="2"/>
  <c r="I174" i="2"/>
  <c r="H174" i="2"/>
  <c r="M173" i="2"/>
  <c r="L173" i="2"/>
  <c r="K173" i="2"/>
  <c r="J173" i="2"/>
  <c r="I173" i="2"/>
  <c r="H173" i="2"/>
  <c r="M172" i="2"/>
  <c r="L172" i="2"/>
  <c r="K172" i="2"/>
  <c r="J172" i="2"/>
  <c r="I172" i="2"/>
  <c r="H172" i="2"/>
  <c r="M171" i="2"/>
  <c r="L171" i="2"/>
  <c r="K171" i="2"/>
  <c r="J171" i="2"/>
  <c r="I171" i="2"/>
  <c r="H171" i="2"/>
  <c r="M170" i="2"/>
  <c r="L170" i="2"/>
  <c r="K170" i="2"/>
  <c r="J170" i="2"/>
  <c r="I170" i="2"/>
  <c r="H170" i="2"/>
  <c r="M169" i="2"/>
  <c r="L169" i="2"/>
  <c r="K169" i="2"/>
  <c r="J169" i="2"/>
  <c r="I169" i="2"/>
  <c r="H169" i="2"/>
  <c r="M168" i="2"/>
  <c r="L168" i="2"/>
  <c r="K168" i="2"/>
  <c r="J168" i="2"/>
  <c r="I168" i="2"/>
  <c r="H168" i="2"/>
  <c r="M167" i="2"/>
  <c r="L167" i="2"/>
  <c r="K167" i="2"/>
  <c r="J167" i="2"/>
  <c r="I167" i="2"/>
  <c r="H167" i="2"/>
  <c r="M166" i="2"/>
  <c r="L166" i="2"/>
  <c r="K166" i="2"/>
  <c r="J166" i="2"/>
  <c r="I166" i="2"/>
  <c r="H166" i="2"/>
  <c r="M165" i="2"/>
  <c r="L165" i="2"/>
  <c r="K165" i="2"/>
  <c r="J165" i="2"/>
  <c r="I165" i="2"/>
  <c r="H165" i="2"/>
  <c r="M164" i="2"/>
  <c r="L164" i="2"/>
  <c r="K164" i="2"/>
  <c r="J164" i="2"/>
  <c r="I164" i="2"/>
  <c r="H164" i="2"/>
  <c r="M163" i="2"/>
  <c r="L163" i="2"/>
  <c r="K163" i="2"/>
  <c r="J163" i="2"/>
  <c r="I163" i="2"/>
  <c r="H163" i="2"/>
  <c r="M162" i="2"/>
  <c r="L162" i="2"/>
  <c r="K162" i="2"/>
  <c r="J162" i="2"/>
  <c r="I162" i="2"/>
  <c r="H162" i="2"/>
  <c r="M161" i="2"/>
  <c r="L161" i="2"/>
  <c r="K161" i="2"/>
  <c r="J161" i="2"/>
  <c r="I161" i="2"/>
  <c r="H161" i="2"/>
  <c r="M160" i="2"/>
  <c r="L160" i="2"/>
  <c r="K160" i="2"/>
  <c r="J160" i="2"/>
  <c r="I160" i="2"/>
  <c r="H160" i="2"/>
  <c r="M159" i="2"/>
  <c r="L159" i="2"/>
  <c r="K159" i="2"/>
  <c r="J159" i="2"/>
  <c r="I159" i="2"/>
  <c r="H159" i="2"/>
  <c r="M158" i="2"/>
  <c r="L158" i="2"/>
  <c r="K158" i="2"/>
  <c r="J158" i="2"/>
  <c r="I158" i="2"/>
  <c r="H158" i="2"/>
  <c r="M157" i="2"/>
  <c r="L157" i="2"/>
  <c r="K157" i="2"/>
  <c r="J157" i="2"/>
  <c r="I157" i="2"/>
  <c r="H157" i="2"/>
  <c r="M156" i="2"/>
  <c r="L156" i="2"/>
  <c r="K156" i="2"/>
  <c r="J156" i="2"/>
  <c r="I156" i="2"/>
  <c r="H156" i="2"/>
  <c r="M155" i="2"/>
  <c r="L155" i="2"/>
  <c r="K155" i="2"/>
  <c r="J155" i="2"/>
  <c r="I155" i="2"/>
  <c r="H155" i="2"/>
  <c r="M154" i="2"/>
  <c r="L154" i="2"/>
  <c r="K154" i="2"/>
  <c r="J154" i="2"/>
  <c r="I154" i="2"/>
  <c r="H154" i="2"/>
  <c r="M153" i="2"/>
  <c r="L153" i="2"/>
  <c r="K153" i="2"/>
  <c r="J153" i="2"/>
  <c r="I153" i="2"/>
  <c r="H153" i="2"/>
  <c r="M152" i="2"/>
  <c r="L152" i="2"/>
  <c r="K152" i="2"/>
  <c r="J152" i="2"/>
  <c r="I152" i="2"/>
  <c r="H152" i="2"/>
  <c r="M151" i="2"/>
  <c r="L151" i="2"/>
  <c r="K151" i="2"/>
  <c r="J151" i="2"/>
  <c r="I151" i="2"/>
  <c r="H151" i="2"/>
  <c r="M150" i="2"/>
  <c r="L150" i="2"/>
  <c r="K150" i="2"/>
  <c r="J150" i="2"/>
  <c r="I150" i="2"/>
  <c r="H150" i="2"/>
  <c r="M149" i="2"/>
  <c r="L149" i="2"/>
  <c r="K149" i="2"/>
  <c r="J149" i="2"/>
  <c r="I149" i="2"/>
  <c r="H149" i="2"/>
  <c r="M148" i="2"/>
  <c r="L148" i="2"/>
  <c r="K148" i="2"/>
  <c r="J148" i="2"/>
  <c r="I148" i="2"/>
  <c r="H148" i="2"/>
  <c r="M147" i="2"/>
  <c r="L147" i="2"/>
  <c r="K147" i="2"/>
  <c r="J147" i="2"/>
  <c r="I147" i="2"/>
  <c r="H147" i="2"/>
  <c r="M146" i="2"/>
  <c r="L146" i="2"/>
  <c r="K146" i="2"/>
  <c r="J146" i="2"/>
  <c r="I146" i="2"/>
  <c r="H146" i="2"/>
  <c r="M145" i="2"/>
  <c r="L145" i="2"/>
  <c r="K145" i="2"/>
  <c r="J145" i="2"/>
  <c r="I145" i="2"/>
  <c r="H145" i="2"/>
  <c r="M144" i="2"/>
  <c r="L144" i="2"/>
  <c r="K144" i="2"/>
  <c r="J144" i="2"/>
  <c r="I144" i="2"/>
  <c r="H144" i="2"/>
  <c r="M143" i="2"/>
  <c r="L143" i="2"/>
  <c r="K143" i="2"/>
  <c r="J143" i="2"/>
  <c r="I143" i="2"/>
  <c r="H143" i="2"/>
  <c r="M142" i="2"/>
  <c r="L142" i="2"/>
  <c r="K142" i="2"/>
  <c r="J142" i="2"/>
  <c r="I142" i="2"/>
  <c r="H142" i="2"/>
  <c r="M141" i="2"/>
  <c r="L141" i="2"/>
  <c r="K141" i="2"/>
  <c r="J141" i="2"/>
  <c r="I141" i="2"/>
  <c r="H141" i="2"/>
  <c r="M140" i="2"/>
  <c r="L140" i="2"/>
  <c r="K140" i="2"/>
  <c r="J140" i="2"/>
  <c r="I140" i="2"/>
  <c r="H140" i="2"/>
  <c r="M139" i="2"/>
  <c r="L139" i="2"/>
  <c r="K139" i="2"/>
  <c r="J139" i="2"/>
  <c r="I139" i="2"/>
  <c r="H139" i="2"/>
  <c r="M138" i="2"/>
  <c r="L138" i="2"/>
  <c r="K138" i="2"/>
  <c r="J138" i="2"/>
  <c r="I138" i="2"/>
  <c r="H138" i="2"/>
  <c r="M137" i="2"/>
  <c r="L137" i="2"/>
  <c r="K137" i="2"/>
  <c r="J137" i="2"/>
  <c r="I137" i="2"/>
  <c r="H137" i="2"/>
  <c r="M136" i="2"/>
  <c r="L136" i="2"/>
  <c r="K136" i="2"/>
  <c r="J136" i="2"/>
  <c r="I136" i="2"/>
  <c r="H136" i="2"/>
  <c r="M135" i="2"/>
  <c r="L135" i="2"/>
  <c r="K135" i="2"/>
  <c r="J135" i="2"/>
  <c r="I135" i="2"/>
  <c r="H135" i="2"/>
  <c r="M134" i="2"/>
  <c r="L134" i="2"/>
  <c r="K134" i="2"/>
  <c r="J134" i="2"/>
  <c r="I134" i="2"/>
  <c r="H134" i="2"/>
  <c r="M133" i="2"/>
  <c r="L133" i="2"/>
  <c r="K133" i="2"/>
  <c r="J133" i="2"/>
  <c r="I133" i="2"/>
  <c r="H133" i="2"/>
  <c r="M132" i="2"/>
  <c r="L132" i="2"/>
  <c r="K132" i="2"/>
  <c r="J132" i="2"/>
  <c r="I132" i="2"/>
  <c r="H132" i="2"/>
  <c r="M131" i="2"/>
  <c r="L131" i="2"/>
  <c r="K131" i="2"/>
  <c r="J131" i="2"/>
  <c r="I131" i="2"/>
  <c r="H131" i="2"/>
  <c r="M130" i="2"/>
  <c r="L130" i="2"/>
  <c r="K130" i="2"/>
  <c r="J130" i="2"/>
  <c r="I130" i="2"/>
  <c r="H130" i="2"/>
  <c r="M129" i="2"/>
  <c r="L129" i="2"/>
  <c r="K129" i="2"/>
  <c r="J129" i="2"/>
  <c r="I129" i="2"/>
  <c r="H129" i="2"/>
  <c r="M128" i="2"/>
  <c r="L128" i="2"/>
  <c r="K128" i="2"/>
  <c r="J128" i="2"/>
  <c r="I128" i="2"/>
  <c r="H128" i="2"/>
  <c r="M127" i="2"/>
  <c r="L127" i="2"/>
  <c r="K127" i="2"/>
  <c r="J127" i="2"/>
  <c r="I127" i="2"/>
  <c r="H127" i="2"/>
  <c r="M126" i="2"/>
  <c r="L126" i="2"/>
  <c r="K126" i="2"/>
  <c r="J126" i="2"/>
  <c r="I126" i="2"/>
  <c r="H126" i="2"/>
  <c r="M125" i="2"/>
  <c r="L125" i="2"/>
  <c r="K125" i="2"/>
  <c r="J125" i="2"/>
  <c r="I125" i="2"/>
  <c r="H125" i="2"/>
  <c r="M124" i="2"/>
  <c r="L124" i="2"/>
  <c r="K124" i="2"/>
  <c r="J124" i="2"/>
  <c r="I124" i="2"/>
  <c r="H124" i="2"/>
  <c r="M123" i="2"/>
  <c r="L123" i="2"/>
  <c r="K123" i="2"/>
  <c r="J123" i="2"/>
  <c r="I123" i="2"/>
  <c r="H123" i="2"/>
  <c r="M122" i="2"/>
  <c r="L122" i="2"/>
  <c r="K122" i="2"/>
  <c r="J122" i="2"/>
  <c r="I122" i="2"/>
  <c r="H122" i="2"/>
  <c r="M121" i="2"/>
  <c r="L121" i="2"/>
  <c r="K121" i="2"/>
  <c r="J121" i="2"/>
  <c r="I121" i="2"/>
  <c r="H121" i="2"/>
  <c r="M120" i="2"/>
  <c r="L120" i="2"/>
  <c r="K120" i="2"/>
  <c r="J120" i="2"/>
  <c r="I120" i="2"/>
  <c r="H120" i="2"/>
  <c r="M119" i="2"/>
  <c r="L119" i="2"/>
  <c r="K119" i="2"/>
  <c r="J119" i="2"/>
  <c r="I119" i="2"/>
  <c r="H119" i="2"/>
  <c r="M118" i="2"/>
  <c r="L118" i="2"/>
  <c r="K118" i="2"/>
  <c r="J118" i="2"/>
  <c r="I118" i="2"/>
  <c r="H118" i="2"/>
  <c r="M117" i="2"/>
  <c r="L117" i="2"/>
  <c r="K117" i="2"/>
  <c r="J117" i="2"/>
  <c r="I117" i="2"/>
  <c r="H117" i="2"/>
  <c r="M116" i="2"/>
  <c r="L116" i="2"/>
  <c r="K116" i="2"/>
  <c r="J116" i="2"/>
  <c r="I116" i="2"/>
  <c r="H116" i="2"/>
  <c r="M115" i="2"/>
  <c r="L115" i="2"/>
  <c r="K115" i="2"/>
  <c r="J115" i="2"/>
  <c r="I115" i="2"/>
  <c r="H115" i="2"/>
  <c r="M114" i="2"/>
  <c r="L114" i="2"/>
  <c r="K114" i="2"/>
  <c r="J114" i="2"/>
  <c r="I114" i="2"/>
  <c r="H114" i="2"/>
  <c r="M113" i="2"/>
  <c r="L113" i="2"/>
  <c r="K113" i="2"/>
  <c r="J113" i="2"/>
  <c r="I113" i="2"/>
  <c r="H113" i="2"/>
  <c r="M112" i="2"/>
  <c r="L112" i="2"/>
  <c r="K112" i="2"/>
  <c r="J112" i="2"/>
  <c r="I112" i="2"/>
  <c r="H112" i="2"/>
  <c r="M111" i="2"/>
  <c r="L111" i="2"/>
  <c r="K111" i="2"/>
  <c r="J111" i="2"/>
  <c r="I111" i="2"/>
  <c r="H111" i="2"/>
  <c r="M110" i="2"/>
  <c r="L110" i="2"/>
  <c r="K110" i="2"/>
  <c r="J110" i="2"/>
  <c r="I110" i="2"/>
  <c r="H110" i="2"/>
  <c r="M109" i="2"/>
  <c r="L109" i="2"/>
  <c r="K109" i="2"/>
  <c r="J109" i="2"/>
  <c r="I109" i="2"/>
  <c r="H109" i="2"/>
  <c r="M108" i="2"/>
  <c r="L108" i="2"/>
  <c r="K108" i="2"/>
  <c r="J108" i="2"/>
  <c r="I108" i="2"/>
  <c r="H108" i="2"/>
  <c r="M107" i="2"/>
  <c r="L107" i="2"/>
  <c r="K107" i="2"/>
  <c r="J107" i="2"/>
  <c r="I107" i="2"/>
  <c r="H107" i="2"/>
  <c r="M106" i="2"/>
  <c r="L106" i="2"/>
  <c r="K106" i="2"/>
  <c r="J106" i="2"/>
  <c r="I106" i="2"/>
  <c r="H106" i="2"/>
  <c r="M105" i="2"/>
  <c r="L105" i="2"/>
  <c r="K105" i="2"/>
  <c r="J105" i="2"/>
  <c r="I105" i="2"/>
  <c r="H105" i="2"/>
  <c r="M104" i="2"/>
  <c r="L104" i="2"/>
  <c r="K104" i="2"/>
  <c r="J104" i="2"/>
  <c r="I104" i="2"/>
  <c r="H104" i="2"/>
  <c r="M103" i="2"/>
  <c r="L103" i="2"/>
  <c r="K103" i="2"/>
  <c r="J103" i="2"/>
  <c r="I103" i="2"/>
  <c r="H103" i="2"/>
  <c r="M102" i="2"/>
  <c r="L102" i="2"/>
  <c r="K102" i="2"/>
  <c r="J102" i="2"/>
  <c r="I102" i="2"/>
  <c r="H102" i="2"/>
  <c r="M101" i="2"/>
  <c r="L101" i="2"/>
  <c r="K101" i="2"/>
  <c r="J101" i="2"/>
  <c r="I101" i="2"/>
  <c r="H101" i="2"/>
  <c r="M100" i="2"/>
  <c r="L100" i="2"/>
  <c r="K100" i="2"/>
  <c r="J100" i="2"/>
  <c r="I100" i="2"/>
  <c r="H100" i="2"/>
  <c r="M99" i="2"/>
  <c r="L99" i="2"/>
  <c r="K99" i="2"/>
  <c r="J99" i="2"/>
  <c r="I99" i="2"/>
  <c r="H99" i="2"/>
  <c r="M98" i="2"/>
  <c r="L98" i="2"/>
  <c r="K98" i="2"/>
  <c r="J98" i="2"/>
  <c r="I98" i="2"/>
  <c r="H98" i="2"/>
  <c r="M97" i="2"/>
  <c r="L97" i="2"/>
  <c r="K97" i="2"/>
  <c r="J97" i="2"/>
  <c r="I97" i="2"/>
  <c r="H97" i="2"/>
  <c r="M96" i="2"/>
  <c r="L96" i="2"/>
  <c r="K96" i="2"/>
  <c r="J96" i="2"/>
  <c r="I96" i="2"/>
  <c r="H96" i="2"/>
  <c r="M95" i="2"/>
  <c r="L95" i="2"/>
  <c r="K95" i="2"/>
  <c r="J95" i="2"/>
  <c r="I95" i="2"/>
  <c r="H95" i="2"/>
  <c r="M94" i="2"/>
  <c r="L94" i="2"/>
  <c r="K94" i="2"/>
  <c r="J94" i="2"/>
  <c r="I94" i="2"/>
  <c r="H94" i="2"/>
  <c r="M93" i="2"/>
  <c r="L93" i="2"/>
  <c r="K93" i="2"/>
  <c r="J93" i="2"/>
  <c r="I93" i="2"/>
  <c r="H93" i="2"/>
  <c r="M92" i="2"/>
  <c r="L92" i="2"/>
  <c r="K92" i="2"/>
  <c r="J92" i="2"/>
  <c r="I92" i="2"/>
  <c r="H92" i="2"/>
  <c r="M91" i="2"/>
  <c r="L91" i="2"/>
  <c r="K91" i="2"/>
  <c r="J91" i="2"/>
  <c r="I91" i="2"/>
  <c r="H91" i="2"/>
  <c r="M90" i="2"/>
  <c r="L90" i="2"/>
  <c r="K90" i="2"/>
  <c r="J90" i="2"/>
  <c r="I90" i="2"/>
  <c r="H90" i="2"/>
  <c r="M89" i="2"/>
  <c r="L89" i="2"/>
  <c r="K89" i="2"/>
  <c r="J89" i="2"/>
  <c r="I89" i="2"/>
  <c r="H89" i="2"/>
  <c r="M88" i="2"/>
  <c r="L88" i="2"/>
  <c r="K88" i="2"/>
  <c r="J88" i="2"/>
  <c r="I88" i="2"/>
  <c r="H88" i="2"/>
  <c r="M87" i="2"/>
  <c r="L87" i="2"/>
  <c r="K87" i="2"/>
  <c r="J87" i="2"/>
  <c r="I87" i="2"/>
  <c r="H87" i="2"/>
  <c r="M86" i="2"/>
  <c r="L86" i="2"/>
  <c r="K86" i="2"/>
  <c r="J86" i="2"/>
  <c r="I86" i="2"/>
  <c r="H86" i="2"/>
  <c r="M85" i="2"/>
  <c r="L85" i="2"/>
  <c r="K85" i="2"/>
  <c r="J85" i="2"/>
  <c r="I85" i="2"/>
  <c r="H85" i="2"/>
  <c r="M84" i="2"/>
  <c r="L84" i="2"/>
  <c r="K84" i="2"/>
  <c r="J84" i="2"/>
  <c r="I84" i="2"/>
  <c r="H84" i="2"/>
  <c r="M83" i="2"/>
  <c r="L83" i="2"/>
  <c r="K83" i="2"/>
  <c r="J83" i="2"/>
  <c r="I83" i="2"/>
  <c r="H83" i="2"/>
  <c r="M82" i="2"/>
  <c r="L82" i="2"/>
  <c r="K82" i="2"/>
  <c r="J82" i="2"/>
  <c r="I82" i="2"/>
  <c r="H82" i="2"/>
  <c r="M81" i="2"/>
  <c r="L81" i="2"/>
  <c r="K81" i="2"/>
  <c r="J81" i="2"/>
  <c r="I81" i="2"/>
  <c r="H81" i="2"/>
  <c r="M80" i="2"/>
  <c r="L80" i="2"/>
  <c r="K80" i="2"/>
  <c r="J80" i="2"/>
  <c r="I80" i="2"/>
  <c r="H80" i="2"/>
  <c r="M79" i="2"/>
  <c r="L79" i="2"/>
  <c r="K79" i="2"/>
  <c r="J79" i="2"/>
  <c r="I79" i="2"/>
  <c r="H79" i="2"/>
  <c r="M78" i="2"/>
  <c r="L78" i="2"/>
  <c r="K78" i="2"/>
  <c r="J78" i="2"/>
  <c r="I78" i="2"/>
  <c r="H78" i="2"/>
  <c r="M77" i="2"/>
  <c r="L77" i="2"/>
  <c r="K77" i="2"/>
  <c r="J77" i="2"/>
  <c r="I77" i="2"/>
  <c r="H77" i="2"/>
  <c r="M76" i="2"/>
  <c r="L76" i="2"/>
  <c r="K76" i="2"/>
  <c r="J76" i="2"/>
  <c r="I76" i="2"/>
  <c r="H76" i="2"/>
  <c r="M75" i="2"/>
  <c r="L75" i="2"/>
  <c r="K75" i="2"/>
  <c r="J75" i="2"/>
  <c r="I75" i="2"/>
  <c r="H75" i="2"/>
  <c r="M74" i="2"/>
  <c r="L74" i="2"/>
  <c r="K74" i="2"/>
  <c r="J74" i="2"/>
  <c r="I74" i="2"/>
  <c r="H74" i="2"/>
  <c r="M73" i="2"/>
  <c r="L73" i="2"/>
  <c r="K73" i="2"/>
  <c r="J73" i="2"/>
  <c r="I73" i="2"/>
  <c r="H73" i="2"/>
  <c r="M72" i="2"/>
  <c r="L72" i="2"/>
  <c r="K72" i="2"/>
  <c r="J72" i="2"/>
  <c r="I72" i="2"/>
  <c r="H72" i="2"/>
  <c r="M71" i="2"/>
  <c r="L71" i="2"/>
  <c r="K71" i="2"/>
  <c r="J71" i="2"/>
  <c r="I71" i="2"/>
  <c r="H71" i="2"/>
  <c r="M70" i="2"/>
  <c r="L70" i="2"/>
  <c r="K70" i="2"/>
  <c r="J70" i="2"/>
  <c r="I70" i="2"/>
  <c r="H70" i="2"/>
  <c r="M69" i="2"/>
  <c r="L69" i="2"/>
  <c r="K69" i="2"/>
  <c r="J69" i="2"/>
  <c r="I69" i="2"/>
  <c r="H69" i="2"/>
  <c r="M68" i="2"/>
  <c r="L68" i="2"/>
  <c r="K68" i="2"/>
  <c r="J68" i="2"/>
  <c r="I68" i="2"/>
  <c r="H68" i="2"/>
  <c r="M67" i="2"/>
  <c r="L67" i="2"/>
  <c r="K67" i="2"/>
  <c r="J67" i="2"/>
  <c r="I67" i="2"/>
  <c r="H67" i="2"/>
  <c r="M66" i="2"/>
  <c r="L66" i="2"/>
  <c r="K66" i="2"/>
  <c r="J66" i="2"/>
  <c r="I66" i="2"/>
  <c r="H66" i="2"/>
  <c r="M65" i="2"/>
  <c r="L65" i="2"/>
  <c r="K65" i="2"/>
  <c r="J65" i="2"/>
  <c r="I65" i="2"/>
  <c r="H65" i="2"/>
  <c r="M64" i="2"/>
  <c r="L64" i="2"/>
  <c r="K64" i="2"/>
  <c r="J64" i="2"/>
  <c r="I64" i="2"/>
  <c r="H64" i="2"/>
  <c r="M63" i="2"/>
  <c r="L63" i="2"/>
  <c r="K63" i="2"/>
  <c r="J63" i="2"/>
  <c r="I63" i="2"/>
  <c r="H63" i="2"/>
  <c r="M62" i="2"/>
  <c r="L62" i="2"/>
  <c r="K62" i="2"/>
  <c r="J62" i="2"/>
  <c r="I62" i="2"/>
  <c r="H62" i="2"/>
  <c r="M61" i="2"/>
  <c r="L61" i="2"/>
  <c r="K61" i="2"/>
  <c r="J61" i="2"/>
  <c r="I61" i="2"/>
  <c r="H61" i="2"/>
  <c r="M60" i="2"/>
  <c r="L60" i="2"/>
  <c r="K60" i="2"/>
  <c r="J60" i="2"/>
  <c r="I60" i="2"/>
  <c r="H60" i="2"/>
  <c r="M59" i="2"/>
  <c r="L59" i="2"/>
  <c r="K59" i="2"/>
  <c r="J59" i="2"/>
  <c r="I59" i="2"/>
  <c r="H59" i="2"/>
  <c r="M58" i="2"/>
  <c r="L58" i="2"/>
  <c r="K58" i="2"/>
  <c r="J58" i="2"/>
  <c r="I58" i="2"/>
  <c r="H58" i="2"/>
  <c r="M57" i="2"/>
  <c r="L57" i="2"/>
  <c r="K57" i="2"/>
  <c r="J57" i="2"/>
  <c r="I57" i="2"/>
  <c r="H57" i="2"/>
  <c r="M56" i="2"/>
  <c r="L56" i="2"/>
  <c r="K56" i="2"/>
  <c r="J56" i="2"/>
  <c r="I56" i="2"/>
  <c r="H56" i="2"/>
  <c r="M55" i="2"/>
  <c r="L55" i="2"/>
  <c r="K55" i="2"/>
  <c r="J55" i="2"/>
  <c r="I55" i="2"/>
  <c r="H55" i="2"/>
  <c r="M54" i="2"/>
  <c r="L54" i="2"/>
  <c r="K54" i="2"/>
  <c r="J54" i="2"/>
  <c r="I54" i="2"/>
  <c r="H54" i="2"/>
  <c r="M53" i="2"/>
  <c r="L53" i="2"/>
  <c r="K53" i="2"/>
  <c r="J53" i="2"/>
  <c r="I53" i="2"/>
  <c r="H53" i="2"/>
  <c r="M52" i="2"/>
  <c r="L52" i="2"/>
  <c r="K52" i="2"/>
  <c r="J52" i="2"/>
  <c r="I52" i="2"/>
  <c r="H52" i="2"/>
  <c r="M51" i="2"/>
  <c r="L51" i="2"/>
  <c r="K51" i="2"/>
  <c r="J51" i="2"/>
  <c r="I51" i="2"/>
  <c r="H51" i="2"/>
  <c r="M50" i="2"/>
  <c r="L50" i="2"/>
  <c r="K50" i="2"/>
  <c r="J50" i="2"/>
  <c r="I50" i="2"/>
  <c r="H50" i="2"/>
  <c r="M49" i="2"/>
  <c r="L49" i="2"/>
  <c r="K49" i="2"/>
  <c r="J49" i="2"/>
  <c r="I49" i="2"/>
  <c r="H49" i="2"/>
  <c r="M48" i="2"/>
  <c r="L48" i="2"/>
  <c r="K48" i="2"/>
  <c r="J48" i="2"/>
  <c r="I48" i="2"/>
  <c r="H48" i="2"/>
  <c r="M47" i="2"/>
  <c r="L47" i="2"/>
  <c r="K47" i="2"/>
  <c r="J47" i="2"/>
  <c r="I47" i="2"/>
  <c r="H47" i="2"/>
  <c r="M46" i="2"/>
  <c r="L46" i="2"/>
  <c r="K46" i="2"/>
  <c r="J46" i="2"/>
  <c r="I46" i="2"/>
  <c r="H46" i="2"/>
  <c r="M45" i="2"/>
  <c r="L45" i="2"/>
  <c r="K45" i="2"/>
  <c r="J45" i="2"/>
  <c r="I45" i="2"/>
  <c r="H45" i="2"/>
  <c r="M44" i="2"/>
  <c r="L44" i="2"/>
  <c r="K44" i="2"/>
  <c r="J44" i="2"/>
  <c r="I44" i="2"/>
  <c r="H44" i="2"/>
  <c r="M43" i="2"/>
  <c r="L43" i="2"/>
  <c r="K43" i="2"/>
  <c r="J43" i="2"/>
  <c r="I43" i="2"/>
  <c r="H43" i="2"/>
  <c r="M42" i="2"/>
  <c r="L42" i="2"/>
  <c r="K42" i="2"/>
  <c r="J42" i="2"/>
  <c r="I42" i="2"/>
  <c r="H42" i="2"/>
  <c r="M41" i="2"/>
  <c r="L41" i="2"/>
  <c r="K41" i="2"/>
  <c r="J41" i="2"/>
  <c r="I41" i="2"/>
  <c r="H41" i="2"/>
  <c r="M40" i="2"/>
  <c r="L40" i="2"/>
  <c r="K40" i="2"/>
  <c r="J40" i="2"/>
  <c r="I40" i="2"/>
  <c r="H40" i="2"/>
  <c r="M39" i="2"/>
  <c r="L39" i="2"/>
  <c r="K39" i="2"/>
  <c r="J39" i="2"/>
  <c r="I39" i="2"/>
  <c r="H39" i="2"/>
  <c r="M38" i="2"/>
  <c r="L38" i="2"/>
  <c r="K38" i="2"/>
  <c r="J38" i="2"/>
  <c r="I38" i="2"/>
  <c r="H38" i="2"/>
  <c r="M37" i="2"/>
  <c r="L37" i="2"/>
  <c r="K37" i="2"/>
  <c r="J37" i="2"/>
  <c r="I37" i="2"/>
  <c r="H37" i="2"/>
  <c r="M36" i="2"/>
  <c r="L36" i="2"/>
  <c r="K36" i="2"/>
  <c r="J36" i="2"/>
  <c r="I36" i="2"/>
  <c r="H36" i="2"/>
  <c r="M35" i="2"/>
  <c r="L35" i="2"/>
  <c r="K35" i="2"/>
  <c r="J35" i="2"/>
  <c r="I35" i="2"/>
  <c r="H35" i="2"/>
  <c r="M34" i="2"/>
  <c r="L34" i="2"/>
  <c r="K34" i="2"/>
  <c r="J34" i="2"/>
  <c r="I34" i="2"/>
  <c r="H34" i="2"/>
  <c r="M33" i="2"/>
  <c r="L33" i="2"/>
  <c r="K33" i="2"/>
  <c r="J33" i="2"/>
  <c r="I33" i="2"/>
  <c r="H33" i="2"/>
  <c r="M32" i="2"/>
  <c r="L32" i="2"/>
  <c r="K32" i="2"/>
  <c r="J32" i="2"/>
  <c r="I32" i="2"/>
  <c r="H32" i="2"/>
  <c r="M31" i="2"/>
  <c r="L31" i="2"/>
  <c r="K31" i="2"/>
  <c r="J31" i="2"/>
  <c r="I31" i="2"/>
  <c r="H31" i="2"/>
  <c r="M30" i="2"/>
  <c r="L30" i="2"/>
  <c r="K30" i="2"/>
  <c r="J30" i="2"/>
  <c r="I30" i="2"/>
  <c r="H30" i="2"/>
  <c r="M29" i="2"/>
  <c r="L29" i="2"/>
  <c r="K29" i="2"/>
  <c r="J29" i="2"/>
  <c r="I29" i="2"/>
  <c r="H29" i="2"/>
  <c r="M28" i="2"/>
  <c r="L28" i="2"/>
  <c r="K28" i="2"/>
  <c r="J28" i="2"/>
  <c r="I28" i="2"/>
  <c r="H28" i="2"/>
  <c r="M27" i="2"/>
  <c r="L27" i="2"/>
  <c r="B21" i="1" s="1"/>
  <c r="C21" i="1" s="1"/>
  <c r="K27" i="2"/>
  <c r="E20" i="1" s="1"/>
  <c r="J27" i="2"/>
  <c r="I27" i="2"/>
  <c r="H27" i="2"/>
  <c r="M26" i="2"/>
  <c r="L26" i="2"/>
  <c r="K26" i="2"/>
  <c r="J26" i="2"/>
  <c r="I26" i="2"/>
  <c r="H26" i="2"/>
  <c r="M25" i="2"/>
  <c r="L25" i="2"/>
  <c r="K25" i="2"/>
  <c r="J25" i="2"/>
  <c r="I25" i="2"/>
  <c r="H25" i="2"/>
  <c r="M24" i="2"/>
  <c r="L24" i="2"/>
  <c r="K24" i="2"/>
  <c r="J24" i="2"/>
  <c r="I24" i="2"/>
  <c r="H24" i="2"/>
  <c r="M23" i="2"/>
  <c r="L23" i="2"/>
  <c r="K23" i="2"/>
  <c r="J23" i="2"/>
  <c r="I23" i="2"/>
  <c r="H23" i="2"/>
  <c r="M22" i="2"/>
  <c r="L22" i="2"/>
  <c r="K22" i="2"/>
  <c r="J22" i="2"/>
  <c r="I22" i="2"/>
  <c r="H22" i="2"/>
  <c r="M21" i="2"/>
  <c r="L21" i="2"/>
  <c r="K21" i="2"/>
  <c r="J21" i="2"/>
  <c r="I21" i="2"/>
  <c r="H21" i="2"/>
  <c r="M20" i="2"/>
  <c r="L20" i="2"/>
  <c r="K20" i="2"/>
  <c r="J20" i="2"/>
  <c r="I20" i="2"/>
  <c r="H20" i="2"/>
  <c r="M19" i="2"/>
  <c r="L19" i="2"/>
  <c r="K19" i="2"/>
  <c r="J19" i="2"/>
  <c r="I19" i="2"/>
  <c r="H19" i="2"/>
  <c r="M18" i="2"/>
  <c r="L18" i="2"/>
  <c r="K18" i="2"/>
  <c r="J18" i="2"/>
  <c r="I18" i="2"/>
  <c r="H18" i="2"/>
  <c r="M17" i="2"/>
  <c r="L17" i="2"/>
  <c r="K17" i="2"/>
  <c r="J17" i="2"/>
  <c r="I17" i="2"/>
  <c r="H17" i="2"/>
  <c r="M16" i="2"/>
  <c r="L16" i="2"/>
  <c r="K16" i="2"/>
  <c r="J16" i="2"/>
  <c r="I16" i="2"/>
  <c r="H16" i="2"/>
  <c r="M15" i="2"/>
  <c r="L15" i="2"/>
  <c r="K15" i="2"/>
  <c r="J15" i="2"/>
  <c r="I15" i="2"/>
  <c r="H15" i="2"/>
  <c r="M14" i="2"/>
  <c r="L14" i="2"/>
  <c r="K14" i="2"/>
  <c r="J14" i="2"/>
  <c r="I14" i="2"/>
  <c r="H14" i="2"/>
  <c r="M13" i="2"/>
  <c r="L13" i="2"/>
  <c r="K13" i="2"/>
  <c r="J13" i="2"/>
  <c r="I13" i="2"/>
  <c r="H13" i="2"/>
  <c r="M12" i="2"/>
  <c r="L12" i="2"/>
  <c r="K12" i="2"/>
  <c r="J12" i="2"/>
  <c r="I12" i="2"/>
  <c r="H12" i="2"/>
  <c r="M11" i="2"/>
  <c r="L11" i="2"/>
  <c r="K11" i="2"/>
  <c r="J11" i="2"/>
  <c r="I11" i="2"/>
  <c r="H11" i="2"/>
  <c r="M10" i="2"/>
  <c r="L10" i="2"/>
  <c r="K10" i="2"/>
  <c r="J10" i="2"/>
  <c r="I10" i="2"/>
  <c r="H10" i="2"/>
  <c r="M9" i="2"/>
  <c r="L9" i="2"/>
  <c r="K9" i="2"/>
  <c r="J9" i="2"/>
  <c r="I9" i="2"/>
  <c r="H9" i="2"/>
  <c r="M8" i="2"/>
  <c r="L8" i="2"/>
  <c r="K8" i="2"/>
  <c r="J8" i="2"/>
  <c r="I8" i="2"/>
  <c r="H8" i="2"/>
  <c r="M7" i="2"/>
  <c r="L7" i="2"/>
  <c r="K7" i="2"/>
  <c r="J7" i="2"/>
  <c r="I7" i="2"/>
  <c r="H7" i="2"/>
  <c r="M6" i="2"/>
  <c r="L6" i="2"/>
  <c r="K6" i="2"/>
  <c r="J6" i="2"/>
  <c r="I6" i="2"/>
  <c r="H6" i="2"/>
  <c r="M5" i="2"/>
  <c r="L5" i="2"/>
  <c r="K5" i="2"/>
  <c r="J5" i="2"/>
  <c r="I5" i="2"/>
  <c r="H5" i="2"/>
  <c r="M4" i="2"/>
  <c r="L4" i="2"/>
  <c r="K4" i="2"/>
  <c r="J4" i="2"/>
  <c r="I4" i="2"/>
  <c r="H4" i="2"/>
  <c r="M3" i="2"/>
  <c r="L3" i="2"/>
  <c r="K3" i="2"/>
  <c r="J3" i="2"/>
  <c r="I3" i="2"/>
  <c r="H3" i="2"/>
  <c r="M2" i="2"/>
  <c r="L2" i="2"/>
  <c r="K2" i="2"/>
  <c r="J2" i="2"/>
  <c r="I2" i="2"/>
  <c r="H2" i="2"/>
  <c r="E21" i="1"/>
  <c r="D21" i="1"/>
  <c r="D20" i="1"/>
  <c r="B20" i="1"/>
  <c r="E19" i="1"/>
  <c r="D19" i="1"/>
  <c r="B19" i="1"/>
  <c r="B12" i="1"/>
  <c r="B11" i="1"/>
  <c r="C20" i="1" s="1"/>
  <c r="B9" i="1"/>
  <c r="B10" i="1" s="1"/>
  <c r="B8" i="1"/>
  <c r="B13" i="1" l="1"/>
  <c r="C19" i="1"/>
</calcChain>
</file>

<file path=xl/sharedStrings.xml><?xml version="1.0" encoding="utf-8"?>
<sst xmlns="http://schemas.openxmlformats.org/spreadsheetml/2006/main" count="686" uniqueCount="291">
  <si>
    <t>Busy Buffet: Task 3</t>
  </si>
  <si>
    <t>ข้อเสนอ: ทดลองจำกัดเวลานั่ง Walk-in 120 นาทีในวันคาดว่าคิวหนาแน่น</t>
  </si>
  <si>
    <t>แจ้งเงื่อนไขก่อนซื้อและเริ่มนับเมื่อนั่งโต๊ะ; ไม่เปลี่ยนสิทธิ์ของลูกค้ากลางมื้อ</t>
  </si>
  <si>
    <t>120 นาทีเป็นตัวเลือกทดลองที่มีเหตุผล ไม่ใช่เวลาที่พิสูจน์แล้วว่าดีที่สุด</t>
  </si>
  <si>
    <t>หลักฐานจากข้อมูล</t>
  </si>
  <si>
    <t>จำนวน / สัดส่วน</t>
  </si>
  <si>
    <t>Walk-in ที่เวลานั่งผ่านเกณฑ์</t>
  </si>
  <si>
    <t>กินเสร็จภายใน 120 นาที</t>
  </si>
  <si>
    <t>สัดส่วนกินเสร็จใน 120 นาที</t>
  </si>
  <si>
    <t>กลุ่มในสองชีตที่มีคิว</t>
  </si>
  <si>
    <t>กลุ่มดังกล่าวที่นั่งเกิน 120 นาที</t>
  </si>
  <si>
    <t>สัดส่วนที่จะกระทบในสองชีต</t>
  </si>
  <si>
    <t>ฐานสองชีต = 143 และ 153 เลือกเพื่ออธิบายกรณีมีคิว ไม่ใช่ตัวอย่างสุ่ม</t>
  </si>
  <si>
    <t>วันทดลองในอนาคตต้องเลือกและแจ้งล่วงหน้า ไม่ตัดสินใจลดสิทธิ์หลังขาย</t>
  </si>
  <si>
    <t>เพดาน (นาที)</t>
  </si>
  <si>
    <t>กระทบ
(กลุ่ม)</t>
  </si>
  <si>
    <t>กระทบ
(%)</t>
  </si>
  <si>
    <t>ลดเวลานั่ง
(นาทีกลุ่ม)</t>
  </si>
  <si>
    <t>ตรงช่วงคิวเดิม
(นาทีกลุ่ม)</t>
  </si>
  <si>
    <t>90 นาทีคืนเวลาได้มากกว่า แต่กระทบ 30.1% ของกลุ่มในสองชีต</t>
  </si>
  <si>
    <t>150 นาทีกระทบน้อยกว่า แต่ลดเวลาที่ตรงช่วงคิวเดิมได้น้อยกว่า</t>
  </si>
  <si>
    <t>120 นาทีจึงเป็นจุดเริ่มทดลองที่พิจารณาทั้งโอกาสคืนเวลาและผลต่อลูกค้า</t>
  </si>
  <si>
    <t>ตัวอย่างจริง: ชีต 153 กลุ่ม 14 เริ่มกิน 08:00 และออก 10:46</t>
  </si>
  <si>
    <t>ถ้าจำกัด 120 นาทีและปฏิบัติตาม กลุ่มนี้จะออก 10:00 หรือเร็วขึ้น 46 นาที</t>
  </si>
  <si>
    <t>ช่วง 10:00-10:46 มีคิวเดิมอยู่ จึงมีโอกาสนำโต๊ะกลับมาให้บริการเร็วขึ้น</t>
  </si>
  <si>
    <t>ในสองชีต รวมเวลาที่อาจลดได้ 333 นาทีกลุ่ม โดย 246 นาทีกลุ่มตรงช่วงมีคิวเดิม</t>
  </si>
  <si>
    <t>ไม่เท่ากับเวลารอที่ลดได้ 246 นาที และยังไม่บอกว่าจะรับลูกค้าเพิ่มกี่คน</t>
  </si>
  <si>
    <t>แบบคำนวณคงเวลาเริ่มกินเดิม สมมติทุกกลุ่มทำตาม และไม่จำลองการจัดคิวใหม่</t>
  </si>
  <si>
    <t>ยังไม่รวมเวลาเก็บโต๊ะ ความพอดีของโต๊ะ ความต้องการที่เปลี่ยน และการไม่ปฏิบัติตาม</t>
  </si>
  <si>
    <t>ช่วงคิวรวมสร้างจากคู่เวลาคิวเดิม รวมรายการ 153_67 ที่เวลาอาหารขัดกัน</t>
  </si>
  <si>
    <t>รูปแบบมาตรการที่จะทดลอง</t>
  </si>
  <si>
    <t>1. เลือกวันทดสอบที่คาดว่าลูกค้าหนาแน่นจากข้อมูลการจอง/ประวัติที่ยืนยันแล้ว</t>
  </si>
  <si>
    <t>2. ประกาศเงื่อนไขก่อนซื้อ ใช้กับ Walk-in ที่รับทราบสิทธิ์ใหม่ ไม่เปลี่ยนสิทธิ์ 5 ชั่วโมงที่ขายไว้</t>
  </si>
  <si>
    <t>3. นับ 120 นาทีตั้งแต่ได้นั่งโต๊ะ ไม่รวมเวลารอคิว; แจ้งเตือนอย่างสุภาพก่อนครบเวลา 15 นาที</t>
  </si>
  <si>
    <t>4. ใช้เงื่อนไขเดียวกันตลอดรอบอาหารเช้าของวันทดลอง เพื่อลดความสับสนในการปฏิบัติ</t>
  </si>
  <si>
    <t>5. เก็บราคา กติกาคิว และกำลังคนให้เทียบเคียงวันควบคุม เพื่อแยกผลของการจำกัดเวลา</t>
  </si>
  <si>
    <t>6. บันทึกเวลาลูกค้าออกและเวลาโต๊ะพร้อมรับกลุ่มใหม่จริง เพื่อวัดว่าโต๊ะหมุนเวียนเร็วขึ้นหรือไม่</t>
  </si>
  <si>
    <t>แผนทดลองและเกณฑ์ตัดสิน</t>
  </si>
  <si>
    <t>ช่วงเริ่มต้นเสนอ 2-4 สัปดาห์ แต่ไม่ถือว่าจำนวนวันเพียงเท่านี้รับประกันข้อสรุปที่แม่นยำ</t>
  </si>
  <si>
    <t>จับคู่วันที่คาดว่าความต้องการใกล้กัน แล้วกำหนดวันใช้ 120 นาที / วันใช้เงื่อนไขเดิมล่วงหน้า</t>
  </si>
  <si>
    <t>ถ้าทำได้ ให้สุ่มภายในคู่วันที่ใกล้เคียง; แจ้งข้อเสนอของแต่ละวันก่อนขายอย่างชัดเจน</t>
  </si>
  <si>
    <t>บันทึกจำนวนกลุ่มที่มาทุก 15 นาที สัดส่วนประเภทแขก ขนาดกลุ่ม พนักงาน และโต๊ะที่เปิดจริง</t>
  </si>
  <si>
    <t>เปรียบเทียบหลายวันต่อแบบ; ถ้าข้อมูลน้อยหรือความต้องการต่างกันมาก ให้เก็บเพิ่มแทนสรุปทันที</t>
  </si>
  <si>
    <t>ตัวชี้วัด</t>
  </si>
  <si>
    <t>ใช้วัดอะไร</t>
  </si>
  <si>
    <t>90% ของกลุ่มมีเวลารอไม่เกินค่านี้; รวมผู้ไม่รอเป็น 0 และผู้ Walk-away ถึงเวลาออกคิว</t>
  </si>
  <si>
    <t>อัตรามีคิว / Walk-away</t>
  </si>
  <si>
    <t>มีคิวหารกลุ่มทั้งหมด; Walk-away หารผู้มีคิว ต้องใช้ตัวหารเดิมทุกวัน</t>
  </si>
  <si>
    <t>เวลาโต๊ะกลับมาพร้อมใช้</t>
  </si>
  <si>
    <t>จากลูกค้าออกจนโต๊ะพร้อมรับกลุ่มใหม่; ดูร่วมกับช่วงมีคิวและขนาดกลุ่ม</t>
  </si>
  <si>
    <t>รายได้ต่อชั่วโมงบริการ</t>
  </si>
  <si>
    <t>ใช้รายได้จริงของรอบอาหารเช้า หารชั่วโมงบริการจริง ไม่อนุมานจาก pax อย่างเดียว</t>
  </si>
  <si>
    <t>ข้อร้องเรียนและภาระงาน</t>
  </si>
  <si>
    <t>ติดตามข้อร้องเรียนต่อ 100 กลุ่มและภาระพนักงานจากการบังคับเวลา</t>
  </si>
  <si>
    <t>เงื่อนไขประกอบ: รายได้ต่อชั่วโมงไม่ลด และข้อร้องเรียน/ภาระงานไม่เพิ่มอย่างมีสาระสำคัญ</t>
  </si>
  <si>
    <t>เกณฑ์เหล่านี้เป็นเป้าหมายก่อนทดลอง ไม่ใช่ผลที่เกิดขึ้นแล้ว และต้องตกลงวิธีวัดกับโรงแรม</t>
  </si>
  <si>
    <t>หากเวลาโต๊ะคืนเร็วขึ้นแต่คิวยังไม่ดีขึ้น ให้ตรวจขนาดกลุ่มและการจัดโต๊ะก่อนลดเวลาเพิ่ม</t>
  </si>
  <si>
    <t>หากผลไม่ชัด ให้เก็บเพิ่ม; หากผลเสียชัดเจนให้หยุดหรือปรับ ไม่ถือว่าทดลองครบเวลาแล้วต้องใช้ต่อ</t>
  </si>
  <si>
    <t>ประสบการณ์ส่วนตัวของผู้สมัคร</t>
  </si>
  <si>
    <t>จึงมองว่าการจำกัด 120 นาทีอาจไม่ส่งผลต่อประสบการณ์ลูกค้ามากนัก เพราะส่วนใหญ่นั่งไม่ถึงสองชั่วโมง</t>
  </si>
  <si>
    <t>มุมมองนี้สอดคล้องกับข้อมูลที่พบว่า Walk-in 89.4% ของกลุ่มที่เวลานั่งผ่านเกณฑ์กินเสร็จภายใน 120 นาที</t>
  </si>
  <si>
    <t>ข้าพเจ้าจึงเลือก 120 นาทีเป็นจุดเริ่มทดลอง พร้อมแจ้งเงื่อนไขให้ชัดเจนก่อนซื้อ</t>
  </si>
  <si>
    <t>อย่างไรก็ตาม ความคุ้นเคยกับการจำกัดเวลาไม่รับประกันว่าลูกค้าของโรงแรมนี้จะยอมรับทุกกลุ่ม</t>
  </si>
  <si>
    <t>จึงต้องวัดข้อร้องเรียน รายได้ และการกลับมาใช้บริการควบคู่กับผลด้านคิว</t>
  </si>
  <si>
    <t>group_id</t>
  </si>
  <si>
    <t>source_sheet</t>
  </si>
  <si>
    <t>start_minute</t>
  </si>
  <si>
    <t>end_minute</t>
  </si>
  <si>
    <t>guest_type</t>
  </si>
  <si>
    <t>meal_minutes</t>
  </si>
  <si>
    <t>focus_queue_day</t>
  </si>
  <si>
    <t>released_90</t>
  </si>
  <si>
    <t>overlap_90</t>
  </si>
  <si>
    <t>released_120</t>
  </si>
  <si>
    <t>overlap_120</t>
  </si>
  <si>
    <t>released_150</t>
  </si>
  <si>
    <t>overlap_150</t>
  </si>
  <si>
    <t>133_2</t>
  </si>
  <si>
    <t>133</t>
  </si>
  <si>
    <t>Walk in</t>
  </si>
  <si>
    <t>133_3</t>
  </si>
  <si>
    <t>133_8</t>
  </si>
  <si>
    <t>133_11</t>
  </si>
  <si>
    <t>133_14</t>
  </si>
  <si>
    <t>133_15</t>
  </si>
  <si>
    <t>133_18</t>
  </si>
  <si>
    <t>133_21</t>
  </si>
  <si>
    <t>133_23</t>
  </si>
  <si>
    <t>133_24</t>
  </si>
  <si>
    <t>133_25</t>
  </si>
  <si>
    <t>133_26</t>
  </si>
  <si>
    <t>133_31</t>
  </si>
  <si>
    <t>133_33</t>
  </si>
  <si>
    <t>133_35</t>
  </si>
  <si>
    <t>133_40</t>
  </si>
  <si>
    <t>133_42</t>
  </si>
  <si>
    <t>133_47</t>
  </si>
  <si>
    <t>133_49</t>
  </si>
  <si>
    <t>133_50</t>
  </si>
  <si>
    <t>133_52</t>
  </si>
  <si>
    <t>133_53</t>
  </si>
  <si>
    <t>133_54</t>
  </si>
  <si>
    <t>133_55</t>
  </si>
  <si>
    <t>133_57</t>
  </si>
  <si>
    <t>143_1</t>
  </si>
  <si>
    <t>143</t>
  </si>
  <si>
    <t>143_2</t>
  </si>
  <si>
    <t>143_3</t>
  </si>
  <si>
    <t>143_4</t>
  </si>
  <si>
    <t>143_5</t>
  </si>
  <si>
    <t>143_6</t>
  </si>
  <si>
    <t>143_7</t>
  </si>
  <si>
    <t>143_8</t>
  </si>
  <si>
    <t>143_9</t>
  </si>
  <si>
    <t>143_10</t>
  </si>
  <si>
    <t>143_11</t>
  </si>
  <si>
    <t>143_14</t>
  </si>
  <si>
    <t>143_16</t>
  </si>
  <si>
    <t>143_19</t>
  </si>
  <si>
    <t>143_20</t>
  </si>
  <si>
    <t>143_22</t>
  </si>
  <si>
    <t>143_26</t>
  </si>
  <si>
    <t>143_27</t>
  </si>
  <si>
    <t>143_30</t>
  </si>
  <si>
    <t>143_31</t>
  </si>
  <si>
    <t>143_32</t>
  </si>
  <si>
    <t>143_33</t>
  </si>
  <si>
    <t>143_34</t>
  </si>
  <si>
    <t>143_36</t>
  </si>
  <si>
    <t>143_37</t>
  </si>
  <si>
    <t>143_38</t>
  </si>
  <si>
    <t>143_39</t>
  </si>
  <si>
    <t>143_42</t>
  </si>
  <si>
    <t>143_43</t>
  </si>
  <si>
    <t>143_47</t>
  </si>
  <si>
    <t>143_48</t>
  </si>
  <si>
    <t>143_49</t>
  </si>
  <si>
    <t>143_50</t>
  </si>
  <si>
    <t>143_55</t>
  </si>
  <si>
    <t>143_57</t>
  </si>
  <si>
    <t>143_59</t>
  </si>
  <si>
    <t>143_60</t>
  </si>
  <si>
    <t>143_61</t>
  </si>
  <si>
    <t>143_62</t>
  </si>
  <si>
    <t>143_63</t>
  </si>
  <si>
    <t>143_64</t>
  </si>
  <si>
    <t>143_65</t>
  </si>
  <si>
    <t>143_66</t>
  </si>
  <si>
    <t>143_67</t>
  </si>
  <si>
    <t>143_68</t>
  </si>
  <si>
    <t>143_69</t>
  </si>
  <si>
    <t>143_72</t>
  </si>
  <si>
    <t>143_73</t>
  </si>
  <si>
    <t>143_74</t>
  </si>
  <si>
    <t>143_76</t>
  </si>
  <si>
    <t>143_77</t>
  </si>
  <si>
    <t>143_78</t>
  </si>
  <si>
    <t>143_79</t>
  </si>
  <si>
    <t>143_81</t>
  </si>
  <si>
    <t>153_1</t>
  </si>
  <si>
    <t>153</t>
  </si>
  <si>
    <t>153_2</t>
  </si>
  <si>
    <t>153_3</t>
  </si>
  <si>
    <t>153_4</t>
  </si>
  <si>
    <t>153_5</t>
  </si>
  <si>
    <t>153_7</t>
  </si>
  <si>
    <t>153_8</t>
  </si>
  <si>
    <t>153_10</t>
  </si>
  <si>
    <t>153_11</t>
  </si>
  <si>
    <t>153_12</t>
  </si>
  <si>
    <t>153_14</t>
  </si>
  <si>
    <t>153_15</t>
  </si>
  <si>
    <t>153_16</t>
  </si>
  <si>
    <t>153_17</t>
  </si>
  <si>
    <t>153_19</t>
  </si>
  <si>
    <t>153_20</t>
  </si>
  <si>
    <t>153_23</t>
  </si>
  <si>
    <t>153_24</t>
  </si>
  <si>
    <t>153_25</t>
  </si>
  <si>
    <t>153_26</t>
  </si>
  <si>
    <t>153_27</t>
  </si>
  <si>
    <t>153_29</t>
  </si>
  <si>
    <t>153_32</t>
  </si>
  <si>
    <t>153_33</t>
  </si>
  <si>
    <t>153_34</t>
  </si>
  <si>
    <t>153_35</t>
  </si>
  <si>
    <t>153_36</t>
  </si>
  <si>
    <t>153_38</t>
  </si>
  <si>
    <t>153_39</t>
  </si>
  <si>
    <t>153_41</t>
  </si>
  <si>
    <t>153_43</t>
  </si>
  <si>
    <t>153_44</t>
  </si>
  <si>
    <t>153_45</t>
  </si>
  <si>
    <t>153_47</t>
  </si>
  <si>
    <t>153_50</t>
  </si>
  <si>
    <t>153_52</t>
  </si>
  <si>
    <t>153_53</t>
  </si>
  <si>
    <t>153_56</t>
  </si>
  <si>
    <t>153_57</t>
  </si>
  <si>
    <t>153_61</t>
  </si>
  <si>
    <t>153_62</t>
  </si>
  <si>
    <t>153_64</t>
  </si>
  <si>
    <t>153_66</t>
  </si>
  <si>
    <t>153_68</t>
  </si>
  <si>
    <t>153_69</t>
  </si>
  <si>
    <t>153_70</t>
  </si>
  <si>
    <t>153_72</t>
  </si>
  <si>
    <t>153_73</t>
  </si>
  <si>
    <t>153_85</t>
  </si>
  <si>
    <t>173_1</t>
  </si>
  <si>
    <t>173</t>
  </si>
  <si>
    <t>173_2</t>
  </si>
  <si>
    <t>173_3</t>
  </si>
  <si>
    <t>173_5</t>
  </si>
  <si>
    <t>173_6</t>
  </si>
  <si>
    <t>173_14</t>
  </si>
  <si>
    <t>173_16</t>
  </si>
  <si>
    <t>173_18</t>
  </si>
  <si>
    <t>173_19</t>
  </si>
  <si>
    <t>173_20</t>
  </si>
  <si>
    <t>173_24</t>
  </si>
  <si>
    <t>173_25</t>
  </si>
  <si>
    <t>173_26</t>
  </si>
  <si>
    <t>173_28</t>
  </si>
  <si>
    <t>173_29</t>
  </si>
  <si>
    <t>173_31</t>
  </si>
  <si>
    <t>173_32</t>
  </si>
  <si>
    <t>173_34</t>
  </si>
  <si>
    <t>173_35</t>
  </si>
  <si>
    <t>173_38</t>
  </si>
  <si>
    <t>173_39</t>
  </si>
  <si>
    <t>173_41</t>
  </si>
  <si>
    <t>173_42</t>
  </si>
  <si>
    <t>173_49</t>
  </si>
  <si>
    <t>173_50</t>
  </si>
  <si>
    <t>173_53</t>
  </si>
  <si>
    <t>173_55</t>
  </si>
  <si>
    <t>173_56</t>
  </si>
  <si>
    <t>173_57</t>
  </si>
  <si>
    <t>173_59</t>
  </si>
  <si>
    <t>173_60</t>
  </si>
  <si>
    <t>173_62</t>
  </si>
  <si>
    <t>173_64</t>
  </si>
  <si>
    <t>173_65</t>
  </si>
  <si>
    <t>173_66</t>
  </si>
  <si>
    <t>173_68</t>
  </si>
  <si>
    <t>183_1</t>
  </si>
  <si>
    <t>183</t>
  </si>
  <si>
    <t>183_2</t>
  </si>
  <si>
    <t>183_3</t>
  </si>
  <si>
    <t>183_12</t>
  </si>
  <si>
    <t>183_13</t>
  </si>
  <si>
    <t>183_14</t>
  </si>
  <si>
    <t>183_17</t>
  </si>
  <si>
    <t>183_18</t>
  </si>
  <si>
    <t>183_19</t>
  </si>
  <si>
    <t>183_22</t>
  </si>
  <si>
    <t>183_24</t>
  </si>
  <si>
    <t>183_28</t>
  </si>
  <si>
    <t>183_29</t>
  </si>
  <si>
    <t>183_33</t>
  </si>
  <si>
    <t>183_35</t>
  </si>
  <si>
    <t>183_36</t>
  </si>
  <si>
    <t>183_37</t>
  </si>
  <si>
    <t>183_38</t>
  </si>
  <si>
    <t>183_39</t>
  </si>
  <si>
    <t>183_40</t>
  </si>
  <si>
    <t>183_41</t>
  </si>
  <si>
    <t>183_42</t>
  </si>
  <si>
    <t>183_43</t>
  </si>
  <si>
    <t>183_49</t>
  </si>
  <si>
    <t>183_50</t>
  </si>
  <si>
    <t>183_51</t>
  </si>
  <si>
    <t>183_54</t>
  </si>
  <si>
    <t>183_56</t>
  </si>
  <si>
    <t>183_58</t>
  </si>
  <si>
    <t>183_59</t>
  </si>
  <si>
    <t>183_60</t>
  </si>
  <si>
    <t>183_61</t>
  </si>
  <si>
    <t>183_64</t>
  </si>
  <si>
    <t>183_68</t>
  </si>
  <si>
    <t>queue_start_min</t>
  </si>
  <si>
    <t>queue_end_min</t>
  </si>
  <si>
    <t>รวมช่วงที่มีคิวทับกันก่อน เพื่อไม่นับนาทีซ้ำจากหลายกลุ่มที่รอพร้อมกัน</t>
  </si>
  <si>
    <t>143: 07:07-07:15, 08:25-08:48, 08:56-09:54; 153: 08:16-11:40</t>
  </si>
  <si>
    <t>Source: queue_start / queue_end of all 73 recorded queues in Busy_Buffet_Cleaned.xlsx; includes 153_67</t>
  </si>
  <si>
    <t>ช่วงเหล่านี้เป็นข้อมูลเดิม ไม่ใช่ช่วงคิวที่เกิดหลังจำกัดเวลา</t>
  </si>
  <si>
    <t>เหตุผลที่มาตรการนี้มีโอกาสช่วย</t>
  </si>
  <si>
    <t>เวลารอ แยกประเภท</t>
  </si>
  <si>
    <t>เป้าหมาย: เวลารอ ลดอย่างน้อย 20% โดย Walk-away ไม่แย่ลงในทั้งสองประเภท</t>
  </si>
  <si>
    <t>จากประสบการณ์ของผม ร้านบุฟเฟต์มักมีการจำกัดเวลาอยู่แล้ว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</si>
</sst>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"/>
  </numFmts>
  <fonts count="5">
    <font>
      <sz val="11"/>
      <name val="Carlito"/>
    </font>
    <font>
      <sz val="11"/>
      <color rgb="FF243248"/>
      <name val="Tahoma"/>
      <family val="2"/>
    </font>
    <font>
      <b/>
      <sz val="15"/>
      <color rgb="FF20344E"/>
      <name val="Tahoma"/>
      <family val="2"/>
    </font>
    <font>
      <b/>
      <sz val="10"/>
      <color rgb="FFFFFFFF"/>
      <name val="Tahoma"/>
      <family val="2"/>
    </font>
    <font>
      <sz val="10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20344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2" borderId="0" xfId="0" applyFont="1" applyFill="1" applyAlignment="1">
      <alignment vertical="center" wrapText="1"/>
    </xf>
    <xf numFmtId="0" fontId="3" fillId="2" borderId="0" xfId="0" applyFont="1" applyFill="1" applyAlignment="1">
      <alignment horizontal="center" vertical="center" wrapText="1"/>
    </xf>
    <xf numFmtId="164" fontId="1" fillId="0" borderId="0" xfId="0" applyNumberFormat="1" applyFont="1" applyAlignment="1">
      <alignment vertical="center"/>
    </xf>
    <xf numFmtId="165" fontId="1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wrapText="1"/>
    </xf>
    <xf numFmtId="0" fontId="3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th-TH" sz="1050">
                <a:latin typeface="Tahoma"/>
                <a:ea typeface="Tahoma"/>
                <a:cs typeface="Tahoma"/>
              </a:rPr>
              <a:t>สัดส่วนกลุ่มที่ได้รับผลกระทบ: สองชีตมีคิว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กระทบ
(%)</c:v>
          </c:tx>
          <c:spPr>
            <a:solidFill>
              <a:srgbClr val="267B83"/>
            </a:solidFill>
          </c:spPr>
          <c:invertIfNegative val="1"/>
          <c:cat>
            <c:numRef>
              <c:f>Task3_Proposal!$A$19:$A$21</c:f>
              <c:numCache>
                <c:formatCode>General</c:formatCode>
                <c:ptCount val="3"/>
                <c:pt idx="0">
                  <c:v>90</c:v>
                </c:pt>
                <c:pt idx="1">
                  <c:v>120</c:v>
                </c:pt>
                <c:pt idx="2">
                  <c:v>150</c:v>
                </c:pt>
              </c:numCache>
            </c:numRef>
          </c:cat>
          <c:val>
            <c:numRef>
              <c:f>Task3_Proposal!$C$19:$C$21</c:f>
              <c:numCache>
                <c:formatCode>0.0%</c:formatCode>
                <c:ptCount val="3"/>
                <c:pt idx="0">
                  <c:v>0.30097087378640774</c:v>
                </c:pt>
                <c:pt idx="1">
                  <c:v>0.11650485436893204</c:v>
                </c:pt>
                <c:pt idx="2">
                  <c:v>2.9126213592233011E-2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0-A312-4863-A8A3-384053854F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750">
                <a:latin typeface="Tahoma"/>
                <a:ea typeface="Tahoma"/>
                <a:cs typeface="Tahoma"/>
              </a:defRPr>
            </a:pPr>
            <a:endParaRPr lang="en-US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%" sourceLinked="0"/>
        <c:majorTickMark val="none"/>
        <c:minorTickMark val="none"/>
        <c:tickLblPos val="nextTo"/>
        <c:txPr>
          <a:bodyPr anchorCtr="1"/>
          <a:lstStyle/>
          <a:p>
            <a:pPr>
              <a:defRPr sz="750">
                <a:latin typeface="Tahoma"/>
                <a:ea typeface="Tahoma"/>
                <a:cs typeface="Tahoma"/>
              </a:defRPr>
            </a:pPr>
            <a:endParaRPr lang="en-US"/>
          </a:p>
        </c:txPr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th-TH" sz="1050">
                <a:latin typeface="Tahoma"/>
                <a:ea typeface="Tahoma"/>
                <a:cs typeface="Tahoma"/>
              </a:rPr>
              <a:t>เวลาที่อาจลดได้ตรงกับคิวเดิม (นาทีกลุ่ม)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ตรงช่วงคิวเดิม
(นาทีกลุ่ม)</c:v>
          </c:tx>
          <c:spPr>
            <a:solidFill>
              <a:srgbClr val="267B83"/>
            </a:solidFill>
          </c:spPr>
          <c:invertIfNegative val="1"/>
          <c:cat>
            <c:numRef>
              <c:f>Task3_Proposal!$A$19:$A$21</c:f>
              <c:numCache>
                <c:formatCode>General</c:formatCode>
                <c:ptCount val="3"/>
                <c:pt idx="0">
                  <c:v>90</c:v>
                </c:pt>
                <c:pt idx="1">
                  <c:v>120</c:v>
                </c:pt>
                <c:pt idx="2">
                  <c:v>150</c:v>
                </c:pt>
              </c:numCache>
            </c:numRef>
          </c:cat>
          <c:val>
            <c:numRef>
              <c:f>Task3_Proposal!$E$19:$E$21</c:f>
              <c:numCache>
                <c:formatCode>0.0</c:formatCode>
                <c:ptCount val="3"/>
                <c:pt idx="0">
                  <c:v>633</c:v>
                </c:pt>
                <c:pt idx="1">
                  <c:v>246</c:v>
                </c:pt>
                <c:pt idx="2">
                  <c:v>86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0-847B-4D4F-8FD5-AA7DCCA8EE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750">
                <a:latin typeface="Tahoma"/>
                <a:ea typeface="Tahoma"/>
                <a:cs typeface="Tahoma"/>
              </a:defRPr>
            </a:pPr>
            <a:endParaRPr lang="en-US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750">
                <a:latin typeface="Tahoma"/>
                <a:ea typeface="Tahoma"/>
                <a:cs typeface="Tahoma"/>
              </a:defRPr>
            </a:pPr>
            <a:endParaRPr lang="en-US"/>
          </a:p>
        </c:txPr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6</xdr:row>
      <xdr:rowOff>0</xdr:rowOff>
    </xdr:from>
    <xdr:to>
      <xdr:col>19</xdr:col>
      <xdr:colOff>0</xdr:colOff>
      <xdr:row>22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0</xdr:colOff>
      <xdr:row>24</xdr:row>
      <xdr:rowOff>0</xdr:rowOff>
    </xdr:from>
    <xdr:to>
      <xdr:col>19</xdr:col>
      <xdr:colOff>0</xdr:colOff>
      <xdr:row>40</xdr:row>
      <xdr:rowOff>0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WalkinScenario" displayName="WalkinScenario" ref="A1:M199" totalsRowShown="0">
  <autoFilter ref="A1:M199" xr:uid="{00000000-0009-0000-0100-000001000000}"/>
  <tableColumns count="13">
    <tableColumn id="1" xr3:uid="{00000000-0010-0000-0000-000001000000}" name="group_id"/>
    <tableColumn id="2" xr3:uid="{00000000-0010-0000-0000-000002000000}" name="source_sheet"/>
    <tableColumn id="3" xr3:uid="{00000000-0010-0000-0000-000003000000}" name="start_minute"/>
    <tableColumn id="4" xr3:uid="{00000000-0010-0000-0000-000004000000}" name="end_minute"/>
    <tableColumn id="5" xr3:uid="{00000000-0010-0000-0000-000005000000}" name="guest_type"/>
    <tableColumn id="6" xr3:uid="{00000000-0010-0000-0000-000006000000}" name="meal_minutes"/>
    <tableColumn id="7" xr3:uid="{00000000-0010-0000-0000-000007000000}" name="focus_queue_day"/>
    <tableColumn id="8" xr3:uid="{00000000-0010-0000-0000-000008000000}" name="released_90"/>
    <tableColumn id="9" xr3:uid="{00000000-0010-0000-0000-000009000000}" name="overlap_90"/>
    <tableColumn id="10" xr3:uid="{00000000-0010-0000-0000-00000A000000}" name="released_120"/>
    <tableColumn id="11" xr3:uid="{00000000-0010-0000-0000-00000B000000}" name="overlap_120"/>
    <tableColumn id="12" xr3:uid="{00000000-0010-0000-0000-00000C000000}" name="released_150"/>
    <tableColumn id="13" xr3:uid="{00000000-0010-0000-0000-00000D000000}" name="overlap_150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0344E"/>
  </sheetPr>
  <dimension ref="A1:S122"/>
  <sheetViews>
    <sheetView showGridLines="0" tabSelected="1" topLeftCell="A93" workbookViewId="0">
      <selection activeCell="B110" sqref="B110"/>
    </sheetView>
  </sheetViews>
  <sheetFormatPr defaultRowHeight="14.25"/>
  <cols>
    <col min="1" max="1" width="32" customWidth="1"/>
    <col min="2" max="9" width="13" customWidth="1"/>
    <col min="10" max="10" width="3" customWidth="1"/>
    <col min="11" max="19" width="11" customWidth="1"/>
  </cols>
  <sheetData>
    <row r="1" spans="1:19" ht="27.9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spans="1:19" ht="36" customHeight="1">
      <c r="A2" s="2" t="s">
        <v>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ht="27.95" customHeight="1">
      <c r="A3" s="1" t="s">
        <v>1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ht="27.95" customHeight="1">
      <c r="A4" s="1" t="s">
        <v>2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27.95" customHeight="1">
      <c r="A5" s="1" t="s">
        <v>3</v>
      </c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27.95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1:19" ht="56.1" customHeight="1">
      <c r="A7" s="4" t="s">
        <v>4</v>
      </c>
      <c r="B7" s="4" t="s">
        <v>5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ht="27.95" customHeight="1">
      <c r="A8" s="1" t="s">
        <v>6</v>
      </c>
      <c r="B8" s="1">
        <f>COUNTA(Walkin_Data!A2:A199)</f>
        <v>198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ht="27.95" customHeight="1">
      <c r="A9" s="1" t="s">
        <v>7</v>
      </c>
      <c r="B9" s="1">
        <f>COUNTIF(Walkin_Data!F2:F199,"&lt;=120")</f>
        <v>177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ht="27.95" customHeight="1">
      <c r="A10" s="1" t="s">
        <v>8</v>
      </c>
      <c r="B10" s="5">
        <f>B9/B8</f>
        <v>0.89393939393939392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ht="27.95" customHeight="1">
      <c r="A11" s="1" t="s">
        <v>9</v>
      </c>
      <c r="B11" s="1">
        <f>SUM(Walkin_Data!G2:G199)</f>
        <v>103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ht="27.95" customHeight="1">
      <c r="A12" s="1" t="s">
        <v>10</v>
      </c>
      <c r="B12" s="1">
        <f>COUNTIFS(Walkin_Data!G2:G199,1,Walkin_Data!F2:F199,"&gt;120")</f>
        <v>12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27.95" customHeight="1">
      <c r="A13" s="1" t="s">
        <v>11</v>
      </c>
      <c r="B13" s="5">
        <f>B12/B11</f>
        <v>0.11650485436893204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27.95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27.95" customHeight="1">
      <c r="A15" s="1" t="s">
        <v>12</v>
      </c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27.95" customHeight="1">
      <c r="A16" s="1" t="s">
        <v>13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27.95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56.1" customHeight="1">
      <c r="A18" s="4" t="s">
        <v>14</v>
      </c>
      <c r="B18" s="4" t="s">
        <v>15</v>
      </c>
      <c r="C18" s="4" t="s">
        <v>16</v>
      </c>
      <c r="D18" s="4" t="s">
        <v>17</v>
      </c>
      <c r="E18" s="4" t="s">
        <v>18</v>
      </c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27.95" customHeight="1">
      <c r="A19" s="1">
        <v>90</v>
      </c>
      <c r="B19" s="1">
        <f>COUNTIFS(Walkin_Data!$G$2:$G$199,1,Walkin_Data!H2:H199,"&gt;0")</f>
        <v>31</v>
      </c>
      <c r="C19" s="5">
        <f>B19/$B$11</f>
        <v>0.30097087378640774</v>
      </c>
      <c r="D19" s="6">
        <f>SUMIF(Walkin_Data!$G$2:$G$199,1,Walkin_Data!H2:H199)</f>
        <v>923</v>
      </c>
      <c r="E19" s="6">
        <f>SUMIF(Walkin_Data!$G$2:$G$199,1,Walkin_Data!I2:I199)</f>
        <v>633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27.95" customHeight="1">
      <c r="A20" s="1">
        <v>120</v>
      </c>
      <c r="B20" s="1">
        <f>COUNTIFS(Walkin_Data!$G$2:$G$199,1,Walkin_Data!J2:J199,"&gt;0")</f>
        <v>12</v>
      </c>
      <c r="C20" s="5">
        <f>B20/$B$11</f>
        <v>0.11650485436893204</v>
      </c>
      <c r="D20" s="6">
        <f>SUMIF(Walkin_Data!$G$2:$G$199,1,Walkin_Data!J2:J199)</f>
        <v>333</v>
      </c>
      <c r="E20" s="6">
        <f>SUMIF(Walkin_Data!$G$2:$G$199,1,Walkin_Data!K2:K199)</f>
        <v>246</v>
      </c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27.95" customHeight="1">
      <c r="A21" s="1">
        <v>150</v>
      </c>
      <c r="B21" s="1">
        <f>COUNTIFS(Walkin_Data!$G$2:$G$199,1,Walkin_Data!L2:L199,"&gt;0")</f>
        <v>3</v>
      </c>
      <c r="C21" s="5">
        <f>B21/$B$11</f>
        <v>2.9126213592233011E-2</v>
      </c>
      <c r="D21" s="6">
        <f>SUMIF(Walkin_Data!$G$2:$G$199,1,Walkin_Data!L2:L199)</f>
        <v>106</v>
      </c>
      <c r="E21" s="6">
        <f>SUMIF(Walkin_Data!$G$2:$G$199,1,Walkin_Data!M2:M199)</f>
        <v>86</v>
      </c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27.9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27.95" customHeight="1">
      <c r="A23" s="1" t="s">
        <v>19</v>
      </c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</row>
    <row r="24" spans="1:19" ht="27.95" customHeight="1">
      <c r="A24" s="1" t="s">
        <v>20</v>
      </c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</row>
    <row r="25" spans="1:19" ht="27.95" customHeight="1">
      <c r="A25" s="1" t="s">
        <v>21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</row>
    <row r="26" spans="1:19" ht="27.9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</row>
    <row r="27" spans="1:19" ht="27.9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</row>
    <row r="28" spans="1:19" ht="36" customHeight="1">
      <c r="A28" s="2" t="s">
        <v>287</v>
      </c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</row>
    <row r="29" spans="1:19" ht="27.9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</row>
    <row r="30" spans="1:19" ht="27.95" customHeight="1">
      <c r="A30" s="1" t="s">
        <v>22</v>
      </c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</row>
    <row r="31" spans="1:19" ht="27.95" customHeight="1">
      <c r="A31" s="1" t="s">
        <v>23</v>
      </c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</row>
    <row r="32" spans="1:19" ht="27.95" customHeight="1">
      <c r="A32" s="1" t="s">
        <v>24</v>
      </c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</row>
    <row r="33" spans="1:19" ht="27.9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</row>
    <row r="34" spans="1:19" ht="27.95" customHeight="1">
      <c r="A34" s="1" t="s">
        <v>25</v>
      </c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</row>
    <row r="35" spans="1:19" ht="27.95" customHeight="1">
      <c r="A35" s="1" t="s">
        <v>26</v>
      </c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</row>
    <row r="36" spans="1:19" ht="27.9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</row>
    <row r="37" spans="1:19" ht="27.95" customHeight="1">
      <c r="A37" s="1" t="s">
        <v>27</v>
      </c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</row>
    <row r="38" spans="1:19" ht="27.95" customHeight="1">
      <c r="A38" s="1" t="s">
        <v>28</v>
      </c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</row>
    <row r="39" spans="1:19" ht="27.95" customHeight="1">
      <c r="A39" s="1" t="s">
        <v>29</v>
      </c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</row>
    <row r="40" spans="1:19" ht="27.9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</row>
    <row r="41" spans="1:19" ht="27.9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</row>
    <row r="42" spans="1:19" ht="27.9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</row>
    <row r="43" spans="1:19" ht="36" customHeight="1">
      <c r="A43" s="2" t="s">
        <v>30</v>
      </c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</row>
    <row r="44" spans="1:19" ht="27.9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</row>
    <row r="45" spans="1:19" ht="27.95" customHeight="1">
      <c r="A45" s="1" t="s">
        <v>31</v>
      </c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</row>
    <row r="46" spans="1:19" ht="27.9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</row>
    <row r="47" spans="1:19" ht="27.95" customHeight="1">
      <c r="A47" s="1" t="s">
        <v>32</v>
      </c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</row>
    <row r="48" spans="1:19" ht="27.9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</row>
    <row r="49" spans="1:19" ht="27.95" customHeight="1">
      <c r="A49" s="1" t="s">
        <v>33</v>
      </c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</row>
    <row r="50" spans="1:19" ht="27.9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27.95" customHeight="1">
      <c r="A51" s="1" t="s">
        <v>34</v>
      </c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27.9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27.95" customHeight="1">
      <c r="A53" s="1" t="s">
        <v>35</v>
      </c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27.9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27.95" customHeight="1">
      <c r="A55" s="1" t="s">
        <v>36</v>
      </c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27.9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27.9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36" customHeight="1">
      <c r="A58" s="2" t="s">
        <v>37</v>
      </c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27.9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27.95" customHeight="1">
      <c r="A60" s="1" t="s">
        <v>38</v>
      </c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27.9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27.95" customHeight="1">
      <c r="A62" s="1" t="s">
        <v>39</v>
      </c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27.9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27.95" customHeight="1">
      <c r="A64" s="1" t="s">
        <v>40</v>
      </c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27.9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27.95" customHeight="1">
      <c r="A66" s="1" t="s">
        <v>41</v>
      </c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27.9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27.95" customHeight="1">
      <c r="A68" s="1" t="s">
        <v>42</v>
      </c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27.9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56.1" customHeight="1">
      <c r="A70" s="4" t="s">
        <v>43</v>
      </c>
      <c r="B70" s="4" t="s">
        <v>44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36" customHeight="1">
      <c r="A71" s="1" t="s">
        <v>288</v>
      </c>
      <c r="B71" s="1" t="s">
        <v>45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36" customHeight="1">
      <c r="A72" s="1" t="s">
        <v>46</v>
      </c>
      <c r="B72" s="1" t="s">
        <v>47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36" customHeight="1">
      <c r="A73" s="1" t="s">
        <v>48</v>
      </c>
      <c r="B73" s="1" t="s">
        <v>49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36" customHeight="1">
      <c r="A74" s="1" t="s">
        <v>50</v>
      </c>
      <c r="B74" s="1" t="s">
        <v>51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36" customHeight="1">
      <c r="A75" s="1" t="s">
        <v>52</v>
      </c>
      <c r="B75" s="1" t="s">
        <v>53</v>
      </c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27.9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27.9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27.95" customHeight="1">
      <c r="A78" s="1" t="s">
        <v>289</v>
      </c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27.9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27.95" customHeight="1">
      <c r="A80" s="1" t="s">
        <v>54</v>
      </c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27.9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27.95" customHeight="1">
      <c r="A82" s="1" t="s">
        <v>55</v>
      </c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27.9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27.95" customHeight="1">
      <c r="A84" s="1" t="s">
        <v>56</v>
      </c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27.9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27.95" customHeight="1">
      <c r="A86" s="1" t="s">
        <v>57</v>
      </c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27.9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27.9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36" customHeight="1">
      <c r="A89" s="2" t="s">
        <v>58</v>
      </c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27.9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27.95" customHeight="1">
      <c r="A91" s="1" t="s">
        <v>290</v>
      </c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27.9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27.95" customHeight="1">
      <c r="A93" s="1" t="s">
        <v>59</v>
      </c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27.9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27.95" customHeight="1">
      <c r="A95" s="1" t="s">
        <v>60</v>
      </c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27.9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27.95" customHeight="1">
      <c r="A97" s="1" t="s">
        <v>61</v>
      </c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27.9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27.9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27.95" customHeight="1">
      <c r="A100" s="1" t="s">
        <v>62</v>
      </c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27.9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27.95" customHeight="1">
      <c r="A102" s="1" t="s">
        <v>63</v>
      </c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27.9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27.9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27.9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27.9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27.9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27.9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27.9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27.9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27.9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27.9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27.9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27.9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27.9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27.9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27.9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27.9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27.9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27.9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27.9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27.9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199"/>
  <sheetViews>
    <sheetView showGridLines="0" workbookViewId="0">
      <pane ySplit="1" topLeftCell="A2" activePane="bottomLeft" state="frozen"/>
      <selection pane="bottomLeft" activeCell="O3" sqref="O3"/>
    </sheetView>
  </sheetViews>
  <sheetFormatPr defaultRowHeight="14.25"/>
  <cols>
    <col min="1" max="13" width="20" customWidth="1"/>
    <col min="15" max="15" width="125" customWidth="1"/>
  </cols>
  <sheetData>
    <row r="1" spans="1:15" ht="44.1" customHeight="1">
      <c r="A1" s="3" t="s">
        <v>64</v>
      </c>
      <c r="B1" s="3" t="s">
        <v>65</v>
      </c>
      <c r="C1" s="3" t="s">
        <v>66</v>
      </c>
      <c r="D1" s="3" t="s">
        <v>67</v>
      </c>
      <c r="E1" s="3" t="s">
        <v>68</v>
      </c>
      <c r="F1" s="3" t="s">
        <v>69</v>
      </c>
      <c r="G1" s="3" t="s">
        <v>70</v>
      </c>
      <c r="H1" s="3" t="s">
        <v>71</v>
      </c>
      <c r="I1" s="3" t="s">
        <v>72</v>
      </c>
      <c r="J1" s="3" t="s">
        <v>73</v>
      </c>
      <c r="K1" s="3" t="s">
        <v>74</v>
      </c>
      <c r="L1" s="3" t="s">
        <v>75</v>
      </c>
      <c r="M1" s="3" t="s">
        <v>76</v>
      </c>
      <c r="O1" s="9"/>
    </row>
    <row r="2" spans="1:15" ht="24.95" customHeight="1">
      <c r="A2" s="7" t="s">
        <v>77</v>
      </c>
      <c r="B2" s="8" t="s">
        <v>78</v>
      </c>
      <c r="C2" s="8">
        <v>404</v>
      </c>
      <c r="D2" s="8">
        <v>430</v>
      </c>
      <c r="E2" s="8" t="s">
        <v>79</v>
      </c>
      <c r="F2" s="8">
        <v>26</v>
      </c>
      <c r="G2" s="8">
        <v>0</v>
      </c>
      <c r="H2" s="7">
        <f t="shared" ref="H2:H33" si="0">MAX(0,F2-90)</f>
        <v>0</v>
      </c>
      <c r="I2" s="7">
        <f>IF(B2=Queue_Intervals!A2,MAX(0,MIN(D2,Queue_Intervals!C2)-MAX(C2+90,Queue_Intervals!B2)),0)+IF(B2=Queue_Intervals!A3,MAX(0,MIN(D2,Queue_Intervals!C3)-MAX(C2+90,Queue_Intervals!B3)),0)+IF(B2=Queue_Intervals!A4,MAX(0,MIN(D2,Queue_Intervals!C4)-MAX(C2+90,Queue_Intervals!B4)),0)+IF(B2=Queue_Intervals!A5,MAX(0,MIN(D2,Queue_Intervals!C5)-MAX(C2+90,Queue_Intervals!B5)),0)</f>
        <v>0</v>
      </c>
      <c r="J2" s="7">
        <f t="shared" ref="J2:J33" si="1">MAX(0,F2-120)</f>
        <v>0</v>
      </c>
      <c r="K2" s="7">
        <f>IF(B2=Queue_Intervals!A2,MAX(0,MIN(D2,Queue_Intervals!C2)-MAX(C2+120,Queue_Intervals!B2)),0)+IF(B2=Queue_Intervals!A3,MAX(0,MIN(D2,Queue_Intervals!C3)-MAX(C2+120,Queue_Intervals!B3)),0)+IF(B2=Queue_Intervals!A4,MAX(0,MIN(D2,Queue_Intervals!C4)-MAX(C2+120,Queue_Intervals!B4)),0)+IF(B2=Queue_Intervals!A5,MAX(0,MIN(D2,Queue_Intervals!C5)-MAX(C2+120,Queue_Intervals!B5)),0)</f>
        <v>0</v>
      </c>
      <c r="L2" s="7">
        <f t="shared" ref="L2:L33" si="2">MAX(0,F2-150)</f>
        <v>0</v>
      </c>
      <c r="M2" s="7">
        <f>IF(B2=Queue_Intervals!A2,MAX(0,MIN(D2,Queue_Intervals!C2)-MAX(C2+150,Queue_Intervals!B2)),0)+IF(B2=Queue_Intervals!A3,MAX(0,MIN(D2,Queue_Intervals!C3)-MAX(C2+150,Queue_Intervals!B3)),0)+IF(B2=Queue_Intervals!A4,MAX(0,MIN(D2,Queue_Intervals!C4)-MAX(C2+150,Queue_Intervals!B4)),0)+IF(B2=Queue_Intervals!A5,MAX(0,MIN(D2,Queue_Intervals!C5)-MAX(C2+150,Queue_Intervals!B5)),0)</f>
        <v>0</v>
      </c>
      <c r="O2" s="9"/>
    </row>
    <row r="3" spans="1:15" ht="24.95" customHeight="1">
      <c r="A3" s="7" t="s">
        <v>80</v>
      </c>
      <c r="B3" s="8" t="s">
        <v>78</v>
      </c>
      <c r="C3" s="8">
        <v>425</v>
      </c>
      <c r="D3" s="8">
        <v>488</v>
      </c>
      <c r="E3" s="8" t="s">
        <v>79</v>
      </c>
      <c r="F3" s="8">
        <v>63</v>
      </c>
      <c r="G3" s="8">
        <v>0</v>
      </c>
      <c r="H3" s="7">
        <f t="shared" si="0"/>
        <v>0</v>
      </c>
      <c r="I3" s="7">
        <f>IF(B3=Queue_Intervals!A2,MAX(0,MIN(D3,Queue_Intervals!C2)-MAX(C3+90,Queue_Intervals!B2)),0)+IF(B3=Queue_Intervals!A3,MAX(0,MIN(D3,Queue_Intervals!C3)-MAX(C3+90,Queue_Intervals!B3)),0)+IF(B3=Queue_Intervals!A4,MAX(0,MIN(D3,Queue_Intervals!C4)-MAX(C3+90,Queue_Intervals!B4)),0)+IF(B3=Queue_Intervals!A5,MAX(0,MIN(D3,Queue_Intervals!C5)-MAX(C3+90,Queue_Intervals!B5)),0)</f>
        <v>0</v>
      </c>
      <c r="J3" s="7">
        <f t="shared" si="1"/>
        <v>0</v>
      </c>
      <c r="K3" s="7">
        <f>IF(B3=Queue_Intervals!A2,MAX(0,MIN(D3,Queue_Intervals!C2)-MAX(C3+120,Queue_Intervals!B2)),0)+IF(B3=Queue_Intervals!A3,MAX(0,MIN(D3,Queue_Intervals!C3)-MAX(C3+120,Queue_Intervals!B3)),0)+IF(B3=Queue_Intervals!A4,MAX(0,MIN(D3,Queue_Intervals!C4)-MAX(C3+120,Queue_Intervals!B4)),0)+IF(B3=Queue_Intervals!A5,MAX(0,MIN(D3,Queue_Intervals!C5)-MAX(C3+120,Queue_Intervals!B5)),0)</f>
        <v>0</v>
      </c>
      <c r="L3" s="7">
        <f t="shared" si="2"/>
        <v>0</v>
      </c>
      <c r="M3" s="7">
        <f>IF(B3=Queue_Intervals!A2,MAX(0,MIN(D3,Queue_Intervals!C2)-MAX(C3+150,Queue_Intervals!B2)),0)+IF(B3=Queue_Intervals!A3,MAX(0,MIN(D3,Queue_Intervals!C3)-MAX(C3+150,Queue_Intervals!B3)),0)+IF(B3=Queue_Intervals!A4,MAX(0,MIN(D3,Queue_Intervals!C4)-MAX(C3+150,Queue_Intervals!B4)),0)+IF(B3=Queue_Intervals!A5,MAX(0,MIN(D3,Queue_Intervals!C5)-MAX(C3+150,Queue_Intervals!B5)),0)</f>
        <v>0</v>
      </c>
      <c r="O3" s="9"/>
    </row>
    <row r="4" spans="1:15" ht="24.95" customHeight="1">
      <c r="A4" s="7" t="s">
        <v>81</v>
      </c>
      <c r="B4" s="8" t="s">
        <v>78</v>
      </c>
      <c r="C4" s="8">
        <v>462</v>
      </c>
      <c r="D4" s="8">
        <v>520</v>
      </c>
      <c r="E4" s="8" t="s">
        <v>79</v>
      </c>
      <c r="F4" s="8">
        <v>58</v>
      </c>
      <c r="G4" s="8">
        <v>0</v>
      </c>
      <c r="H4" s="7">
        <f t="shared" si="0"/>
        <v>0</v>
      </c>
      <c r="I4" s="7">
        <f>IF(B4=Queue_Intervals!A2,MAX(0,MIN(D4,Queue_Intervals!C2)-MAX(C4+90,Queue_Intervals!B2)),0)+IF(B4=Queue_Intervals!A3,MAX(0,MIN(D4,Queue_Intervals!C3)-MAX(C4+90,Queue_Intervals!B3)),0)+IF(B4=Queue_Intervals!A4,MAX(0,MIN(D4,Queue_Intervals!C4)-MAX(C4+90,Queue_Intervals!B4)),0)+IF(B4=Queue_Intervals!A5,MAX(0,MIN(D4,Queue_Intervals!C5)-MAX(C4+90,Queue_Intervals!B5)),0)</f>
        <v>0</v>
      </c>
      <c r="J4" s="7">
        <f t="shared" si="1"/>
        <v>0</v>
      </c>
      <c r="K4" s="7">
        <f>IF(B4=Queue_Intervals!A2,MAX(0,MIN(D4,Queue_Intervals!C2)-MAX(C4+120,Queue_Intervals!B2)),0)+IF(B4=Queue_Intervals!A3,MAX(0,MIN(D4,Queue_Intervals!C3)-MAX(C4+120,Queue_Intervals!B3)),0)+IF(B4=Queue_Intervals!A4,MAX(0,MIN(D4,Queue_Intervals!C4)-MAX(C4+120,Queue_Intervals!B4)),0)+IF(B4=Queue_Intervals!A5,MAX(0,MIN(D4,Queue_Intervals!C5)-MAX(C4+120,Queue_Intervals!B5)),0)</f>
        <v>0</v>
      </c>
      <c r="L4" s="7">
        <f t="shared" si="2"/>
        <v>0</v>
      </c>
      <c r="M4" s="7">
        <f>IF(B4=Queue_Intervals!A2,MAX(0,MIN(D4,Queue_Intervals!C2)-MAX(C4+150,Queue_Intervals!B2)),0)+IF(B4=Queue_Intervals!A3,MAX(0,MIN(D4,Queue_Intervals!C3)-MAX(C4+150,Queue_Intervals!B3)),0)+IF(B4=Queue_Intervals!A4,MAX(0,MIN(D4,Queue_Intervals!C4)-MAX(C4+150,Queue_Intervals!B4)),0)+IF(B4=Queue_Intervals!A5,MAX(0,MIN(D4,Queue_Intervals!C5)-MAX(C4+150,Queue_Intervals!B5)),0)</f>
        <v>0</v>
      </c>
      <c r="O4" s="9"/>
    </row>
    <row r="5" spans="1:15" ht="24.95" customHeight="1">
      <c r="A5" s="7" t="s">
        <v>82</v>
      </c>
      <c r="B5" s="8" t="s">
        <v>78</v>
      </c>
      <c r="C5" s="8">
        <v>470</v>
      </c>
      <c r="D5" s="8">
        <v>528</v>
      </c>
      <c r="E5" s="8" t="s">
        <v>79</v>
      </c>
      <c r="F5" s="8">
        <v>58</v>
      </c>
      <c r="G5" s="8">
        <v>0</v>
      </c>
      <c r="H5" s="7">
        <f t="shared" si="0"/>
        <v>0</v>
      </c>
      <c r="I5" s="7">
        <f>IF(B5=Queue_Intervals!A2,MAX(0,MIN(D5,Queue_Intervals!C2)-MAX(C5+90,Queue_Intervals!B2)),0)+IF(B5=Queue_Intervals!A3,MAX(0,MIN(D5,Queue_Intervals!C3)-MAX(C5+90,Queue_Intervals!B3)),0)+IF(B5=Queue_Intervals!A4,MAX(0,MIN(D5,Queue_Intervals!C4)-MAX(C5+90,Queue_Intervals!B4)),0)+IF(B5=Queue_Intervals!A5,MAX(0,MIN(D5,Queue_Intervals!C5)-MAX(C5+90,Queue_Intervals!B5)),0)</f>
        <v>0</v>
      </c>
      <c r="J5" s="7">
        <f t="shared" si="1"/>
        <v>0</v>
      </c>
      <c r="K5" s="7">
        <f>IF(B5=Queue_Intervals!A2,MAX(0,MIN(D5,Queue_Intervals!C2)-MAX(C5+120,Queue_Intervals!B2)),0)+IF(B5=Queue_Intervals!A3,MAX(0,MIN(D5,Queue_Intervals!C3)-MAX(C5+120,Queue_Intervals!B3)),0)+IF(B5=Queue_Intervals!A4,MAX(0,MIN(D5,Queue_Intervals!C4)-MAX(C5+120,Queue_Intervals!B4)),0)+IF(B5=Queue_Intervals!A5,MAX(0,MIN(D5,Queue_Intervals!C5)-MAX(C5+120,Queue_Intervals!B5)),0)</f>
        <v>0</v>
      </c>
      <c r="L5" s="7">
        <f t="shared" si="2"/>
        <v>0</v>
      </c>
      <c r="M5" s="7">
        <f>IF(B5=Queue_Intervals!A2,MAX(0,MIN(D5,Queue_Intervals!C2)-MAX(C5+150,Queue_Intervals!B2)),0)+IF(B5=Queue_Intervals!A3,MAX(0,MIN(D5,Queue_Intervals!C3)-MAX(C5+150,Queue_Intervals!B3)),0)+IF(B5=Queue_Intervals!A4,MAX(0,MIN(D5,Queue_Intervals!C4)-MAX(C5+150,Queue_Intervals!B4)),0)+IF(B5=Queue_Intervals!A5,MAX(0,MIN(D5,Queue_Intervals!C5)-MAX(C5+150,Queue_Intervals!B5)),0)</f>
        <v>0</v>
      </c>
    </row>
    <row r="6" spans="1:15" ht="24.95" customHeight="1">
      <c r="A6" s="7" t="s">
        <v>83</v>
      </c>
      <c r="B6" s="8" t="s">
        <v>78</v>
      </c>
      <c r="C6" s="8">
        <v>480</v>
      </c>
      <c r="D6" s="8">
        <v>559</v>
      </c>
      <c r="E6" s="8" t="s">
        <v>79</v>
      </c>
      <c r="F6" s="8">
        <v>79</v>
      </c>
      <c r="G6" s="8">
        <v>0</v>
      </c>
      <c r="H6" s="7">
        <f t="shared" si="0"/>
        <v>0</v>
      </c>
      <c r="I6" s="7">
        <f>IF(B6=Queue_Intervals!A2,MAX(0,MIN(D6,Queue_Intervals!C2)-MAX(C6+90,Queue_Intervals!B2)),0)+IF(B6=Queue_Intervals!A3,MAX(0,MIN(D6,Queue_Intervals!C3)-MAX(C6+90,Queue_Intervals!B3)),0)+IF(B6=Queue_Intervals!A4,MAX(0,MIN(D6,Queue_Intervals!C4)-MAX(C6+90,Queue_Intervals!B4)),0)+IF(B6=Queue_Intervals!A5,MAX(0,MIN(D6,Queue_Intervals!C5)-MAX(C6+90,Queue_Intervals!B5)),0)</f>
        <v>0</v>
      </c>
      <c r="J6" s="7">
        <f t="shared" si="1"/>
        <v>0</v>
      </c>
      <c r="K6" s="7">
        <f>IF(B6=Queue_Intervals!A2,MAX(0,MIN(D6,Queue_Intervals!C2)-MAX(C6+120,Queue_Intervals!B2)),0)+IF(B6=Queue_Intervals!A3,MAX(0,MIN(D6,Queue_Intervals!C3)-MAX(C6+120,Queue_Intervals!B3)),0)+IF(B6=Queue_Intervals!A4,MAX(0,MIN(D6,Queue_Intervals!C4)-MAX(C6+120,Queue_Intervals!B4)),0)+IF(B6=Queue_Intervals!A5,MAX(0,MIN(D6,Queue_Intervals!C5)-MAX(C6+120,Queue_Intervals!B5)),0)</f>
        <v>0</v>
      </c>
      <c r="L6" s="7">
        <f t="shared" si="2"/>
        <v>0</v>
      </c>
      <c r="M6" s="7">
        <f>IF(B6=Queue_Intervals!A2,MAX(0,MIN(D6,Queue_Intervals!C2)-MAX(C6+150,Queue_Intervals!B2)),0)+IF(B6=Queue_Intervals!A3,MAX(0,MIN(D6,Queue_Intervals!C3)-MAX(C6+150,Queue_Intervals!B3)),0)+IF(B6=Queue_Intervals!A4,MAX(0,MIN(D6,Queue_Intervals!C4)-MAX(C6+150,Queue_Intervals!B4)),0)+IF(B6=Queue_Intervals!A5,MAX(0,MIN(D6,Queue_Intervals!C5)-MAX(C6+150,Queue_Intervals!B5)),0)</f>
        <v>0</v>
      </c>
    </row>
    <row r="7" spans="1:15" ht="24.95" customHeight="1">
      <c r="A7" s="7" t="s">
        <v>84</v>
      </c>
      <c r="B7" s="8" t="s">
        <v>78</v>
      </c>
      <c r="C7" s="8">
        <v>483</v>
      </c>
      <c r="D7" s="8">
        <v>507</v>
      </c>
      <c r="E7" s="8" t="s">
        <v>79</v>
      </c>
      <c r="F7" s="8">
        <v>24</v>
      </c>
      <c r="G7" s="8">
        <v>0</v>
      </c>
      <c r="H7" s="7">
        <f t="shared" si="0"/>
        <v>0</v>
      </c>
      <c r="I7" s="7">
        <f>IF(B7=Queue_Intervals!A2,MAX(0,MIN(D7,Queue_Intervals!C2)-MAX(C7+90,Queue_Intervals!B2)),0)+IF(B7=Queue_Intervals!A3,MAX(0,MIN(D7,Queue_Intervals!C3)-MAX(C7+90,Queue_Intervals!B3)),0)+IF(B7=Queue_Intervals!A4,MAX(0,MIN(D7,Queue_Intervals!C4)-MAX(C7+90,Queue_Intervals!B4)),0)+IF(B7=Queue_Intervals!A5,MAX(0,MIN(D7,Queue_Intervals!C5)-MAX(C7+90,Queue_Intervals!B5)),0)</f>
        <v>0</v>
      </c>
      <c r="J7" s="7">
        <f t="shared" si="1"/>
        <v>0</v>
      </c>
      <c r="K7" s="7">
        <f>IF(B7=Queue_Intervals!A2,MAX(0,MIN(D7,Queue_Intervals!C2)-MAX(C7+120,Queue_Intervals!B2)),0)+IF(B7=Queue_Intervals!A3,MAX(0,MIN(D7,Queue_Intervals!C3)-MAX(C7+120,Queue_Intervals!B3)),0)+IF(B7=Queue_Intervals!A4,MAX(0,MIN(D7,Queue_Intervals!C4)-MAX(C7+120,Queue_Intervals!B4)),0)+IF(B7=Queue_Intervals!A5,MAX(0,MIN(D7,Queue_Intervals!C5)-MAX(C7+120,Queue_Intervals!B5)),0)</f>
        <v>0</v>
      </c>
      <c r="L7" s="7">
        <f t="shared" si="2"/>
        <v>0</v>
      </c>
      <c r="M7" s="7">
        <f>IF(B7=Queue_Intervals!A2,MAX(0,MIN(D7,Queue_Intervals!C2)-MAX(C7+150,Queue_Intervals!B2)),0)+IF(B7=Queue_Intervals!A3,MAX(0,MIN(D7,Queue_Intervals!C3)-MAX(C7+150,Queue_Intervals!B3)),0)+IF(B7=Queue_Intervals!A4,MAX(0,MIN(D7,Queue_Intervals!C4)-MAX(C7+150,Queue_Intervals!B4)),0)+IF(B7=Queue_Intervals!A5,MAX(0,MIN(D7,Queue_Intervals!C5)-MAX(C7+150,Queue_Intervals!B5)),0)</f>
        <v>0</v>
      </c>
    </row>
    <row r="8" spans="1:15" ht="24.95" customHeight="1">
      <c r="A8" s="7" t="s">
        <v>85</v>
      </c>
      <c r="B8" s="8" t="s">
        <v>78</v>
      </c>
      <c r="C8" s="8">
        <v>495</v>
      </c>
      <c r="D8" s="8">
        <v>570</v>
      </c>
      <c r="E8" s="8" t="s">
        <v>79</v>
      </c>
      <c r="F8" s="8">
        <v>75</v>
      </c>
      <c r="G8" s="8">
        <v>0</v>
      </c>
      <c r="H8" s="7">
        <f t="shared" si="0"/>
        <v>0</v>
      </c>
      <c r="I8" s="7">
        <f>IF(B8=Queue_Intervals!A2,MAX(0,MIN(D8,Queue_Intervals!C2)-MAX(C8+90,Queue_Intervals!B2)),0)+IF(B8=Queue_Intervals!A3,MAX(0,MIN(D8,Queue_Intervals!C3)-MAX(C8+90,Queue_Intervals!B3)),0)+IF(B8=Queue_Intervals!A4,MAX(0,MIN(D8,Queue_Intervals!C4)-MAX(C8+90,Queue_Intervals!B4)),0)+IF(B8=Queue_Intervals!A5,MAX(0,MIN(D8,Queue_Intervals!C5)-MAX(C8+90,Queue_Intervals!B5)),0)</f>
        <v>0</v>
      </c>
      <c r="J8" s="7">
        <f t="shared" si="1"/>
        <v>0</v>
      </c>
      <c r="K8" s="7">
        <f>IF(B8=Queue_Intervals!A2,MAX(0,MIN(D8,Queue_Intervals!C2)-MAX(C8+120,Queue_Intervals!B2)),0)+IF(B8=Queue_Intervals!A3,MAX(0,MIN(D8,Queue_Intervals!C3)-MAX(C8+120,Queue_Intervals!B3)),0)+IF(B8=Queue_Intervals!A4,MAX(0,MIN(D8,Queue_Intervals!C4)-MAX(C8+120,Queue_Intervals!B4)),0)+IF(B8=Queue_Intervals!A5,MAX(0,MIN(D8,Queue_Intervals!C5)-MAX(C8+120,Queue_Intervals!B5)),0)</f>
        <v>0</v>
      </c>
      <c r="L8" s="7">
        <f t="shared" si="2"/>
        <v>0</v>
      </c>
      <c r="M8" s="7">
        <f>IF(B8=Queue_Intervals!A2,MAX(0,MIN(D8,Queue_Intervals!C2)-MAX(C8+150,Queue_Intervals!B2)),0)+IF(B8=Queue_Intervals!A3,MAX(0,MIN(D8,Queue_Intervals!C3)-MAX(C8+150,Queue_Intervals!B3)),0)+IF(B8=Queue_Intervals!A4,MAX(0,MIN(D8,Queue_Intervals!C4)-MAX(C8+150,Queue_Intervals!B4)),0)+IF(B8=Queue_Intervals!A5,MAX(0,MIN(D8,Queue_Intervals!C5)-MAX(C8+150,Queue_Intervals!B5)),0)</f>
        <v>0</v>
      </c>
    </row>
    <row r="9" spans="1:15" ht="24.95" customHeight="1">
      <c r="A9" s="7" t="s">
        <v>86</v>
      </c>
      <c r="B9" s="8" t="s">
        <v>78</v>
      </c>
      <c r="C9" s="8">
        <v>504</v>
      </c>
      <c r="D9" s="8">
        <v>646</v>
      </c>
      <c r="E9" s="8" t="s">
        <v>79</v>
      </c>
      <c r="F9" s="8">
        <v>142</v>
      </c>
      <c r="G9" s="8">
        <v>0</v>
      </c>
      <c r="H9" s="7">
        <f t="shared" si="0"/>
        <v>52</v>
      </c>
      <c r="I9" s="7">
        <f>IF(B9=Queue_Intervals!A2,MAX(0,MIN(D9,Queue_Intervals!C2)-MAX(C9+90,Queue_Intervals!B2)),0)+IF(B9=Queue_Intervals!A3,MAX(0,MIN(D9,Queue_Intervals!C3)-MAX(C9+90,Queue_Intervals!B3)),0)+IF(B9=Queue_Intervals!A4,MAX(0,MIN(D9,Queue_Intervals!C4)-MAX(C9+90,Queue_Intervals!B4)),0)+IF(B9=Queue_Intervals!A5,MAX(0,MIN(D9,Queue_Intervals!C5)-MAX(C9+90,Queue_Intervals!B5)),0)</f>
        <v>0</v>
      </c>
      <c r="J9" s="7">
        <f t="shared" si="1"/>
        <v>22</v>
      </c>
      <c r="K9" s="7">
        <f>IF(B9=Queue_Intervals!A2,MAX(0,MIN(D9,Queue_Intervals!C2)-MAX(C9+120,Queue_Intervals!B2)),0)+IF(B9=Queue_Intervals!A3,MAX(0,MIN(D9,Queue_Intervals!C3)-MAX(C9+120,Queue_Intervals!B3)),0)+IF(B9=Queue_Intervals!A4,MAX(0,MIN(D9,Queue_Intervals!C4)-MAX(C9+120,Queue_Intervals!B4)),0)+IF(B9=Queue_Intervals!A5,MAX(0,MIN(D9,Queue_Intervals!C5)-MAX(C9+120,Queue_Intervals!B5)),0)</f>
        <v>0</v>
      </c>
      <c r="L9" s="7">
        <f t="shared" si="2"/>
        <v>0</v>
      </c>
      <c r="M9" s="7">
        <f>IF(B9=Queue_Intervals!A2,MAX(0,MIN(D9,Queue_Intervals!C2)-MAX(C9+150,Queue_Intervals!B2)),0)+IF(B9=Queue_Intervals!A3,MAX(0,MIN(D9,Queue_Intervals!C3)-MAX(C9+150,Queue_Intervals!B3)),0)+IF(B9=Queue_Intervals!A4,MAX(0,MIN(D9,Queue_Intervals!C4)-MAX(C9+150,Queue_Intervals!B4)),0)+IF(B9=Queue_Intervals!A5,MAX(0,MIN(D9,Queue_Intervals!C5)-MAX(C9+150,Queue_Intervals!B5)),0)</f>
        <v>0</v>
      </c>
    </row>
    <row r="10" spans="1:15" ht="24.95" customHeight="1">
      <c r="A10" s="7" t="s">
        <v>87</v>
      </c>
      <c r="B10" s="8" t="s">
        <v>78</v>
      </c>
      <c r="C10" s="8">
        <v>505</v>
      </c>
      <c r="D10" s="8">
        <v>612</v>
      </c>
      <c r="E10" s="8" t="s">
        <v>79</v>
      </c>
      <c r="F10" s="8">
        <v>107</v>
      </c>
      <c r="G10" s="8">
        <v>0</v>
      </c>
      <c r="H10" s="7">
        <f t="shared" si="0"/>
        <v>17</v>
      </c>
      <c r="I10" s="7">
        <f>IF(B10=Queue_Intervals!A2,MAX(0,MIN(D10,Queue_Intervals!C2)-MAX(C10+90,Queue_Intervals!B2)),0)+IF(B10=Queue_Intervals!A3,MAX(0,MIN(D10,Queue_Intervals!C3)-MAX(C10+90,Queue_Intervals!B3)),0)+IF(B10=Queue_Intervals!A4,MAX(0,MIN(D10,Queue_Intervals!C4)-MAX(C10+90,Queue_Intervals!B4)),0)+IF(B10=Queue_Intervals!A5,MAX(0,MIN(D10,Queue_Intervals!C5)-MAX(C10+90,Queue_Intervals!B5)),0)</f>
        <v>0</v>
      </c>
      <c r="J10" s="7">
        <f t="shared" si="1"/>
        <v>0</v>
      </c>
      <c r="K10" s="7">
        <f>IF(B10=Queue_Intervals!A2,MAX(0,MIN(D10,Queue_Intervals!C2)-MAX(C10+120,Queue_Intervals!B2)),0)+IF(B10=Queue_Intervals!A3,MAX(0,MIN(D10,Queue_Intervals!C3)-MAX(C10+120,Queue_Intervals!B3)),0)+IF(B10=Queue_Intervals!A4,MAX(0,MIN(D10,Queue_Intervals!C4)-MAX(C10+120,Queue_Intervals!B4)),0)+IF(B10=Queue_Intervals!A5,MAX(0,MIN(D10,Queue_Intervals!C5)-MAX(C10+120,Queue_Intervals!B5)),0)</f>
        <v>0</v>
      </c>
      <c r="L10" s="7">
        <f t="shared" si="2"/>
        <v>0</v>
      </c>
      <c r="M10" s="7">
        <f>IF(B10=Queue_Intervals!A2,MAX(0,MIN(D10,Queue_Intervals!C2)-MAX(C10+150,Queue_Intervals!B2)),0)+IF(B10=Queue_Intervals!A3,MAX(0,MIN(D10,Queue_Intervals!C3)-MAX(C10+150,Queue_Intervals!B3)),0)+IF(B10=Queue_Intervals!A4,MAX(0,MIN(D10,Queue_Intervals!C4)-MAX(C10+150,Queue_Intervals!B4)),0)+IF(B10=Queue_Intervals!A5,MAX(0,MIN(D10,Queue_Intervals!C5)-MAX(C10+150,Queue_Intervals!B5)),0)</f>
        <v>0</v>
      </c>
    </row>
    <row r="11" spans="1:15" ht="24.95" customHeight="1">
      <c r="A11" s="7" t="s">
        <v>88</v>
      </c>
      <c r="B11" s="8" t="s">
        <v>78</v>
      </c>
      <c r="C11" s="8">
        <v>513</v>
      </c>
      <c r="D11" s="8">
        <v>570</v>
      </c>
      <c r="E11" s="8" t="s">
        <v>79</v>
      </c>
      <c r="F11" s="8">
        <v>57</v>
      </c>
      <c r="G11" s="8">
        <v>0</v>
      </c>
      <c r="H11" s="7">
        <f t="shared" si="0"/>
        <v>0</v>
      </c>
      <c r="I11" s="7">
        <f>IF(B11=Queue_Intervals!A2,MAX(0,MIN(D11,Queue_Intervals!C2)-MAX(C11+90,Queue_Intervals!B2)),0)+IF(B11=Queue_Intervals!A3,MAX(0,MIN(D11,Queue_Intervals!C3)-MAX(C11+90,Queue_Intervals!B3)),0)+IF(B11=Queue_Intervals!A4,MAX(0,MIN(D11,Queue_Intervals!C4)-MAX(C11+90,Queue_Intervals!B4)),0)+IF(B11=Queue_Intervals!A5,MAX(0,MIN(D11,Queue_Intervals!C5)-MAX(C11+90,Queue_Intervals!B5)),0)</f>
        <v>0</v>
      </c>
      <c r="J11" s="7">
        <f t="shared" si="1"/>
        <v>0</v>
      </c>
      <c r="K11" s="7">
        <f>IF(B11=Queue_Intervals!A2,MAX(0,MIN(D11,Queue_Intervals!C2)-MAX(C11+120,Queue_Intervals!B2)),0)+IF(B11=Queue_Intervals!A3,MAX(0,MIN(D11,Queue_Intervals!C3)-MAX(C11+120,Queue_Intervals!B3)),0)+IF(B11=Queue_Intervals!A4,MAX(0,MIN(D11,Queue_Intervals!C4)-MAX(C11+120,Queue_Intervals!B4)),0)+IF(B11=Queue_Intervals!A5,MAX(0,MIN(D11,Queue_Intervals!C5)-MAX(C11+120,Queue_Intervals!B5)),0)</f>
        <v>0</v>
      </c>
      <c r="L11" s="7">
        <f t="shared" si="2"/>
        <v>0</v>
      </c>
      <c r="M11" s="7">
        <f>IF(B11=Queue_Intervals!A2,MAX(0,MIN(D11,Queue_Intervals!C2)-MAX(C11+150,Queue_Intervals!B2)),0)+IF(B11=Queue_Intervals!A3,MAX(0,MIN(D11,Queue_Intervals!C3)-MAX(C11+150,Queue_Intervals!B3)),0)+IF(B11=Queue_Intervals!A4,MAX(0,MIN(D11,Queue_Intervals!C4)-MAX(C11+150,Queue_Intervals!B4)),0)+IF(B11=Queue_Intervals!A5,MAX(0,MIN(D11,Queue_Intervals!C5)-MAX(C11+150,Queue_Intervals!B5)),0)</f>
        <v>0</v>
      </c>
    </row>
    <row r="12" spans="1:15" ht="24.95" customHeight="1">
      <c r="A12" s="7" t="s">
        <v>89</v>
      </c>
      <c r="B12" s="8" t="s">
        <v>78</v>
      </c>
      <c r="C12" s="8">
        <v>521</v>
      </c>
      <c r="D12" s="8">
        <v>565</v>
      </c>
      <c r="E12" s="8" t="s">
        <v>79</v>
      </c>
      <c r="F12" s="8">
        <v>44</v>
      </c>
      <c r="G12" s="8">
        <v>0</v>
      </c>
      <c r="H12" s="7">
        <f t="shared" si="0"/>
        <v>0</v>
      </c>
      <c r="I12" s="7">
        <f>IF(B12=Queue_Intervals!A2,MAX(0,MIN(D12,Queue_Intervals!C2)-MAX(C12+90,Queue_Intervals!B2)),0)+IF(B12=Queue_Intervals!A3,MAX(0,MIN(D12,Queue_Intervals!C3)-MAX(C12+90,Queue_Intervals!B3)),0)+IF(B12=Queue_Intervals!A4,MAX(0,MIN(D12,Queue_Intervals!C4)-MAX(C12+90,Queue_Intervals!B4)),0)+IF(B12=Queue_Intervals!A5,MAX(0,MIN(D12,Queue_Intervals!C5)-MAX(C12+90,Queue_Intervals!B5)),0)</f>
        <v>0</v>
      </c>
      <c r="J12" s="7">
        <f t="shared" si="1"/>
        <v>0</v>
      </c>
      <c r="K12" s="7">
        <f>IF(B12=Queue_Intervals!A2,MAX(0,MIN(D12,Queue_Intervals!C2)-MAX(C12+120,Queue_Intervals!B2)),0)+IF(B12=Queue_Intervals!A3,MAX(0,MIN(D12,Queue_Intervals!C3)-MAX(C12+120,Queue_Intervals!B3)),0)+IF(B12=Queue_Intervals!A4,MAX(0,MIN(D12,Queue_Intervals!C4)-MAX(C12+120,Queue_Intervals!B4)),0)+IF(B12=Queue_Intervals!A5,MAX(0,MIN(D12,Queue_Intervals!C5)-MAX(C12+120,Queue_Intervals!B5)),0)</f>
        <v>0</v>
      </c>
      <c r="L12" s="7">
        <f t="shared" si="2"/>
        <v>0</v>
      </c>
      <c r="M12" s="7">
        <f>IF(B12=Queue_Intervals!A2,MAX(0,MIN(D12,Queue_Intervals!C2)-MAX(C12+150,Queue_Intervals!B2)),0)+IF(B12=Queue_Intervals!A3,MAX(0,MIN(D12,Queue_Intervals!C3)-MAX(C12+150,Queue_Intervals!B3)),0)+IF(B12=Queue_Intervals!A4,MAX(0,MIN(D12,Queue_Intervals!C4)-MAX(C12+150,Queue_Intervals!B4)),0)+IF(B12=Queue_Intervals!A5,MAX(0,MIN(D12,Queue_Intervals!C5)-MAX(C12+150,Queue_Intervals!B5)),0)</f>
        <v>0</v>
      </c>
    </row>
    <row r="13" spans="1:15" ht="24.95" customHeight="1">
      <c r="A13" s="7" t="s">
        <v>90</v>
      </c>
      <c r="B13" s="8" t="s">
        <v>78</v>
      </c>
      <c r="C13" s="8">
        <v>523</v>
      </c>
      <c r="D13" s="8">
        <v>575</v>
      </c>
      <c r="E13" s="8" t="s">
        <v>79</v>
      </c>
      <c r="F13" s="8">
        <v>52</v>
      </c>
      <c r="G13" s="8">
        <v>0</v>
      </c>
      <c r="H13" s="7">
        <f t="shared" si="0"/>
        <v>0</v>
      </c>
      <c r="I13" s="7">
        <f>IF(B13=Queue_Intervals!A2,MAX(0,MIN(D13,Queue_Intervals!C2)-MAX(C13+90,Queue_Intervals!B2)),0)+IF(B13=Queue_Intervals!A3,MAX(0,MIN(D13,Queue_Intervals!C3)-MAX(C13+90,Queue_Intervals!B3)),0)+IF(B13=Queue_Intervals!A4,MAX(0,MIN(D13,Queue_Intervals!C4)-MAX(C13+90,Queue_Intervals!B4)),0)+IF(B13=Queue_Intervals!A5,MAX(0,MIN(D13,Queue_Intervals!C5)-MAX(C13+90,Queue_Intervals!B5)),0)</f>
        <v>0</v>
      </c>
      <c r="J13" s="7">
        <f t="shared" si="1"/>
        <v>0</v>
      </c>
      <c r="K13" s="7">
        <f>IF(B13=Queue_Intervals!A2,MAX(0,MIN(D13,Queue_Intervals!C2)-MAX(C13+120,Queue_Intervals!B2)),0)+IF(B13=Queue_Intervals!A3,MAX(0,MIN(D13,Queue_Intervals!C3)-MAX(C13+120,Queue_Intervals!B3)),0)+IF(B13=Queue_Intervals!A4,MAX(0,MIN(D13,Queue_Intervals!C4)-MAX(C13+120,Queue_Intervals!B4)),0)+IF(B13=Queue_Intervals!A5,MAX(0,MIN(D13,Queue_Intervals!C5)-MAX(C13+120,Queue_Intervals!B5)),0)</f>
        <v>0</v>
      </c>
      <c r="L13" s="7">
        <f t="shared" si="2"/>
        <v>0</v>
      </c>
      <c r="M13" s="7">
        <f>IF(B13=Queue_Intervals!A2,MAX(0,MIN(D13,Queue_Intervals!C2)-MAX(C13+150,Queue_Intervals!B2)),0)+IF(B13=Queue_Intervals!A3,MAX(0,MIN(D13,Queue_Intervals!C3)-MAX(C13+150,Queue_Intervals!B3)),0)+IF(B13=Queue_Intervals!A4,MAX(0,MIN(D13,Queue_Intervals!C4)-MAX(C13+150,Queue_Intervals!B4)),0)+IF(B13=Queue_Intervals!A5,MAX(0,MIN(D13,Queue_Intervals!C5)-MAX(C13+150,Queue_Intervals!B5)),0)</f>
        <v>0</v>
      </c>
    </row>
    <row r="14" spans="1:15" ht="24.95" customHeight="1">
      <c r="A14" s="7" t="s">
        <v>91</v>
      </c>
      <c r="B14" s="8" t="s">
        <v>78</v>
      </c>
      <c r="C14" s="8">
        <v>545</v>
      </c>
      <c r="D14" s="8">
        <v>600</v>
      </c>
      <c r="E14" s="8" t="s">
        <v>79</v>
      </c>
      <c r="F14" s="8">
        <v>55</v>
      </c>
      <c r="G14" s="8">
        <v>0</v>
      </c>
      <c r="H14" s="7">
        <f t="shared" si="0"/>
        <v>0</v>
      </c>
      <c r="I14" s="7">
        <f>IF(B14=Queue_Intervals!A2,MAX(0,MIN(D14,Queue_Intervals!C2)-MAX(C14+90,Queue_Intervals!B2)),0)+IF(B14=Queue_Intervals!A3,MAX(0,MIN(D14,Queue_Intervals!C3)-MAX(C14+90,Queue_Intervals!B3)),0)+IF(B14=Queue_Intervals!A4,MAX(0,MIN(D14,Queue_Intervals!C4)-MAX(C14+90,Queue_Intervals!B4)),0)+IF(B14=Queue_Intervals!A5,MAX(0,MIN(D14,Queue_Intervals!C5)-MAX(C14+90,Queue_Intervals!B5)),0)</f>
        <v>0</v>
      </c>
      <c r="J14" s="7">
        <f t="shared" si="1"/>
        <v>0</v>
      </c>
      <c r="K14" s="7">
        <f>IF(B14=Queue_Intervals!A2,MAX(0,MIN(D14,Queue_Intervals!C2)-MAX(C14+120,Queue_Intervals!B2)),0)+IF(B14=Queue_Intervals!A3,MAX(0,MIN(D14,Queue_Intervals!C3)-MAX(C14+120,Queue_Intervals!B3)),0)+IF(B14=Queue_Intervals!A4,MAX(0,MIN(D14,Queue_Intervals!C4)-MAX(C14+120,Queue_Intervals!B4)),0)+IF(B14=Queue_Intervals!A5,MAX(0,MIN(D14,Queue_Intervals!C5)-MAX(C14+120,Queue_Intervals!B5)),0)</f>
        <v>0</v>
      </c>
      <c r="L14" s="7">
        <f t="shared" si="2"/>
        <v>0</v>
      </c>
      <c r="M14" s="7">
        <f>IF(B14=Queue_Intervals!A2,MAX(0,MIN(D14,Queue_Intervals!C2)-MAX(C14+150,Queue_Intervals!B2)),0)+IF(B14=Queue_Intervals!A3,MAX(0,MIN(D14,Queue_Intervals!C3)-MAX(C14+150,Queue_Intervals!B3)),0)+IF(B14=Queue_Intervals!A4,MAX(0,MIN(D14,Queue_Intervals!C4)-MAX(C14+150,Queue_Intervals!B4)),0)+IF(B14=Queue_Intervals!A5,MAX(0,MIN(D14,Queue_Intervals!C5)-MAX(C14+150,Queue_Intervals!B5)),0)</f>
        <v>0</v>
      </c>
    </row>
    <row r="15" spans="1:15" ht="24.95" customHeight="1">
      <c r="A15" s="7" t="s">
        <v>92</v>
      </c>
      <c r="B15" s="8" t="s">
        <v>78</v>
      </c>
      <c r="C15" s="8">
        <v>547</v>
      </c>
      <c r="D15" s="8">
        <v>607</v>
      </c>
      <c r="E15" s="8" t="s">
        <v>79</v>
      </c>
      <c r="F15" s="8">
        <v>60</v>
      </c>
      <c r="G15" s="8">
        <v>0</v>
      </c>
      <c r="H15" s="7">
        <f t="shared" si="0"/>
        <v>0</v>
      </c>
      <c r="I15" s="7">
        <f>IF(B15=Queue_Intervals!A2,MAX(0,MIN(D15,Queue_Intervals!C2)-MAX(C15+90,Queue_Intervals!B2)),0)+IF(B15=Queue_Intervals!A3,MAX(0,MIN(D15,Queue_Intervals!C3)-MAX(C15+90,Queue_Intervals!B3)),0)+IF(B15=Queue_Intervals!A4,MAX(0,MIN(D15,Queue_Intervals!C4)-MAX(C15+90,Queue_Intervals!B4)),0)+IF(B15=Queue_Intervals!A5,MAX(0,MIN(D15,Queue_Intervals!C5)-MAX(C15+90,Queue_Intervals!B5)),0)</f>
        <v>0</v>
      </c>
      <c r="J15" s="7">
        <f t="shared" si="1"/>
        <v>0</v>
      </c>
      <c r="K15" s="7">
        <f>IF(B15=Queue_Intervals!A2,MAX(0,MIN(D15,Queue_Intervals!C2)-MAX(C15+120,Queue_Intervals!B2)),0)+IF(B15=Queue_Intervals!A3,MAX(0,MIN(D15,Queue_Intervals!C3)-MAX(C15+120,Queue_Intervals!B3)),0)+IF(B15=Queue_Intervals!A4,MAX(0,MIN(D15,Queue_Intervals!C4)-MAX(C15+120,Queue_Intervals!B4)),0)+IF(B15=Queue_Intervals!A5,MAX(0,MIN(D15,Queue_Intervals!C5)-MAX(C15+120,Queue_Intervals!B5)),0)</f>
        <v>0</v>
      </c>
      <c r="L15" s="7">
        <f t="shared" si="2"/>
        <v>0</v>
      </c>
      <c r="M15" s="7">
        <f>IF(B15=Queue_Intervals!A2,MAX(0,MIN(D15,Queue_Intervals!C2)-MAX(C15+150,Queue_Intervals!B2)),0)+IF(B15=Queue_Intervals!A3,MAX(0,MIN(D15,Queue_Intervals!C3)-MAX(C15+150,Queue_Intervals!B3)),0)+IF(B15=Queue_Intervals!A4,MAX(0,MIN(D15,Queue_Intervals!C4)-MAX(C15+150,Queue_Intervals!B4)),0)+IF(B15=Queue_Intervals!A5,MAX(0,MIN(D15,Queue_Intervals!C5)-MAX(C15+150,Queue_Intervals!B5)),0)</f>
        <v>0</v>
      </c>
    </row>
    <row r="16" spans="1:15" ht="24.95" customHeight="1">
      <c r="A16" s="7" t="s">
        <v>93</v>
      </c>
      <c r="B16" s="8" t="s">
        <v>78</v>
      </c>
      <c r="C16" s="8">
        <v>556</v>
      </c>
      <c r="D16" s="8">
        <v>606</v>
      </c>
      <c r="E16" s="8" t="s">
        <v>79</v>
      </c>
      <c r="F16" s="8">
        <v>50</v>
      </c>
      <c r="G16" s="8">
        <v>0</v>
      </c>
      <c r="H16" s="7">
        <f t="shared" si="0"/>
        <v>0</v>
      </c>
      <c r="I16" s="7">
        <f>IF(B16=Queue_Intervals!A2,MAX(0,MIN(D16,Queue_Intervals!C2)-MAX(C16+90,Queue_Intervals!B2)),0)+IF(B16=Queue_Intervals!A3,MAX(0,MIN(D16,Queue_Intervals!C3)-MAX(C16+90,Queue_Intervals!B3)),0)+IF(B16=Queue_Intervals!A4,MAX(0,MIN(D16,Queue_Intervals!C4)-MAX(C16+90,Queue_Intervals!B4)),0)+IF(B16=Queue_Intervals!A5,MAX(0,MIN(D16,Queue_Intervals!C5)-MAX(C16+90,Queue_Intervals!B5)),0)</f>
        <v>0</v>
      </c>
      <c r="J16" s="7">
        <f t="shared" si="1"/>
        <v>0</v>
      </c>
      <c r="K16" s="7">
        <f>IF(B16=Queue_Intervals!A2,MAX(0,MIN(D16,Queue_Intervals!C2)-MAX(C16+120,Queue_Intervals!B2)),0)+IF(B16=Queue_Intervals!A3,MAX(0,MIN(D16,Queue_Intervals!C3)-MAX(C16+120,Queue_Intervals!B3)),0)+IF(B16=Queue_Intervals!A4,MAX(0,MIN(D16,Queue_Intervals!C4)-MAX(C16+120,Queue_Intervals!B4)),0)+IF(B16=Queue_Intervals!A5,MAX(0,MIN(D16,Queue_Intervals!C5)-MAX(C16+120,Queue_Intervals!B5)),0)</f>
        <v>0</v>
      </c>
      <c r="L16" s="7">
        <f t="shared" si="2"/>
        <v>0</v>
      </c>
      <c r="M16" s="7">
        <f>IF(B16=Queue_Intervals!A2,MAX(0,MIN(D16,Queue_Intervals!C2)-MAX(C16+150,Queue_Intervals!B2)),0)+IF(B16=Queue_Intervals!A3,MAX(0,MIN(D16,Queue_Intervals!C3)-MAX(C16+150,Queue_Intervals!B3)),0)+IF(B16=Queue_Intervals!A4,MAX(0,MIN(D16,Queue_Intervals!C4)-MAX(C16+150,Queue_Intervals!B4)),0)+IF(B16=Queue_Intervals!A5,MAX(0,MIN(D16,Queue_Intervals!C5)-MAX(C16+150,Queue_Intervals!B5)),0)</f>
        <v>0</v>
      </c>
    </row>
    <row r="17" spans="1:13" ht="24.95" customHeight="1">
      <c r="A17" s="7" t="s">
        <v>94</v>
      </c>
      <c r="B17" s="8" t="s">
        <v>78</v>
      </c>
      <c r="C17" s="8">
        <v>574</v>
      </c>
      <c r="D17" s="8">
        <v>640</v>
      </c>
      <c r="E17" s="8" t="s">
        <v>79</v>
      </c>
      <c r="F17" s="8">
        <v>66</v>
      </c>
      <c r="G17" s="8">
        <v>0</v>
      </c>
      <c r="H17" s="7">
        <f t="shared" si="0"/>
        <v>0</v>
      </c>
      <c r="I17" s="7">
        <f>IF(B17=Queue_Intervals!A2,MAX(0,MIN(D17,Queue_Intervals!C2)-MAX(C17+90,Queue_Intervals!B2)),0)+IF(B17=Queue_Intervals!A3,MAX(0,MIN(D17,Queue_Intervals!C3)-MAX(C17+90,Queue_Intervals!B3)),0)+IF(B17=Queue_Intervals!A4,MAX(0,MIN(D17,Queue_Intervals!C4)-MAX(C17+90,Queue_Intervals!B4)),0)+IF(B17=Queue_Intervals!A5,MAX(0,MIN(D17,Queue_Intervals!C5)-MAX(C17+90,Queue_Intervals!B5)),0)</f>
        <v>0</v>
      </c>
      <c r="J17" s="7">
        <f t="shared" si="1"/>
        <v>0</v>
      </c>
      <c r="K17" s="7">
        <f>IF(B17=Queue_Intervals!A2,MAX(0,MIN(D17,Queue_Intervals!C2)-MAX(C17+120,Queue_Intervals!B2)),0)+IF(B17=Queue_Intervals!A3,MAX(0,MIN(D17,Queue_Intervals!C3)-MAX(C17+120,Queue_Intervals!B3)),0)+IF(B17=Queue_Intervals!A4,MAX(0,MIN(D17,Queue_Intervals!C4)-MAX(C17+120,Queue_Intervals!B4)),0)+IF(B17=Queue_Intervals!A5,MAX(0,MIN(D17,Queue_Intervals!C5)-MAX(C17+120,Queue_Intervals!B5)),0)</f>
        <v>0</v>
      </c>
      <c r="L17" s="7">
        <f t="shared" si="2"/>
        <v>0</v>
      </c>
      <c r="M17" s="7">
        <f>IF(B17=Queue_Intervals!A2,MAX(0,MIN(D17,Queue_Intervals!C2)-MAX(C17+150,Queue_Intervals!B2)),0)+IF(B17=Queue_Intervals!A3,MAX(0,MIN(D17,Queue_Intervals!C3)-MAX(C17+150,Queue_Intervals!B3)),0)+IF(B17=Queue_Intervals!A4,MAX(0,MIN(D17,Queue_Intervals!C4)-MAX(C17+150,Queue_Intervals!B4)),0)+IF(B17=Queue_Intervals!A5,MAX(0,MIN(D17,Queue_Intervals!C5)-MAX(C17+150,Queue_Intervals!B5)),0)</f>
        <v>0</v>
      </c>
    </row>
    <row r="18" spans="1:13" ht="24.95" customHeight="1">
      <c r="A18" s="7" t="s">
        <v>95</v>
      </c>
      <c r="B18" s="8" t="s">
        <v>78</v>
      </c>
      <c r="C18" s="8">
        <v>593</v>
      </c>
      <c r="D18" s="8">
        <v>660</v>
      </c>
      <c r="E18" s="8" t="s">
        <v>79</v>
      </c>
      <c r="F18" s="8">
        <v>67</v>
      </c>
      <c r="G18" s="8">
        <v>0</v>
      </c>
      <c r="H18" s="7">
        <f t="shared" si="0"/>
        <v>0</v>
      </c>
      <c r="I18" s="7">
        <f>IF(B18=Queue_Intervals!A2,MAX(0,MIN(D18,Queue_Intervals!C2)-MAX(C18+90,Queue_Intervals!B2)),0)+IF(B18=Queue_Intervals!A3,MAX(0,MIN(D18,Queue_Intervals!C3)-MAX(C18+90,Queue_Intervals!B3)),0)+IF(B18=Queue_Intervals!A4,MAX(0,MIN(D18,Queue_Intervals!C4)-MAX(C18+90,Queue_Intervals!B4)),0)+IF(B18=Queue_Intervals!A5,MAX(0,MIN(D18,Queue_Intervals!C5)-MAX(C18+90,Queue_Intervals!B5)),0)</f>
        <v>0</v>
      </c>
      <c r="J18" s="7">
        <f t="shared" si="1"/>
        <v>0</v>
      </c>
      <c r="K18" s="7">
        <f>IF(B18=Queue_Intervals!A2,MAX(0,MIN(D18,Queue_Intervals!C2)-MAX(C18+120,Queue_Intervals!B2)),0)+IF(B18=Queue_Intervals!A3,MAX(0,MIN(D18,Queue_Intervals!C3)-MAX(C18+120,Queue_Intervals!B3)),0)+IF(B18=Queue_Intervals!A4,MAX(0,MIN(D18,Queue_Intervals!C4)-MAX(C18+120,Queue_Intervals!B4)),0)+IF(B18=Queue_Intervals!A5,MAX(0,MIN(D18,Queue_Intervals!C5)-MAX(C18+120,Queue_Intervals!B5)),0)</f>
        <v>0</v>
      </c>
      <c r="L18" s="7">
        <f t="shared" si="2"/>
        <v>0</v>
      </c>
      <c r="M18" s="7">
        <f>IF(B18=Queue_Intervals!A2,MAX(0,MIN(D18,Queue_Intervals!C2)-MAX(C18+150,Queue_Intervals!B2)),0)+IF(B18=Queue_Intervals!A3,MAX(0,MIN(D18,Queue_Intervals!C3)-MAX(C18+150,Queue_Intervals!B3)),0)+IF(B18=Queue_Intervals!A4,MAX(0,MIN(D18,Queue_Intervals!C4)-MAX(C18+150,Queue_Intervals!B4)),0)+IF(B18=Queue_Intervals!A5,MAX(0,MIN(D18,Queue_Intervals!C5)-MAX(C18+150,Queue_Intervals!B5)),0)</f>
        <v>0</v>
      </c>
    </row>
    <row r="19" spans="1:13" ht="24.95" customHeight="1">
      <c r="A19" s="7" t="s">
        <v>96</v>
      </c>
      <c r="B19" s="8" t="s">
        <v>78</v>
      </c>
      <c r="C19" s="8">
        <v>610</v>
      </c>
      <c r="D19" s="8">
        <v>670</v>
      </c>
      <c r="E19" s="8" t="s">
        <v>79</v>
      </c>
      <c r="F19" s="8">
        <v>60</v>
      </c>
      <c r="G19" s="8">
        <v>0</v>
      </c>
      <c r="H19" s="7">
        <f t="shared" si="0"/>
        <v>0</v>
      </c>
      <c r="I19" s="7">
        <f>IF(B19=Queue_Intervals!A2,MAX(0,MIN(D19,Queue_Intervals!C2)-MAX(C19+90,Queue_Intervals!B2)),0)+IF(B19=Queue_Intervals!A3,MAX(0,MIN(D19,Queue_Intervals!C3)-MAX(C19+90,Queue_Intervals!B3)),0)+IF(B19=Queue_Intervals!A4,MAX(0,MIN(D19,Queue_Intervals!C4)-MAX(C19+90,Queue_Intervals!B4)),0)+IF(B19=Queue_Intervals!A5,MAX(0,MIN(D19,Queue_Intervals!C5)-MAX(C19+90,Queue_Intervals!B5)),0)</f>
        <v>0</v>
      </c>
      <c r="J19" s="7">
        <f t="shared" si="1"/>
        <v>0</v>
      </c>
      <c r="K19" s="7">
        <f>IF(B19=Queue_Intervals!A2,MAX(0,MIN(D19,Queue_Intervals!C2)-MAX(C19+120,Queue_Intervals!B2)),0)+IF(B19=Queue_Intervals!A3,MAX(0,MIN(D19,Queue_Intervals!C3)-MAX(C19+120,Queue_Intervals!B3)),0)+IF(B19=Queue_Intervals!A4,MAX(0,MIN(D19,Queue_Intervals!C4)-MAX(C19+120,Queue_Intervals!B4)),0)+IF(B19=Queue_Intervals!A5,MAX(0,MIN(D19,Queue_Intervals!C5)-MAX(C19+120,Queue_Intervals!B5)),0)</f>
        <v>0</v>
      </c>
      <c r="L19" s="7">
        <f t="shared" si="2"/>
        <v>0</v>
      </c>
      <c r="M19" s="7">
        <f>IF(B19=Queue_Intervals!A2,MAX(0,MIN(D19,Queue_Intervals!C2)-MAX(C19+150,Queue_Intervals!B2)),0)+IF(B19=Queue_Intervals!A3,MAX(0,MIN(D19,Queue_Intervals!C3)-MAX(C19+150,Queue_Intervals!B3)),0)+IF(B19=Queue_Intervals!A4,MAX(0,MIN(D19,Queue_Intervals!C4)-MAX(C19+150,Queue_Intervals!B4)),0)+IF(B19=Queue_Intervals!A5,MAX(0,MIN(D19,Queue_Intervals!C5)-MAX(C19+150,Queue_Intervals!B5)),0)</f>
        <v>0</v>
      </c>
    </row>
    <row r="20" spans="1:13" ht="24.95" customHeight="1">
      <c r="A20" s="7" t="s">
        <v>97</v>
      </c>
      <c r="B20" s="8" t="s">
        <v>78</v>
      </c>
      <c r="C20" s="8">
        <v>632</v>
      </c>
      <c r="D20" s="8">
        <v>660</v>
      </c>
      <c r="E20" s="8" t="s">
        <v>79</v>
      </c>
      <c r="F20" s="8">
        <v>28</v>
      </c>
      <c r="G20" s="8">
        <v>0</v>
      </c>
      <c r="H20" s="7">
        <f t="shared" si="0"/>
        <v>0</v>
      </c>
      <c r="I20" s="7">
        <f>IF(B20=Queue_Intervals!A2,MAX(0,MIN(D20,Queue_Intervals!C2)-MAX(C20+90,Queue_Intervals!B2)),0)+IF(B20=Queue_Intervals!A3,MAX(0,MIN(D20,Queue_Intervals!C3)-MAX(C20+90,Queue_Intervals!B3)),0)+IF(B20=Queue_Intervals!A4,MAX(0,MIN(D20,Queue_Intervals!C4)-MAX(C20+90,Queue_Intervals!B4)),0)+IF(B20=Queue_Intervals!A5,MAX(0,MIN(D20,Queue_Intervals!C5)-MAX(C20+90,Queue_Intervals!B5)),0)</f>
        <v>0</v>
      </c>
      <c r="J20" s="7">
        <f t="shared" si="1"/>
        <v>0</v>
      </c>
      <c r="K20" s="7">
        <f>IF(B20=Queue_Intervals!A2,MAX(0,MIN(D20,Queue_Intervals!C2)-MAX(C20+120,Queue_Intervals!B2)),0)+IF(B20=Queue_Intervals!A3,MAX(0,MIN(D20,Queue_Intervals!C3)-MAX(C20+120,Queue_Intervals!B3)),0)+IF(B20=Queue_Intervals!A4,MAX(0,MIN(D20,Queue_Intervals!C4)-MAX(C20+120,Queue_Intervals!B4)),0)+IF(B20=Queue_Intervals!A5,MAX(0,MIN(D20,Queue_Intervals!C5)-MAX(C20+120,Queue_Intervals!B5)),0)</f>
        <v>0</v>
      </c>
      <c r="L20" s="7">
        <f t="shared" si="2"/>
        <v>0</v>
      </c>
      <c r="M20" s="7">
        <f>IF(B20=Queue_Intervals!A2,MAX(0,MIN(D20,Queue_Intervals!C2)-MAX(C20+150,Queue_Intervals!B2)),0)+IF(B20=Queue_Intervals!A3,MAX(0,MIN(D20,Queue_Intervals!C3)-MAX(C20+150,Queue_Intervals!B3)),0)+IF(B20=Queue_Intervals!A4,MAX(0,MIN(D20,Queue_Intervals!C4)-MAX(C20+150,Queue_Intervals!B4)),0)+IF(B20=Queue_Intervals!A5,MAX(0,MIN(D20,Queue_Intervals!C5)-MAX(C20+150,Queue_Intervals!B5)),0)</f>
        <v>0</v>
      </c>
    </row>
    <row r="21" spans="1:13" ht="24.95" customHeight="1">
      <c r="A21" s="7" t="s">
        <v>98</v>
      </c>
      <c r="B21" s="8" t="s">
        <v>78</v>
      </c>
      <c r="C21" s="8">
        <v>635</v>
      </c>
      <c r="D21" s="8">
        <v>680</v>
      </c>
      <c r="E21" s="8" t="s">
        <v>79</v>
      </c>
      <c r="F21" s="8">
        <v>45</v>
      </c>
      <c r="G21" s="8">
        <v>0</v>
      </c>
      <c r="H21" s="7">
        <f t="shared" si="0"/>
        <v>0</v>
      </c>
      <c r="I21" s="7">
        <f>IF(B21=Queue_Intervals!A2,MAX(0,MIN(D21,Queue_Intervals!C2)-MAX(C21+90,Queue_Intervals!B2)),0)+IF(B21=Queue_Intervals!A3,MAX(0,MIN(D21,Queue_Intervals!C3)-MAX(C21+90,Queue_Intervals!B3)),0)+IF(B21=Queue_Intervals!A4,MAX(0,MIN(D21,Queue_Intervals!C4)-MAX(C21+90,Queue_Intervals!B4)),0)+IF(B21=Queue_Intervals!A5,MAX(0,MIN(D21,Queue_Intervals!C5)-MAX(C21+90,Queue_Intervals!B5)),0)</f>
        <v>0</v>
      </c>
      <c r="J21" s="7">
        <f t="shared" si="1"/>
        <v>0</v>
      </c>
      <c r="K21" s="7">
        <f>IF(B21=Queue_Intervals!A2,MAX(0,MIN(D21,Queue_Intervals!C2)-MAX(C21+120,Queue_Intervals!B2)),0)+IF(B21=Queue_Intervals!A3,MAX(0,MIN(D21,Queue_Intervals!C3)-MAX(C21+120,Queue_Intervals!B3)),0)+IF(B21=Queue_Intervals!A4,MAX(0,MIN(D21,Queue_Intervals!C4)-MAX(C21+120,Queue_Intervals!B4)),0)+IF(B21=Queue_Intervals!A5,MAX(0,MIN(D21,Queue_Intervals!C5)-MAX(C21+120,Queue_Intervals!B5)),0)</f>
        <v>0</v>
      </c>
      <c r="L21" s="7">
        <f t="shared" si="2"/>
        <v>0</v>
      </c>
      <c r="M21" s="7">
        <f>IF(B21=Queue_Intervals!A2,MAX(0,MIN(D21,Queue_Intervals!C2)-MAX(C21+150,Queue_Intervals!B2)),0)+IF(B21=Queue_Intervals!A3,MAX(0,MIN(D21,Queue_Intervals!C3)-MAX(C21+150,Queue_Intervals!B3)),0)+IF(B21=Queue_Intervals!A4,MAX(0,MIN(D21,Queue_Intervals!C4)-MAX(C21+150,Queue_Intervals!B4)),0)+IF(B21=Queue_Intervals!A5,MAX(0,MIN(D21,Queue_Intervals!C5)-MAX(C21+150,Queue_Intervals!B5)),0)</f>
        <v>0</v>
      </c>
    </row>
    <row r="22" spans="1:13" ht="24.95" customHeight="1">
      <c r="A22" s="7" t="s">
        <v>99</v>
      </c>
      <c r="B22" s="8" t="s">
        <v>78</v>
      </c>
      <c r="C22" s="8">
        <v>653</v>
      </c>
      <c r="D22" s="8">
        <v>717</v>
      </c>
      <c r="E22" s="8" t="s">
        <v>79</v>
      </c>
      <c r="F22" s="8">
        <v>64</v>
      </c>
      <c r="G22" s="8">
        <v>0</v>
      </c>
      <c r="H22" s="7">
        <f t="shared" si="0"/>
        <v>0</v>
      </c>
      <c r="I22" s="7">
        <f>IF(B22=Queue_Intervals!A2,MAX(0,MIN(D22,Queue_Intervals!C2)-MAX(C22+90,Queue_Intervals!B2)),0)+IF(B22=Queue_Intervals!A3,MAX(0,MIN(D22,Queue_Intervals!C3)-MAX(C22+90,Queue_Intervals!B3)),0)+IF(B22=Queue_Intervals!A4,MAX(0,MIN(D22,Queue_Intervals!C4)-MAX(C22+90,Queue_Intervals!B4)),0)+IF(B22=Queue_Intervals!A5,MAX(0,MIN(D22,Queue_Intervals!C5)-MAX(C22+90,Queue_Intervals!B5)),0)</f>
        <v>0</v>
      </c>
      <c r="J22" s="7">
        <f t="shared" si="1"/>
        <v>0</v>
      </c>
      <c r="K22" s="7">
        <f>IF(B22=Queue_Intervals!A2,MAX(0,MIN(D22,Queue_Intervals!C2)-MAX(C22+120,Queue_Intervals!B2)),0)+IF(B22=Queue_Intervals!A3,MAX(0,MIN(D22,Queue_Intervals!C3)-MAX(C22+120,Queue_Intervals!B3)),0)+IF(B22=Queue_Intervals!A4,MAX(0,MIN(D22,Queue_Intervals!C4)-MAX(C22+120,Queue_Intervals!B4)),0)+IF(B22=Queue_Intervals!A5,MAX(0,MIN(D22,Queue_Intervals!C5)-MAX(C22+120,Queue_Intervals!B5)),0)</f>
        <v>0</v>
      </c>
      <c r="L22" s="7">
        <f t="shared" si="2"/>
        <v>0</v>
      </c>
      <c r="M22" s="7">
        <f>IF(B22=Queue_Intervals!A2,MAX(0,MIN(D22,Queue_Intervals!C2)-MAX(C22+150,Queue_Intervals!B2)),0)+IF(B22=Queue_Intervals!A3,MAX(0,MIN(D22,Queue_Intervals!C3)-MAX(C22+150,Queue_Intervals!B3)),0)+IF(B22=Queue_Intervals!A4,MAX(0,MIN(D22,Queue_Intervals!C4)-MAX(C22+150,Queue_Intervals!B4)),0)+IF(B22=Queue_Intervals!A5,MAX(0,MIN(D22,Queue_Intervals!C5)-MAX(C22+150,Queue_Intervals!B5)),0)</f>
        <v>0</v>
      </c>
    </row>
    <row r="23" spans="1:13" ht="24.95" customHeight="1">
      <c r="A23" s="7" t="s">
        <v>100</v>
      </c>
      <c r="B23" s="8" t="s">
        <v>78</v>
      </c>
      <c r="C23" s="8">
        <v>658</v>
      </c>
      <c r="D23" s="8">
        <v>717</v>
      </c>
      <c r="E23" s="8" t="s">
        <v>79</v>
      </c>
      <c r="F23" s="8">
        <v>59</v>
      </c>
      <c r="G23" s="8">
        <v>0</v>
      </c>
      <c r="H23" s="7">
        <f t="shared" si="0"/>
        <v>0</v>
      </c>
      <c r="I23" s="7">
        <f>IF(B23=Queue_Intervals!A2,MAX(0,MIN(D23,Queue_Intervals!C2)-MAX(C23+90,Queue_Intervals!B2)),0)+IF(B23=Queue_Intervals!A3,MAX(0,MIN(D23,Queue_Intervals!C3)-MAX(C23+90,Queue_Intervals!B3)),0)+IF(B23=Queue_Intervals!A4,MAX(0,MIN(D23,Queue_Intervals!C4)-MAX(C23+90,Queue_Intervals!B4)),0)+IF(B23=Queue_Intervals!A5,MAX(0,MIN(D23,Queue_Intervals!C5)-MAX(C23+90,Queue_Intervals!B5)),0)</f>
        <v>0</v>
      </c>
      <c r="J23" s="7">
        <f t="shared" si="1"/>
        <v>0</v>
      </c>
      <c r="K23" s="7">
        <f>IF(B23=Queue_Intervals!A2,MAX(0,MIN(D23,Queue_Intervals!C2)-MAX(C23+120,Queue_Intervals!B2)),0)+IF(B23=Queue_Intervals!A3,MAX(0,MIN(D23,Queue_Intervals!C3)-MAX(C23+120,Queue_Intervals!B3)),0)+IF(B23=Queue_Intervals!A4,MAX(0,MIN(D23,Queue_Intervals!C4)-MAX(C23+120,Queue_Intervals!B4)),0)+IF(B23=Queue_Intervals!A5,MAX(0,MIN(D23,Queue_Intervals!C5)-MAX(C23+120,Queue_Intervals!B5)),0)</f>
        <v>0</v>
      </c>
      <c r="L23" s="7">
        <f t="shared" si="2"/>
        <v>0</v>
      </c>
      <c r="M23" s="7">
        <f>IF(B23=Queue_Intervals!A2,MAX(0,MIN(D23,Queue_Intervals!C2)-MAX(C23+150,Queue_Intervals!B2)),0)+IF(B23=Queue_Intervals!A3,MAX(0,MIN(D23,Queue_Intervals!C3)-MAX(C23+150,Queue_Intervals!B3)),0)+IF(B23=Queue_Intervals!A4,MAX(0,MIN(D23,Queue_Intervals!C4)-MAX(C23+150,Queue_Intervals!B4)),0)+IF(B23=Queue_Intervals!A5,MAX(0,MIN(D23,Queue_Intervals!C5)-MAX(C23+150,Queue_Intervals!B5)),0)</f>
        <v>0</v>
      </c>
    </row>
    <row r="24" spans="1:13" ht="24.95" customHeight="1">
      <c r="A24" s="7" t="s">
        <v>101</v>
      </c>
      <c r="B24" s="8" t="s">
        <v>78</v>
      </c>
      <c r="C24" s="8">
        <v>660</v>
      </c>
      <c r="D24" s="8">
        <v>723</v>
      </c>
      <c r="E24" s="8" t="s">
        <v>79</v>
      </c>
      <c r="F24" s="8">
        <v>63</v>
      </c>
      <c r="G24" s="8">
        <v>0</v>
      </c>
      <c r="H24" s="7">
        <f t="shared" si="0"/>
        <v>0</v>
      </c>
      <c r="I24" s="7">
        <f>IF(B24=Queue_Intervals!A2,MAX(0,MIN(D24,Queue_Intervals!C2)-MAX(C24+90,Queue_Intervals!B2)),0)+IF(B24=Queue_Intervals!A3,MAX(0,MIN(D24,Queue_Intervals!C3)-MAX(C24+90,Queue_Intervals!B3)),0)+IF(B24=Queue_Intervals!A4,MAX(0,MIN(D24,Queue_Intervals!C4)-MAX(C24+90,Queue_Intervals!B4)),0)+IF(B24=Queue_Intervals!A5,MAX(0,MIN(D24,Queue_Intervals!C5)-MAX(C24+90,Queue_Intervals!B5)),0)</f>
        <v>0</v>
      </c>
      <c r="J24" s="7">
        <f t="shared" si="1"/>
        <v>0</v>
      </c>
      <c r="K24" s="7">
        <f>IF(B24=Queue_Intervals!A2,MAX(0,MIN(D24,Queue_Intervals!C2)-MAX(C24+120,Queue_Intervals!B2)),0)+IF(B24=Queue_Intervals!A3,MAX(0,MIN(D24,Queue_Intervals!C3)-MAX(C24+120,Queue_Intervals!B3)),0)+IF(B24=Queue_Intervals!A4,MAX(0,MIN(D24,Queue_Intervals!C4)-MAX(C24+120,Queue_Intervals!B4)),0)+IF(B24=Queue_Intervals!A5,MAX(0,MIN(D24,Queue_Intervals!C5)-MAX(C24+120,Queue_Intervals!B5)),0)</f>
        <v>0</v>
      </c>
      <c r="L24" s="7">
        <f t="shared" si="2"/>
        <v>0</v>
      </c>
      <c r="M24" s="7">
        <f>IF(B24=Queue_Intervals!A2,MAX(0,MIN(D24,Queue_Intervals!C2)-MAX(C24+150,Queue_Intervals!B2)),0)+IF(B24=Queue_Intervals!A3,MAX(0,MIN(D24,Queue_Intervals!C3)-MAX(C24+150,Queue_Intervals!B3)),0)+IF(B24=Queue_Intervals!A4,MAX(0,MIN(D24,Queue_Intervals!C4)-MAX(C24+150,Queue_Intervals!B4)),0)+IF(B24=Queue_Intervals!A5,MAX(0,MIN(D24,Queue_Intervals!C5)-MAX(C24+150,Queue_Intervals!B5)),0)</f>
        <v>0</v>
      </c>
    </row>
    <row r="25" spans="1:13" ht="24.95" customHeight="1">
      <c r="A25" s="7" t="s">
        <v>102</v>
      </c>
      <c r="B25" s="8" t="s">
        <v>78</v>
      </c>
      <c r="C25" s="8">
        <v>660</v>
      </c>
      <c r="D25" s="8">
        <v>705</v>
      </c>
      <c r="E25" s="8" t="s">
        <v>79</v>
      </c>
      <c r="F25" s="8">
        <v>45</v>
      </c>
      <c r="G25" s="8">
        <v>0</v>
      </c>
      <c r="H25" s="7">
        <f t="shared" si="0"/>
        <v>0</v>
      </c>
      <c r="I25" s="7">
        <f>IF(B25=Queue_Intervals!A2,MAX(0,MIN(D25,Queue_Intervals!C2)-MAX(C25+90,Queue_Intervals!B2)),0)+IF(B25=Queue_Intervals!A3,MAX(0,MIN(D25,Queue_Intervals!C3)-MAX(C25+90,Queue_Intervals!B3)),0)+IF(B25=Queue_Intervals!A4,MAX(0,MIN(D25,Queue_Intervals!C4)-MAX(C25+90,Queue_Intervals!B4)),0)+IF(B25=Queue_Intervals!A5,MAX(0,MIN(D25,Queue_Intervals!C5)-MAX(C25+90,Queue_Intervals!B5)),0)</f>
        <v>0</v>
      </c>
      <c r="J25" s="7">
        <f t="shared" si="1"/>
        <v>0</v>
      </c>
      <c r="K25" s="7">
        <f>IF(B25=Queue_Intervals!A2,MAX(0,MIN(D25,Queue_Intervals!C2)-MAX(C25+120,Queue_Intervals!B2)),0)+IF(B25=Queue_Intervals!A3,MAX(0,MIN(D25,Queue_Intervals!C3)-MAX(C25+120,Queue_Intervals!B3)),0)+IF(B25=Queue_Intervals!A4,MAX(0,MIN(D25,Queue_Intervals!C4)-MAX(C25+120,Queue_Intervals!B4)),0)+IF(B25=Queue_Intervals!A5,MAX(0,MIN(D25,Queue_Intervals!C5)-MAX(C25+120,Queue_Intervals!B5)),0)</f>
        <v>0</v>
      </c>
      <c r="L25" s="7">
        <f t="shared" si="2"/>
        <v>0</v>
      </c>
      <c r="M25" s="7">
        <f>IF(B25=Queue_Intervals!A2,MAX(0,MIN(D25,Queue_Intervals!C2)-MAX(C25+150,Queue_Intervals!B2)),0)+IF(B25=Queue_Intervals!A3,MAX(0,MIN(D25,Queue_Intervals!C3)-MAX(C25+150,Queue_Intervals!B3)),0)+IF(B25=Queue_Intervals!A4,MAX(0,MIN(D25,Queue_Intervals!C4)-MAX(C25+150,Queue_Intervals!B4)),0)+IF(B25=Queue_Intervals!A5,MAX(0,MIN(D25,Queue_Intervals!C5)-MAX(C25+150,Queue_Intervals!B5)),0)</f>
        <v>0</v>
      </c>
    </row>
    <row r="26" spans="1:13" ht="24.95" customHeight="1">
      <c r="A26" s="7" t="s">
        <v>103</v>
      </c>
      <c r="B26" s="8" t="s">
        <v>78</v>
      </c>
      <c r="C26" s="8">
        <v>676</v>
      </c>
      <c r="D26" s="8">
        <v>720</v>
      </c>
      <c r="E26" s="8" t="s">
        <v>79</v>
      </c>
      <c r="F26" s="8">
        <v>44</v>
      </c>
      <c r="G26" s="8">
        <v>0</v>
      </c>
      <c r="H26" s="7">
        <f t="shared" si="0"/>
        <v>0</v>
      </c>
      <c r="I26" s="7">
        <f>IF(B26=Queue_Intervals!A2,MAX(0,MIN(D26,Queue_Intervals!C2)-MAX(C26+90,Queue_Intervals!B2)),0)+IF(B26=Queue_Intervals!A3,MAX(0,MIN(D26,Queue_Intervals!C3)-MAX(C26+90,Queue_Intervals!B3)),0)+IF(B26=Queue_Intervals!A4,MAX(0,MIN(D26,Queue_Intervals!C4)-MAX(C26+90,Queue_Intervals!B4)),0)+IF(B26=Queue_Intervals!A5,MAX(0,MIN(D26,Queue_Intervals!C5)-MAX(C26+90,Queue_Intervals!B5)),0)</f>
        <v>0</v>
      </c>
      <c r="J26" s="7">
        <f t="shared" si="1"/>
        <v>0</v>
      </c>
      <c r="K26" s="7">
        <f>IF(B26=Queue_Intervals!A2,MAX(0,MIN(D26,Queue_Intervals!C2)-MAX(C26+120,Queue_Intervals!B2)),0)+IF(B26=Queue_Intervals!A3,MAX(0,MIN(D26,Queue_Intervals!C3)-MAX(C26+120,Queue_Intervals!B3)),0)+IF(B26=Queue_Intervals!A4,MAX(0,MIN(D26,Queue_Intervals!C4)-MAX(C26+120,Queue_Intervals!B4)),0)+IF(B26=Queue_Intervals!A5,MAX(0,MIN(D26,Queue_Intervals!C5)-MAX(C26+120,Queue_Intervals!B5)),0)</f>
        <v>0</v>
      </c>
      <c r="L26" s="7">
        <f t="shared" si="2"/>
        <v>0</v>
      </c>
      <c r="M26" s="7">
        <f>IF(B26=Queue_Intervals!A2,MAX(0,MIN(D26,Queue_Intervals!C2)-MAX(C26+150,Queue_Intervals!B2)),0)+IF(B26=Queue_Intervals!A3,MAX(0,MIN(D26,Queue_Intervals!C3)-MAX(C26+150,Queue_Intervals!B3)),0)+IF(B26=Queue_Intervals!A4,MAX(0,MIN(D26,Queue_Intervals!C4)-MAX(C26+150,Queue_Intervals!B4)),0)+IF(B26=Queue_Intervals!A5,MAX(0,MIN(D26,Queue_Intervals!C5)-MAX(C26+150,Queue_Intervals!B5)),0)</f>
        <v>0</v>
      </c>
    </row>
    <row r="27" spans="1:13" ht="24.95" customHeight="1">
      <c r="A27" s="7" t="s">
        <v>104</v>
      </c>
      <c r="B27" s="8" t="s">
        <v>105</v>
      </c>
      <c r="C27" s="8">
        <v>389</v>
      </c>
      <c r="D27" s="8">
        <v>614</v>
      </c>
      <c r="E27" s="8" t="s">
        <v>79</v>
      </c>
      <c r="F27" s="8">
        <v>225</v>
      </c>
      <c r="G27" s="8">
        <v>1</v>
      </c>
      <c r="H27" s="7">
        <f t="shared" si="0"/>
        <v>135</v>
      </c>
      <c r="I27" s="7">
        <f>IF(B27=Queue_Intervals!A2,MAX(0,MIN(D27,Queue_Intervals!C2)-MAX(C27+90,Queue_Intervals!B2)),0)+IF(B27=Queue_Intervals!A3,MAX(0,MIN(D27,Queue_Intervals!C3)-MAX(C27+90,Queue_Intervals!B3)),0)+IF(B27=Queue_Intervals!A4,MAX(0,MIN(D27,Queue_Intervals!C4)-MAX(C27+90,Queue_Intervals!B4)),0)+IF(B27=Queue_Intervals!A5,MAX(0,MIN(D27,Queue_Intervals!C5)-MAX(C27+90,Queue_Intervals!B5)),0)</f>
        <v>81</v>
      </c>
      <c r="J27" s="7">
        <f t="shared" si="1"/>
        <v>105</v>
      </c>
      <c r="K27" s="7">
        <f>IF(B27=Queue_Intervals!A2,MAX(0,MIN(D27,Queue_Intervals!C2)-MAX(C27+120,Queue_Intervals!B2)),0)+IF(B27=Queue_Intervals!A3,MAX(0,MIN(D27,Queue_Intervals!C3)-MAX(C27+120,Queue_Intervals!B3)),0)+IF(B27=Queue_Intervals!A4,MAX(0,MIN(D27,Queue_Intervals!C4)-MAX(C27+120,Queue_Intervals!B4)),0)+IF(B27=Queue_Intervals!A5,MAX(0,MIN(D27,Queue_Intervals!C5)-MAX(C27+120,Queue_Intervals!B5)),0)</f>
        <v>77</v>
      </c>
      <c r="L27" s="7">
        <f t="shared" si="2"/>
        <v>75</v>
      </c>
      <c r="M27" s="7">
        <f>IF(B27=Queue_Intervals!A2,MAX(0,MIN(D27,Queue_Intervals!C2)-MAX(C27+150,Queue_Intervals!B2)),0)+IF(B27=Queue_Intervals!A3,MAX(0,MIN(D27,Queue_Intervals!C3)-MAX(C27+150,Queue_Intervals!B3)),0)+IF(B27=Queue_Intervals!A4,MAX(0,MIN(D27,Queue_Intervals!C4)-MAX(C27+150,Queue_Intervals!B4)),0)+IF(B27=Queue_Intervals!A5,MAX(0,MIN(D27,Queue_Intervals!C5)-MAX(C27+150,Queue_Intervals!B5)),0)</f>
        <v>55</v>
      </c>
    </row>
    <row r="28" spans="1:13" ht="24.95" customHeight="1">
      <c r="A28" s="7" t="s">
        <v>106</v>
      </c>
      <c r="B28" s="8" t="s">
        <v>105</v>
      </c>
      <c r="C28" s="8">
        <v>392</v>
      </c>
      <c r="D28" s="8">
        <v>482</v>
      </c>
      <c r="E28" s="8" t="s">
        <v>79</v>
      </c>
      <c r="F28" s="8">
        <v>90</v>
      </c>
      <c r="G28" s="8">
        <v>1</v>
      </c>
      <c r="H28" s="7">
        <f t="shared" si="0"/>
        <v>0</v>
      </c>
      <c r="I28" s="7">
        <f>IF(B28=Queue_Intervals!A2,MAX(0,MIN(D28,Queue_Intervals!C2)-MAX(C28+90,Queue_Intervals!B2)),0)+IF(B28=Queue_Intervals!A3,MAX(0,MIN(D28,Queue_Intervals!C3)-MAX(C28+90,Queue_Intervals!B3)),0)+IF(B28=Queue_Intervals!A4,MAX(0,MIN(D28,Queue_Intervals!C4)-MAX(C28+90,Queue_Intervals!B4)),0)+IF(B28=Queue_Intervals!A5,MAX(0,MIN(D28,Queue_Intervals!C5)-MAX(C28+90,Queue_Intervals!B5)),0)</f>
        <v>0</v>
      </c>
      <c r="J28" s="7">
        <f t="shared" si="1"/>
        <v>0</v>
      </c>
      <c r="K28" s="7">
        <f>IF(B28=Queue_Intervals!A2,MAX(0,MIN(D28,Queue_Intervals!C2)-MAX(C28+120,Queue_Intervals!B2)),0)+IF(B28=Queue_Intervals!A3,MAX(0,MIN(D28,Queue_Intervals!C3)-MAX(C28+120,Queue_Intervals!B3)),0)+IF(B28=Queue_Intervals!A4,MAX(0,MIN(D28,Queue_Intervals!C4)-MAX(C28+120,Queue_Intervals!B4)),0)+IF(B28=Queue_Intervals!A5,MAX(0,MIN(D28,Queue_Intervals!C5)-MAX(C28+120,Queue_Intervals!B5)),0)</f>
        <v>0</v>
      </c>
      <c r="L28" s="7">
        <f t="shared" si="2"/>
        <v>0</v>
      </c>
      <c r="M28" s="7">
        <f>IF(B28=Queue_Intervals!A2,MAX(0,MIN(D28,Queue_Intervals!C2)-MAX(C28+150,Queue_Intervals!B2)),0)+IF(B28=Queue_Intervals!A3,MAX(0,MIN(D28,Queue_Intervals!C3)-MAX(C28+150,Queue_Intervals!B3)),0)+IF(B28=Queue_Intervals!A4,MAX(0,MIN(D28,Queue_Intervals!C4)-MAX(C28+150,Queue_Intervals!B4)),0)+IF(B28=Queue_Intervals!A5,MAX(0,MIN(D28,Queue_Intervals!C5)-MAX(C28+150,Queue_Intervals!B5)),0)</f>
        <v>0</v>
      </c>
    </row>
    <row r="29" spans="1:13" ht="24.95" customHeight="1">
      <c r="A29" s="7" t="s">
        <v>107</v>
      </c>
      <c r="B29" s="8" t="s">
        <v>105</v>
      </c>
      <c r="C29" s="8">
        <v>393</v>
      </c>
      <c r="D29" s="8">
        <v>467</v>
      </c>
      <c r="E29" s="8" t="s">
        <v>79</v>
      </c>
      <c r="F29" s="8">
        <v>74</v>
      </c>
      <c r="G29" s="8">
        <v>1</v>
      </c>
      <c r="H29" s="7">
        <f t="shared" si="0"/>
        <v>0</v>
      </c>
      <c r="I29" s="7">
        <f>IF(B29=Queue_Intervals!A2,MAX(0,MIN(D29,Queue_Intervals!C2)-MAX(C29+90,Queue_Intervals!B2)),0)+IF(B29=Queue_Intervals!A3,MAX(0,MIN(D29,Queue_Intervals!C3)-MAX(C29+90,Queue_Intervals!B3)),0)+IF(B29=Queue_Intervals!A4,MAX(0,MIN(D29,Queue_Intervals!C4)-MAX(C29+90,Queue_Intervals!B4)),0)+IF(B29=Queue_Intervals!A5,MAX(0,MIN(D29,Queue_Intervals!C5)-MAX(C29+90,Queue_Intervals!B5)),0)</f>
        <v>0</v>
      </c>
      <c r="J29" s="7">
        <f t="shared" si="1"/>
        <v>0</v>
      </c>
      <c r="K29" s="7">
        <f>IF(B29=Queue_Intervals!A2,MAX(0,MIN(D29,Queue_Intervals!C2)-MAX(C29+120,Queue_Intervals!B2)),0)+IF(B29=Queue_Intervals!A3,MAX(0,MIN(D29,Queue_Intervals!C3)-MAX(C29+120,Queue_Intervals!B3)),0)+IF(B29=Queue_Intervals!A4,MAX(0,MIN(D29,Queue_Intervals!C4)-MAX(C29+120,Queue_Intervals!B4)),0)+IF(B29=Queue_Intervals!A5,MAX(0,MIN(D29,Queue_Intervals!C5)-MAX(C29+120,Queue_Intervals!B5)),0)</f>
        <v>0</v>
      </c>
      <c r="L29" s="7">
        <f t="shared" si="2"/>
        <v>0</v>
      </c>
      <c r="M29" s="7">
        <f>IF(B29=Queue_Intervals!A2,MAX(0,MIN(D29,Queue_Intervals!C2)-MAX(C29+150,Queue_Intervals!B2)),0)+IF(B29=Queue_Intervals!A3,MAX(0,MIN(D29,Queue_Intervals!C3)-MAX(C29+150,Queue_Intervals!B3)),0)+IF(B29=Queue_Intervals!A4,MAX(0,MIN(D29,Queue_Intervals!C4)-MAX(C29+150,Queue_Intervals!B4)),0)+IF(B29=Queue_Intervals!A5,MAX(0,MIN(D29,Queue_Intervals!C5)-MAX(C29+150,Queue_Intervals!B5)),0)</f>
        <v>0</v>
      </c>
    </row>
    <row r="30" spans="1:13" ht="24.95" customHeight="1">
      <c r="A30" s="7" t="s">
        <v>108</v>
      </c>
      <c r="B30" s="8" t="s">
        <v>105</v>
      </c>
      <c r="C30" s="8">
        <v>393</v>
      </c>
      <c r="D30" s="8">
        <v>489</v>
      </c>
      <c r="E30" s="8" t="s">
        <v>79</v>
      </c>
      <c r="F30" s="8">
        <v>96</v>
      </c>
      <c r="G30" s="8">
        <v>1</v>
      </c>
      <c r="H30" s="7">
        <f t="shared" si="0"/>
        <v>6</v>
      </c>
      <c r="I30" s="7">
        <f>IF(B30=Queue_Intervals!A2,MAX(0,MIN(D30,Queue_Intervals!C2)-MAX(C30+90,Queue_Intervals!B2)),0)+IF(B30=Queue_Intervals!A3,MAX(0,MIN(D30,Queue_Intervals!C3)-MAX(C30+90,Queue_Intervals!B3)),0)+IF(B30=Queue_Intervals!A4,MAX(0,MIN(D30,Queue_Intervals!C4)-MAX(C30+90,Queue_Intervals!B4)),0)+IF(B30=Queue_Intervals!A5,MAX(0,MIN(D30,Queue_Intervals!C5)-MAX(C30+90,Queue_Intervals!B5)),0)</f>
        <v>0</v>
      </c>
      <c r="J30" s="7">
        <f t="shared" si="1"/>
        <v>0</v>
      </c>
      <c r="K30" s="7">
        <f>IF(B30=Queue_Intervals!A2,MAX(0,MIN(D30,Queue_Intervals!C2)-MAX(C30+120,Queue_Intervals!B2)),0)+IF(B30=Queue_Intervals!A3,MAX(0,MIN(D30,Queue_Intervals!C3)-MAX(C30+120,Queue_Intervals!B3)),0)+IF(B30=Queue_Intervals!A4,MAX(0,MIN(D30,Queue_Intervals!C4)-MAX(C30+120,Queue_Intervals!B4)),0)+IF(B30=Queue_Intervals!A5,MAX(0,MIN(D30,Queue_Intervals!C5)-MAX(C30+120,Queue_Intervals!B5)),0)</f>
        <v>0</v>
      </c>
      <c r="L30" s="7">
        <f t="shared" si="2"/>
        <v>0</v>
      </c>
      <c r="M30" s="7">
        <f>IF(B30=Queue_Intervals!A2,MAX(0,MIN(D30,Queue_Intervals!C2)-MAX(C30+150,Queue_Intervals!B2)),0)+IF(B30=Queue_Intervals!A3,MAX(0,MIN(D30,Queue_Intervals!C3)-MAX(C30+150,Queue_Intervals!B3)),0)+IF(B30=Queue_Intervals!A4,MAX(0,MIN(D30,Queue_Intervals!C4)-MAX(C30+150,Queue_Intervals!B4)),0)+IF(B30=Queue_Intervals!A5,MAX(0,MIN(D30,Queue_Intervals!C5)-MAX(C30+150,Queue_Intervals!B5)),0)</f>
        <v>0</v>
      </c>
    </row>
    <row r="31" spans="1:13" ht="24.95" customHeight="1">
      <c r="A31" s="7" t="s">
        <v>109</v>
      </c>
      <c r="B31" s="8" t="s">
        <v>105</v>
      </c>
      <c r="C31" s="8">
        <v>396</v>
      </c>
      <c r="D31" s="8">
        <v>465</v>
      </c>
      <c r="E31" s="8" t="s">
        <v>79</v>
      </c>
      <c r="F31" s="8">
        <v>69</v>
      </c>
      <c r="G31" s="8">
        <v>1</v>
      </c>
      <c r="H31" s="7">
        <f t="shared" si="0"/>
        <v>0</v>
      </c>
      <c r="I31" s="7">
        <f>IF(B31=Queue_Intervals!A2,MAX(0,MIN(D31,Queue_Intervals!C2)-MAX(C31+90,Queue_Intervals!B2)),0)+IF(B31=Queue_Intervals!A3,MAX(0,MIN(D31,Queue_Intervals!C3)-MAX(C31+90,Queue_Intervals!B3)),0)+IF(B31=Queue_Intervals!A4,MAX(0,MIN(D31,Queue_Intervals!C4)-MAX(C31+90,Queue_Intervals!B4)),0)+IF(B31=Queue_Intervals!A5,MAX(0,MIN(D31,Queue_Intervals!C5)-MAX(C31+90,Queue_Intervals!B5)),0)</f>
        <v>0</v>
      </c>
      <c r="J31" s="7">
        <f t="shared" si="1"/>
        <v>0</v>
      </c>
      <c r="K31" s="7">
        <f>IF(B31=Queue_Intervals!A2,MAX(0,MIN(D31,Queue_Intervals!C2)-MAX(C31+120,Queue_Intervals!B2)),0)+IF(B31=Queue_Intervals!A3,MAX(0,MIN(D31,Queue_Intervals!C3)-MAX(C31+120,Queue_Intervals!B3)),0)+IF(B31=Queue_Intervals!A4,MAX(0,MIN(D31,Queue_Intervals!C4)-MAX(C31+120,Queue_Intervals!B4)),0)+IF(B31=Queue_Intervals!A5,MAX(0,MIN(D31,Queue_Intervals!C5)-MAX(C31+120,Queue_Intervals!B5)),0)</f>
        <v>0</v>
      </c>
      <c r="L31" s="7">
        <f t="shared" si="2"/>
        <v>0</v>
      </c>
      <c r="M31" s="7">
        <f>IF(B31=Queue_Intervals!A2,MAX(0,MIN(D31,Queue_Intervals!C2)-MAX(C31+150,Queue_Intervals!B2)),0)+IF(B31=Queue_Intervals!A3,MAX(0,MIN(D31,Queue_Intervals!C3)-MAX(C31+150,Queue_Intervals!B3)),0)+IF(B31=Queue_Intervals!A4,MAX(0,MIN(D31,Queue_Intervals!C4)-MAX(C31+150,Queue_Intervals!B4)),0)+IF(B31=Queue_Intervals!A5,MAX(0,MIN(D31,Queue_Intervals!C5)-MAX(C31+150,Queue_Intervals!B5)),0)</f>
        <v>0</v>
      </c>
    </row>
    <row r="32" spans="1:13" ht="24.95" customHeight="1">
      <c r="A32" s="7" t="s">
        <v>110</v>
      </c>
      <c r="B32" s="8" t="s">
        <v>105</v>
      </c>
      <c r="C32" s="8">
        <v>404</v>
      </c>
      <c r="D32" s="8">
        <v>436</v>
      </c>
      <c r="E32" s="8" t="s">
        <v>79</v>
      </c>
      <c r="F32" s="8">
        <v>32</v>
      </c>
      <c r="G32" s="8">
        <v>1</v>
      </c>
      <c r="H32" s="7">
        <f t="shared" si="0"/>
        <v>0</v>
      </c>
      <c r="I32" s="7">
        <f>IF(B32=Queue_Intervals!A2,MAX(0,MIN(D32,Queue_Intervals!C2)-MAX(C32+90,Queue_Intervals!B2)),0)+IF(B32=Queue_Intervals!A3,MAX(0,MIN(D32,Queue_Intervals!C3)-MAX(C32+90,Queue_Intervals!B3)),0)+IF(B32=Queue_Intervals!A4,MAX(0,MIN(D32,Queue_Intervals!C4)-MAX(C32+90,Queue_Intervals!B4)),0)+IF(B32=Queue_Intervals!A5,MAX(0,MIN(D32,Queue_Intervals!C5)-MAX(C32+90,Queue_Intervals!B5)),0)</f>
        <v>0</v>
      </c>
      <c r="J32" s="7">
        <f t="shared" si="1"/>
        <v>0</v>
      </c>
      <c r="K32" s="7">
        <f>IF(B32=Queue_Intervals!A2,MAX(0,MIN(D32,Queue_Intervals!C2)-MAX(C32+120,Queue_Intervals!B2)),0)+IF(B32=Queue_Intervals!A3,MAX(0,MIN(D32,Queue_Intervals!C3)-MAX(C32+120,Queue_Intervals!B3)),0)+IF(B32=Queue_Intervals!A4,MAX(0,MIN(D32,Queue_Intervals!C4)-MAX(C32+120,Queue_Intervals!B4)),0)+IF(B32=Queue_Intervals!A5,MAX(0,MIN(D32,Queue_Intervals!C5)-MAX(C32+120,Queue_Intervals!B5)),0)</f>
        <v>0</v>
      </c>
      <c r="L32" s="7">
        <f t="shared" si="2"/>
        <v>0</v>
      </c>
      <c r="M32" s="7">
        <f>IF(B32=Queue_Intervals!A2,MAX(0,MIN(D32,Queue_Intervals!C2)-MAX(C32+150,Queue_Intervals!B2)),0)+IF(B32=Queue_Intervals!A3,MAX(0,MIN(D32,Queue_Intervals!C3)-MAX(C32+150,Queue_Intervals!B3)),0)+IF(B32=Queue_Intervals!A4,MAX(0,MIN(D32,Queue_Intervals!C4)-MAX(C32+150,Queue_Intervals!B4)),0)+IF(B32=Queue_Intervals!A5,MAX(0,MIN(D32,Queue_Intervals!C5)-MAX(C32+150,Queue_Intervals!B5)),0)</f>
        <v>0</v>
      </c>
    </row>
    <row r="33" spans="1:13" ht="24.95" customHeight="1">
      <c r="A33" s="7" t="s">
        <v>111</v>
      </c>
      <c r="B33" s="8" t="s">
        <v>105</v>
      </c>
      <c r="C33" s="8">
        <v>404</v>
      </c>
      <c r="D33" s="8">
        <v>507</v>
      </c>
      <c r="E33" s="8" t="s">
        <v>79</v>
      </c>
      <c r="F33" s="8">
        <v>103</v>
      </c>
      <c r="G33" s="8">
        <v>1</v>
      </c>
      <c r="H33" s="7">
        <f t="shared" si="0"/>
        <v>13</v>
      </c>
      <c r="I33" s="7">
        <f>IF(B33=Queue_Intervals!A2,MAX(0,MIN(D33,Queue_Intervals!C2)-MAX(C33+90,Queue_Intervals!B2)),0)+IF(B33=Queue_Intervals!A3,MAX(0,MIN(D33,Queue_Intervals!C3)-MAX(C33+90,Queue_Intervals!B3)),0)+IF(B33=Queue_Intervals!A4,MAX(0,MIN(D33,Queue_Intervals!C4)-MAX(C33+90,Queue_Intervals!B4)),0)+IF(B33=Queue_Intervals!A5,MAX(0,MIN(D33,Queue_Intervals!C5)-MAX(C33+90,Queue_Intervals!B5)),0)</f>
        <v>2</v>
      </c>
      <c r="J33" s="7">
        <f t="shared" si="1"/>
        <v>0</v>
      </c>
      <c r="K33" s="7">
        <f>IF(B33=Queue_Intervals!A2,MAX(0,MIN(D33,Queue_Intervals!C2)-MAX(C33+120,Queue_Intervals!B2)),0)+IF(B33=Queue_Intervals!A3,MAX(0,MIN(D33,Queue_Intervals!C3)-MAX(C33+120,Queue_Intervals!B3)),0)+IF(B33=Queue_Intervals!A4,MAX(0,MIN(D33,Queue_Intervals!C4)-MAX(C33+120,Queue_Intervals!B4)),0)+IF(B33=Queue_Intervals!A5,MAX(0,MIN(D33,Queue_Intervals!C5)-MAX(C33+120,Queue_Intervals!B5)),0)</f>
        <v>0</v>
      </c>
      <c r="L33" s="7">
        <f t="shared" si="2"/>
        <v>0</v>
      </c>
      <c r="M33" s="7">
        <f>IF(B33=Queue_Intervals!A2,MAX(0,MIN(D33,Queue_Intervals!C2)-MAX(C33+150,Queue_Intervals!B2)),0)+IF(B33=Queue_Intervals!A3,MAX(0,MIN(D33,Queue_Intervals!C3)-MAX(C33+150,Queue_Intervals!B3)),0)+IF(B33=Queue_Intervals!A4,MAX(0,MIN(D33,Queue_Intervals!C4)-MAX(C33+150,Queue_Intervals!B4)),0)+IF(B33=Queue_Intervals!A5,MAX(0,MIN(D33,Queue_Intervals!C5)-MAX(C33+150,Queue_Intervals!B5)),0)</f>
        <v>0</v>
      </c>
    </row>
    <row r="34" spans="1:13" ht="24.95" customHeight="1">
      <c r="A34" s="7" t="s">
        <v>112</v>
      </c>
      <c r="B34" s="8" t="s">
        <v>105</v>
      </c>
      <c r="C34" s="8">
        <v>404</v>
      </c>
      <c r="D34" s="8">
        <v>468</v>
      </c>
      <c r="E34" s="8" t="s">
        <v>79</v>
      </c>
      <c r="F34" s="8">
        <v>64</v>
      </c>
      <c r="G34" s="8">
        <v>1</v>
      </c>
      <c r="H34" s="7">
        <f t="shared" ref="H34:H65" si="3">MAX(0,F34-90)</f>
        <v>0</v>
      </c>
      <c r="I34" s="7">
        <f>IF(B34=Queue_Intervals!A2,MAX(0,MIN(D34,Queue_Intervals!C2)-MAX(C34+90,Queue_Intervals!B2)),0)+IF(B34=Queue_Intervals!A3,MAX(0,MIN(D34,Queue_Intervals!C3)-MAX(C34+90,Queue_Intervals!B3)),0)+IF(B34=Queue_Intervals!A4,MAX(0,MIN(D34,Queue_Intervals!C4)-MAX(C34+90,Queue_Intervals!B4)),0)+IF(B34=Queue_Intervals!A5,MAX(0,MIN(D34,Queue_Intervals!C5)-MAX(C34+90,Queue_Intervals!B5)),0)</f>
        <v>0</v>
      </c>
      <c r="J34" s="7">
        <f t="shared" ref="J34:J65" si="4">MAX(0,F34-120)</f>
        <v>0</v>
      </c>
      <c r="K34" s="7">
        <f>IF(B34=Queue_Intervals!A2,MAX(0,MIN(D34,Queue_Intervals!C2)-MAX(C34+120,Queue_Intervals!B2)),0)+IF(B34=Queue_Intervals!A3,MAX(0,MIN(D34,Queue_Intervals!C3)-MAX(C34+120,Queue_Intervals!B3)),0)+IF(B34=Queue_Intervals!A4,MAX(0,MIN(D34,Queue_Intervals!C4)-MAX(C34+120,Queue_Intervals!B4)),0)+IF(B34=Queue_Intervals!A5,MAX(0,MIN(D34,Queue_Intervals!C5)-MAX(C34+120,Queue_Intervals!B5)),0)</f>
        <v>0</v>
      </c>
      <c r="L34" s="7">
        <f t="shared" ref="L34:L65" si="5">MAX(0,F34-150)</f>
        <v>0</v>
      </c>
      <c r="M34" s="7">
        <f>IF(B34=Queue_Intervals!A2,MAX(0,MIN(D34,Queue_Intervals!C2)-MAX(C34+150,Queue_Intervals!B2)),0)+IF(B34=Queue_Intervals!A3,MAX(0,MIN(D34,Queue_Intervals!C3)-MAX(C34+150,Queue_Intervals!B3)),0)+IF(B34=Queue_Intervals!A4,MAX(0,MIN(D34,Queue_Intervals!C4)-MAX(C34+150,Queue_Intervals!B4)),0)+IF(B34=Queue_Intervals!A5,MAX(0,MIN(D34,Queue_Intervals!C5)-MAX(C34+150,Queue_Intervals!B5)),0)</f>
        <v>0</v>
      </c>
    </row>
    <row r="35" spans="1:13" ht="24.95" customHeight="1">
      <c r="A35" s="7" t="s">
        <v>113</v>
      </c>
      <c r="B35" s="8" t="s">
        <v>105</v>
      </c>
      <c r="C35" s="8">
        <v>408</v>
      </c>
      <c r="D35" s="8">
        <v>470</v>
      </c>
      <c r="E35" s="8" t="s">
        <v>79</v>
      </c>
      <c r="F35" s="8">
        <v>62</v>
      </c>
      <c r="G35" s="8">
        <v>1</v>
      </c>
      <c r="H35" s="7">
        <f t="shared" si="3"/>
        <v>0</v>
      </c>
      <c r="I35" s="7">
        <f>IF(B35=Queue_Intervals!A2,MAX(0,MIN(D35,Queue_Intervals!C2)-MAX(C35+90,Queue_Intervals!B2)),0)+IF(B35=Queue_Intervals!A3,MAX(0,MIN(D35,Queue_Intervals!C3)-MAX(C35+90,Queue_Intervals!B3)),0)+IF(B35=Queue_Intervals!A4,MAX(0,MIN(D35,Queue_Intervals!C4)-MAX(C35+90,Queue_Intervals!B4)),0)+IF(B35=Queue_Intervals!A5,MAX(0,MIN(D35,Queue_Intervals!C5)-MAX(C35+90,Queue_Intervals!B5)),0)</f>
        <v>0</v>
      </c>
      <c r="J35" s="7">
        <f t="shared" si="4"/>
        <v>0</v>
      </c>
      <c r="K35" s="7">
        <f>IF(B35=Queue_Intervals!A2,MAX(0,MIN(D35,Queue_Intervals!C2)-MAX(C35+120,Queue_Intervals!B2)),0)+IF(B35=Queue_Intervals!A3,MAX(0,MIN(D35,Queue_Intervals!C3)-MAX(C35+120,Queue_Intervals!B3)),0)+IF(B35=Queue_Intervals!A4,MAX(0,MIN(D35,Queue_Intervals!C4)-MAX(C35+120,Queue_Intervals!B4)),0)+IF(B35=Queue_Intervals!A5,MAX(0,MIN(D35,Queue_Intervals!C5)-MAX(C35+120,Queue_Intervals!B5)),0)</f>
        <v>0</v>
      </c>
      <c r="L35" s="7">
        <f t="shared" si="5"/>
        <v>0</v>
      </c>
      <c r="M35" s="7">
        <f>IF(B35=Queue_Intervals!A2,MAX(0,MIN(D35,Queue_Intervals!C2)-MAX(C35+150,Queue_Intervals!B2)),0)+IF(B35=Queue_Intervals!A3,MAX(0,MIN(D35,Queue_Intervals!C3)-MAX(C35+150,Queue_Intervals!B3)),0)+IF(B35=Queue_Intervals!A4,MAX(0,MIN(D35,Queue_Intervals!C4)-MAX(C35+150,Queue_Intervals!B4)),0)+IF(B35=Queue_Intervals!A5,MAX(0,MIN(D35,Queue_Intervals!C5)-MAX(C35+150,Queue_Intervals!B5)),0)</f>
        <v>0</v>
      </c>
    </row>
    <row r="36" spans="1:13" ht="24.95" customHeight="1">
      <c r="A36" s="7" t="s">
        <v>114</v>
      </c>
      <c r="B36" s="8" t="s">
        <v>105</v>
      </c>
      <c r="C36" s="8">
        <v>437</v>
      </c>
      <c r="D36" s="8">
        <v>566</v>
      </c>
      <c r="E36" s="8" t="s">
        <v>79</v>
      </c>
      <c r="F36" s="8">
        <v>129</v>
      </c>
      <c r="G36" s="8">
        <v>1</v>
      </c>
      <c r="H36" s="7">
        <f t="shared" si="3"/>
        <v>39</v>
      </c>
      <c r="I36" s="7">
        <f>IF(B36=Queue_Intervals!A2,MAX(0,MIN(D36,Queue_Intervals!C2)-MAX(C36+90,Queue_Intervals!B2)),0)+IF(B36=Queue_Intervals!A3,MAX(0,MIN(D36,Queue_Intervals!C3)-MAX(C36+90,Queue_Intervals!B3)),0)+IF(B36=Queue_Intervals!A4,MAX(0,MIN(D36,Queue_Intervals!C4)-MAX(C36+90,Queue_Intervals!B4)),0)+IF(B36=Queue_Intervals!A5,MAX(0,MIN(D36,Queue_Intervals!C5)-MAX(C36+90,Queue_Intervals!B5)),0)</f>
        <v>31</v>
      </c>
      <c r="J36" s="7">
        <f t="shared" si="4"/>
        <v>9</v>
      </c>
      <c r="K36" s="7">
        <f>IF(B36=Queue_Intervals!A2,MAX(0,MIN(D36,Queue_Intervals!C2)-MAX(C36+120,Queue_Intervals!B2)),0)+IF(B36=Queue_Intervals!A3,MAX(0,MIN(D36,Queue_Intervals!C3)-MAX(C36+120,Queue_Intervals!B3)),0)+IF(B36=Queue_Intervals!A4,MAX(0,MIN(D36,Queue_Intervals!C4)-MAX(C36+120,Queue_Intervals!B4)),0)+IF(B36=Queue_Intervals!A5,MAX(0,MIN(D36,Queue_Intervals!C5)-MAX(C36+120,Queue_Intervals!B5)),0)</f>
        <v>9</v>
      </c>
      <c r="L36" s="7">
        <f t="shared" si="5"/>
        <v>0</v>
      </c>
      <c r="M36" s="7">
        <f>IF(B36=Queue_Intervals!A2,MAX(0,MIN(D36,Queue_Intervals!C2)-MAX(C36+150,Queue_Intervals!B2)),0)+IF(B36=Queue_Intervals!A3,MAX(0,MIN(D36,Queue_Intervals!C3)-MAX(C36+150,Queue_Intervals!B3)),0)+IF(B36=Queue_Intervals!A4,MAX(0,MIN(D36,Queue_Intervals!C4)-MAX(C36+150,Queue_Intervals!B4)),0)+IF(B36=Queue_Intervals!A5,MAX(0,MIN(D36,Queue_Intervals!C5)-MAX(C36+150,Queue_Intervals!B5)),0)</f>
        <v>0</v>
      </c>
    </row>
    <row r="37" spans="1:13" ht="24.95" customHeight="1">
      <c r="A37" s="7" t="s">
        <v>115</v>
      </c>
      <c r="B37" s="8" t="s">
        <v>105</v>
      </c>
      <c r="C37" s="8">
        <v>428</v>
      </c>
      <c r="D37" s="8">
        <v>470</v>
      </c>
      <c r="E37" s="8" t="s">
        <v>79</v>
      </c>
      <c r="F37" s="8">
        <v>42</v>
      </c>
      <c r="G37" s="8">
        <v>1</v>
      </c>
      <c r="H37" s="7">
        <f t="shared" si="3"/>
        <v>0</v>
      </c>
      <c r="I37" s="7">
        <f>IF(B37=Queue_Intervals!A2,MAX(0,MIN(D37,Queue_Intervals!C2)-MAX(C37+90,Queue_Intervals!B2)),0)+IF(B37=Queue_Intervals!A3,MAX(0,MIN(D37,Queue_Intervals!C3)-MAX(C37+90,Queue_Intervals!B3)),0)+IF(B37=Queue_Intervals!A4,MAX(0,MIN(D37,Queue_Intervals!C4)-MAX(C37+90,Queue_Intervals!B4)),0)+IF(B37=Queue_Intervals!A5,MAX(0,MIN(D37,Queue_Intervals!C5)-MAX(C37+90,Queue_Intervals!B5)),0)</f>
        <v>0</v>
      </c>
      <c r="J37" s="7">
        <f t="shared" si="4"/>
        <v>0</v>
      </c>
      <c r="K37" s="7">
        <f>IF(B37=Queue_Intervals!A2,MAX(0,MIN(D37,Queue_Intervals!C2)-MAX(C37+120,Queue_Intervals!B2)),0)+IF(B37=Queue_Intervals!A3,MAX(0,MIN(D37,Queue_Intervals!C3)-MAX(C37+120,Queue_Intervals!B3)),0)+IF(B37=Queue_Intervals!A4,MAX(0,MIN(D37,Queue_Intervals!C4)-MAX(C37+120,Queue_Intervals!B4)),0)+IF(B37=Queue_Intervals!A5,MAX(0,MIN(D37,Queue_Intervals!C5)-MAX(C37+120,Queue_Intervals!B5)),0)</f>
        <v>0</v>
      </c>
      <c r="L37" s="7">
        <f t="shared" si="5"/>
        <v>0</v>
      </c>
      <c r="M37" s="7">
        <f>IF(B37=Queue_Intervals!A2,MAX(0,MIN(D37,Queue_Intervals!C2)-MAX(C37+150,Queue_Intervals!B2)),0)+IF(B37=Queue_Intervals!A3,MAX(0,MIN(D37,Queue_Intervals!C3)-MAX(C37+150,Queue_Intervals!B3)),0)+IF(B37=Queue_Intervals!A4,MAX(0,MIN(D37,Queue_Intervals!C4)-MAX(C37+150,Queue_Intervals!B4)),0)+IF(B37=Queue_Intervals!A5,MAX(0,MIN(D37,Queue_Intervals!C5)-MAX(C37+150,Queue_Intervals!B5)),0)</f>
        <v>0</v>
      </c>
    </row>
    <row r="38" spans="1:13" ht="24.95" customHeight="1">
      <c r="A38" s="7" t="s">
        <v>116</v>
      </c>
      <c r="B38" s="8" t="s">
        <v>105</v>
      </c>
      <c r="C38" s="8">
        <v>446</v>
      </c>
      <c r="D38" s="8">
        <v>516</v>
      </c>
      <c r="E38" s="8" t="s">
        <v>79</v>
      </c>
      <c r="F38" s="8">
        <v>70</v>
      </c>
      <c r="G38" s="8">
        <v>1</v>
      </c>
      <c r="H38" s="7">
        <f t="shared" si="3"/>
        <v>0</v>
      </c>
      <c r="I38" s="7">
        <f>IF(B38=Queue_Intervals!A2,MAX(0,MIN(D38,Queue_Intervals!C2)-MAX(C38+90,Queue_Intervals!B2)),0)+IF(B38=Queue_Intervals!A3,MAX(0,MIN(D38,Queue_Intervals!C3)-MAX(C38+90,Queue_Intervals!B3)),0)+IF(B38=Queue_Intervals!A4,MAX(0,MIN(D38,Queue_Intervals!C4)-MAX(C38+90,Queue_Intervals!B4)),0)+IF(B38=Queue_Intervals!A5,MAX(0,MIN(D38,Queue_Intervals!C5)-MAX(C38+90,Queue_Intervals!B5)),0)</f>
        <v>0</v>
      </c>
      <c r="J38" s="7">
        <f t="shared" si="4"/>
        <v>0</v>
      </c>
      <c r="K38" s="7">
        <f>IF(B38=Queue_Intervals!A2,MAX(0,MIN(D38,Queue_Intervals!C2)-MAX(C38+120,Queue_Intervals!B2)),0)+IF(B38=Queue_Intervals!A3,MAX(0,MIN(D38,Queue_Intervals!C3)-MAX(C38+120,Queue_Intervals!B3)),0)+IF(B38=Queue_Intervals!A4,MAX(0,MIN(D38,Queue_Intervals!C4)-MAX(C38+120,Queue_Intervals!B4)),0)+IF(B38=Queue_Intervals!A5,MAX(0,MIN(D38,Queue_Intervals!C5)-MAX(C38+120,Queue_Intervals!B5)),0)</f>
        <v>0</v>
      </c>
      <c r="L38" s="7">
        <f t="shared" si="5"/>
        <v>0</v>
      </c>
      <c r="M38" s="7">
        <f>IF(B38=Queue_Intervals!A2,MAX(0,MIN(D38,Queue_Intervals!C2)-MAX(C38+150,Queue_Intervals!B2)),0)+IF(B38=Queue_Intervals!A3,MAX(0,MIN(D38,Queue_Intervals!C3)-MAX(C38+150,Queue_Intervals!B3)),0)+IF(B38=Queue_Intervals!A4,MAX(0,MIN(D38,Queue_Intervals!C4)-MAX(C38+150,Queue_Intervals!B4)),0)+IF(B38=Queue_Intervals!A5,MAX(0,MIN(D38,Queue_Intervals!C5)-MAX(C38+150,Queue_Intervals!B5)),0)</f>
        <v>0</v>
      </c>
    </row>
    <row r="39" spans="1:13" ht="24.95" customHeight="1">
      <c r="A39" s="7" t="s">
        <v>117</v>
      </c>
      <c r="B39" s="8" t="s">
        <v>105</v>
      </c>
      <c r="C39" s="8">
        <v>449</v>
      </c>
      <c r="D39" s="8">
        <v>518</v>
      </c>
      <c r="E39" s="8" t="s">
        <v>79</v>
      </c>
      <c r="F39" s="8">
        <v>69</v>
      </c>
      <c r="G39" s="8">
        <v>1</v>
      </c>
      <c r="H39" s="7">
        <f t="shared" si="3"/>
        <v>0</v>
      </c>
      <c r="I39" s="7">
        <f>IF(B39=Queue_Intervals!A2,MAX(0,MIN(D39,Queue_Intervals!C2)-MAX(C39+90,Queue_Intervals!B2)),0)+IF(B39=Queue_Intervals!A3,MAX(0,MIN(D39,Queue_Intervals!C3)-MAX(C39+90,Queue_Intervals!B3)),0)+IF(B39=Queue_Intervals!A4,MAX(0,MIN(D39,Queue_Intervals!C4)-MAX(C39+90,Queue_Intervals!B4)),0)+IF(B39=Queue_Intervals!A5,MAX(0,MIN(D39,Queue_Intervals!C5)-MAX(C39+90,Queue_Intervals!B5)),0)</f>
        <v>0</v>
      </c>
      <c r="J39" s="7">
        <f t="shared" si="4"/>
        <v>0</v>
      </c>
      <c r="K39" s="7">
        <f>IF(B39=Queue_Intervals!A2,MAX(0,MIN(D39,Queue_Intervals!C2)-MAX(C39+120,Queue_Intervals!B2)),0)+IF(B39=Queue_Intervals!A3,MAX(0,MIN(D39,Queue_Intervals!C3)-MAX(C39+120,Queue_Intervals!B3)),0)+IF(B39=Queue_Intervals!A4,MAX(0,MIN(D39,Queue_Intervals!C4)-MAX(C39+120,Queue_Intervals!B4)),0)+IF(B39=Queue_Intervals!A5,MAX(0,MIN(D39,Queue_Intervals!C5)-MAX(C39+120,Queue_Intervals!B5)),0)</f>
        <v>0</v>
      </c>
      <c r="L39" s="7">
        <f t="shared" si="5"/>
        <v>0</v>
      </c>
      <c r="M39" s="7">
        <f>IF(B39=Queue_Intervals!A2,MAX(0,MIN(D39,Queue_Intervals!C2)-MAX(C39+150,Queue_Intervals!B2)),0)+IF(B39=Queue_Intervals!A3,MAX(0,MIN(D39,Queue_Intervals!C3)-MAX(C39+150,Queue_Intervals!B3)),0)+IF(B39=Queue_Intervals!A4,MAX(0,MIN(D39,Queue_Intervals!C4)-MAX(C39+150,Queue_Intervals!B4)),0)+IF(B39=Queue_Intervals!A5,MAX(0,MIN(D39,Queue_Intervals!C5)-MAX(C39+150,Queue_Intervals!B5)),0)</f>
        <v>0</v>
      </c>
    </row>
    <row r="40" spans="1:13" ht="24.95" customHeight="1">
      <c r="A40" s="7" t="s">
        <v>118</v>
      </c>
      <c r="B40" s="8" t="s">
        <v>105</v>
      </c>
      <c r="C40" s="8">
        <v>460</v>
      </c>
      <c r="D40" s="8">
        <v>571</v>
      </c>
      <c r="E40" s="8" t="s">
        <v>79</v>
      </c>
      <c r="F40" s="8">
        <v>111</v>
      </c>
      <c r="G40" s="8">
        <v>1</v>
      </c>
      <c r="H40" s="7">
        <f t="shared" si="3"/>
        <v>21</v>
      </c>
      <c r="I40" s="7">
        <f>IF(B40=Queue_Intervals!A2,MAX(0,MIN(D40,Queue_Intervals!C2)-MAX(C40+90,Queue_Intervals!B2)),0)+IF(B40=Queue_Intervals!A3,MAX(0,MIN(D40,Queue_Intervals!C3)-MAX(C40+90,Queue_Intervals!B3)),0)+IF(B40=Queue_Intervals!A4,MAX(0,MIN(D40,Queue_Intervals!C4)-MAX(C40+90,Queue_Intervals!B4)),0)+IF(B40=Queue_Intervals!A5,MAX(0,MIN(D40,Queue_Intervals!C5)-MAX(C40+90,Queue_Intervals!B5)),0)</f>
        <v>21</v>
      </c>
      <c r="J40" s="7">
        <f t="shared" si="4"/>
        <v>0</v>
      </c>
      <c r="K40" s="7">
        <f>IF(B40=Queue_Intervals!A2,MAX(0,MIN(D40,Queue_Intervals!C2)-MAX(C40+120,Queue_Intervals!B2)),0)+IF(B40=Queue_Intervals!A3,MAX(0,MIN(D40,Queue_Intervals!C3)-MAX(C40+120,Queue_Intervals!B3)),0)+IF(B40=Queue_Intervals!A4,MAX(0,MIN(D40,Queue_Intervals!C4)-MAX(C40+120,Queue_Intervals!B4)),0)+IF(B40=Queue_Intervals!A5,MAX(0,MIN(D40,Queue_Intervals!C5)-MAX(C40+120,Queue_Intervals!B5)),0)</f>
        <v>0</v>
      </c>
      <c r="L40" s="7">
        <f t="shared" si="5"/>
        <v>0</v>
      </c>
      <c r="M40" s="7">
        <f>IF(B40=Queue_Intervals!A2,MAX(0,MIN(D40,Queue_Intervals!C2)-MAX(C40+150,Queue_Intervals!B2)),0)+IF(B40=Queue_Intervals!A3,MAX(0,MIN(D40,Queue_Intervals!C3)-MAX(C40+150,Queue_Intervals!B3)),0)+IF(B40=Queue_Intervals!A4,MAX(0,MIN(D40,Queue_Intervals!C4)-MAX(C40+150,Queue_Intervals!B4)),0)+IF(B40=Queue_Intervals!A5,MAX(0,MIN(D40,Queue_Intervals!C5)-MAX(C40+150,Queue_Intervals!B5)),0)</f>
        <v>0</v>
      </c>
    </row>
    <row r="41" spans="1:13" ht="24.95" customHeight="1">
      <c r="A41" s="7" t="s">
        <v>119</v>
      </c>
      <c r="B41" s="8" t="s">
        <v>105</v>
      </c>
      <c r="C41" s="8">
        <v>467</v>
      </c>
      <c r="D41" s="8">
        <v>493</v>
      </c>
      <c r="E41" s="8" t="s">
        <v>79</v>
      </c>
      <c r="F41" s="8">
        <v>26</v>
      </c>
      <c r="G41" s="8">
        <v>1</v>
      </c>
      <c r="H41" s="7">
        <f t="shared" si="3"/>
        <v>0</v>
      </c>
      <c r="I41" s="7">
        <f>IF(B41=Queue_Intervals!A2,MAX(0,MIN(D41,Queue_Intervals!C2)-MAX(C41+90,Queue_Intervals!B2)),0)+IF(B41=Queue_Intervals!A3,MAX(0,MIN(D41,Queue_Intervals!C3)-MAX(C41+90,Queue_Intervals!B3)),0)+IF(B41=Queue_Intervals!A4,MAX(0,MIN(D41,Queue_Intervals!C4)-MAX(C41+90,Queue_Intervals!B4)),0)+IF(B41=Queue_Intervals!A5,MAX(0,MIN(D41,Queue_Intervals!C5)-MAX(C41+90,Queue_Intervals!B5)),0)</f>
        <v>0</v>
      </c>
      <c r="J41" s="7">
        <f t="shared" si="4"/>
        <v>0</v>
      </c>
      <c r="K41" s="7">
        <f>IF(B41=Queue_Intervals!A2,MAX(0,MIN(D41,Queue_Intervals!C2)-MAX(C41+120,Queue_Intervals!B2)),0)+IF(B41=Queue_Intervals!A3,MAX(0,MIN(D41,Queue_Intervals!C3)-MAX(C41+120,Queue_Intervals!B3)),0)+IF(B41=Queue_Intervals!A4,MAX(0,MIN(D41,Queue_Intervals!C4)-MAX(C41+120,Queue_Intervals!B4)),0)+IF(B41=Queue_Intervals!A5,MAX(0,MIN(D41,Queue_Intervals!C5)-MAX(C41+120,Queue_Intervals!B5)),0)</f>
        <v>0</v>
      </c>
      <c r="L41" s="7">
        <f t="shared" si="5"/>
        <v>0</v>
      </c>
      <c r="M41" s="7">
        <f>IF(B41=Queue_Intervals!A2,MAX(0,MIN(D41,Queue_Intervals!C2)-MAX(C41+150,Queue_Intervals!B2)),0)+IF(B41=Queue_Intervals!A3,MAX(0,MIN(D41,Queue_Intervals!C3)-MAX(C41+150,Queue_Intervals!B3)),0)+IF(B41=Queue_Intervals!A4,MAX(0,MIN(D41,Queue_Intervals!C4)-MAX(C41+150,Queue_Intervals!B4)),0)+IF(B41=Queue_Intervals!A5,MAX(0,MIN(D41,Queue_Intervals!C5)-MAX(C41+150,Queue_Intervals!B5)),0)</f>
        <v>0</v>
      </c>
    </row>
    <row r="42" spans="1:13" ht="24.95" customHeight="1">
      <c r="A42" s="7" t="s">
        <v>120</v>
      </c>
      <c r="B42" s="8" t="s">
        <v>105</v>
      </c>
      <c r="C42" s="8">
        <v>471</v>
      </c>
      <c r="D42" s="8">
        <v>615</v>
      </c>
      <c r="E42" s="8" t="s">
        <v>79</v>
      </c>
      <c r="F42" s="8">
        <v>144</v>
      </c>
      <c r="G42" s="8">
        <v>1</v>
      </c>
      <c r="H42" s="7">
        <f t="shared" si="3"/>
        <v>54</v>
      </c>
      <c r="I42" s="7">
        <f>IF(B42=Queue_Intervals!A2,MAX(0,MIN(D42,Queue_Intervals!C2)-MAX(C42+90,Queue_Intervals!B2)),0)+IF(B42=Queue_Intervals!A3,MAX(0,MIN(D42,Queue_Intervals!C3)-MAX(C42+90,Queue_Intervals!B3)),0)+IF(B42=Queue_Intervals!A4,MAX(0,MIN(D42,Queue_Intervals!C4)-MAX(C42+90,Queue_Intervals!B4)),0)+IF(B42=Queue_Intervals!A5,MAX(0,MIN(D42,Queue_Intervals!C5)-MAX(C42+90,Queue_Intervals!B5)),0)</f>
        <v>33</v>
      </c>
      <c r="J42" s="7">
        <f t="shared" si="4"/>
        <v>24</v>
      </c>
      <c r="K42" s="7">
        <f>IF(B42=Queue_Intervals!A2,MAX(0,MIN(D42,Queue_Intervals!C2)-MAX(C42+120,Queue_Intervals!B2)),0)+IF(B42=Queue_Intervals!A3,MAX(0,MIN(D42,Queue_Intervals!C3)-MAX(C42+120,Queue_Intervals!B3)),0)+IF(B42=Queue_Intervals!A4,MAX(0,MIN(D42,Queue_Intervals!C4)-MAX(C42+120,Queue_Intervals!B4)),0)+IF(B42=Queue_Intervals!A5,MAX(0,MIN(D42,Queue_Intervals!C5)-MAX(C42+120,Queue_Intervals!B5)),0)</f>
        <v>3</v>
      </c>
      <c r="L42" s="7">
        <f t="shared" si="5"/>
        <v>0</v>
      </c>
      <c r="M42" s="7">
        <f>IF(B42=Queue_Intervals!A2,MAX(0,MIN(D42,Queue_Intervals!C2)-MAX(C42+150,Queue_Intervals!B2)),0)+IF(B42=Queue_Intervals!A3,MAX(0,MIN(D42,Queue_Intervals!C3)-MAX(C42+150,Queue_Intervals!B3)),0)+IF(B42=Queue_Intervals!A4,MAX(0,MIN(D42,Queue_Intervals!C4)-MAX(C42+150,Queue_Intervals!B4)),0)+IF(B42=Queue_Intervals!A5,MAX(0,MIN(D42,Queue_Intervals!C5)-MAX(C42+150,Queue_Intervals!B5)),0)</f>
        <v>0</v>
      </c>
    </row>
    <row r="43" spans="1:13" ht="24.95" customHeight="1">
      <c r="A43" s="7" t="s">
        <v>121</v>
      </c>
      <c r="B43" s="8" t="s">
        <v>105</v>
      </c>
      <c r="C43" s="8">
        <v>485</v>
      </c>
      <c r="D43" s="8">
        <v>561</v>
      </c>
      <c r="E43" s="8" t="s">
        <v>79</v>
      </c>
      <c r="F43" s="8">
        <v>76</v>
      </c>
      <c r="G43" s="8">
        <v>1</v>
      </c>
      <c r="H43" s="7">
        <f t="shared" si="3"/>
        <v>0</v>
      </c>
      <c r="I43" s="7">
        <f>IF(B43=Queue_Intervals!A2,MAX(0,MIN(D43,Queue_Intervals!C2)-MAX(C43+90,Queue_Intervals!B2)),0)+IF(B43=Queue_Intervals!A3,MAX(0,MIN(D43,Queue_Intervals!C3)-MAX(C43+90,Queue_Intervals!B3)),0)+IF(B43=Queue_Intervals!A4,MAX(0,MIN(D43,Queue_Intervals!C4)-MAX(C43+90,Queue_Intervals!B4)),0)+IF(B43=Queue_Intervals!A5,MAX(0,MIN(D43,Queue_Intervals!C5)-MAX(C43+90,Queue_Intervals!B5)),0)</f>
        <v>0</v>
      </c>
      <c r="J43" s="7">
        <f t="shared" si="4"/>
        <v>0</v>
      </c>
      <c r="K43" s="7">
        <f>IF(B43=Queue_Intervals!A2,MAX(0,MIN(D43,Queue_Intervals!C2)-MAX(C43+120,Queue_Intervals!B2)),0)+IF(B43=Queue_Intervals!A3,MAX(0,MIN(D43,Queue_Intervals!C3)-MAX(C43+120,Queue_Intervals!B3)),0)+IF(B43=Queue_Intervals!A4,MAX(0,MIN(D43,Queue_Intervals!C4)-MAX(C43+120,Queue_Intervals!B4)),0)+IF(B43=Queue_Intervals!A5,MAX(0,MIN(D43,Queue_Intervals!C5)-MAX(C43+120,Queue_Intervals!B5)),0)</f>
        <v>0</v>
      </c>
      <c r="L43" s="7">
        <f t="shared" si="5"/>
        <v>0</v>
      </c>
      <c r="M43" s="7">
        <f>IF(B43=Queue_Intervals!A2,MAX(0,MIN(D43,Queue_Intervals!C2)-MAX(C43+150,Queue_Intervals!B2)),0)+IF(B43=Queue_Intervals!A3,MAX(0,MIN(D43,Queue_Intervals!C3)-MAX(C43+150,Queue_Intervals!B3)),0)+IF(B43=Queue_Intervals!A4,MAX(0,MIN(D43,Queue_Intervals!C4)-MAX(C43+150,Queue_Intervals!B4)),0)+IF(B43=Queue_Intervals!A5,MAX(0,MIN(D43,Queue_Intervals!C5)-MAX(C43+150,Queue_Intervals!B5)),0)</f>
        <v>0</v>
      </c>
    </row>
    <row r="44" spans="1:13" ht="24.95" customHeight="1">
      <c r="A44" s="7" t="s">
        <v>122</v>
      </c>
      <c r="B44" s="8" t="s">
        <v>105</v>
      </c>
      <c r="C44" s="8">
        <v>486</v>
      </c>
      <c r="D44" s="8">
        <v>508</v>
      </c>
      <c r="E44" s="8" t="s">
        <v>79</v>
      </c>
      <c r="F44" s="8">
        <v>22</v>
      </c>
      <c r="G44" s="8">
        <v>1</v>
      </c>
      <c r="H44" s="7">
        <f t="shared" si="3"/>
        <v>0</v>
      </c>
      <c r="I44" s="7">
        <f>IF(B44=Queue_Intervals!A2,MAX(0,MIN(D44,Queue_Intervals!C2)-MAX(C44+90,Queue_Intervals!B2)),0)+IF(B44=Queue_Intervals!A3,MAX(0,MIN(D44,Queue_Intervals!C3)-MAX(C44+90,Queue_Intervals!B3)),0)+IF(B44=Queue_Intervals!A4,MAX(0,MIN(D44,Queue_Intervals!C4)-MAX(C44+90,Queue_Intervals!B4)),0)+IF(B44=Queue_Intervals!A5,MAX(0,MIN(D44,Queue_Intervals!C5)-MAX(C44+90,Queue_Intervals!B5)),0)</f>
        <v>0</v>
      </c>
      <c r="J44" s="7">
        <f t="shared" si="4"/>
        <v>0</v>
      </c>
      <c r="K44" s="7">
        <f>IF(B44=Queue_Intervals!A2,MAX(0,MIN(D44,Queue_Intervals!C2)-MAX(C44+120,Queue_Intervals!B2)),0)+IF(B44=Queue_Intervals!A3,MAX(0,MIN(D44,Queue_Intervals!C3)-MAX(C44+120,Queue_Intervals!B3)),0)+IF(B44=Queue_Intervals!A4,MAX(0,MIN(D44,Queue_Intervals!C4)-MAX(C44+120,Queue_Intervals!B4)),0)+IF(B44=Queue_Intervals!A5,MAX(0,MIN(D44,Queue_Intervals!C5)-MAX(C44+120,Queue_Intervals!B5)),0)</f>
        <v>0</v>
      </c>
      <c r="L44" s="7">
        <f t="shared" si="5"/>
        <v>0</v>
      </c>
      <c r="M44" s="7">
        <f>IF(B44=Queue_Intervals!A2,MAX(0,MIN(D44,Queue_Intervals!C2)-MAX(C44+150,Queue_Intervals!B2)),0)+IF(B44=Queue_Intervals!A3,MAX(0,MIN(D44,Queue_Intervals!C3)-MAX(C44+150,Queue_Intervals!B3)),0)+IF(B44=Queue_Intervals!A4,MAX(0,MIN(D44,Queue_Intervals!C4)-MAX(C44+150,Queue_Intervals!B4)),0)+IF(B44=Queue_Intervals!A5,MAX(0,MIN(D44,Queue_Intervals!C5)-MAX(C44+150,Queue_Intervals!B5)),0)</f>
        <v>0</v>
      </c>
    </row>
    <row r="45" spans="1:13" ht="24.95" customHeight="1">
      <c r="A45" s="7" t="s">
        <v>123</v>
      </c>
      <c r="B45" s="8" t="s">
        <v>105</v>
      </c>
      <c r="C45" s="8">
        <v>494</v>
      </c>
      <c r="D45" s="8">
        <v>586</v>
      </c>
      <c r="E45" s="8" t="s">
        <v>79</v>
      </c>
      <c r="F45" s="8">
        <v>92</v>
      </c>
      <c r="G45" s="8">
        <v>1</v>
      </c>
      <c r="H45" s="7">
        <f t="shared" si="3"/>
        <v>2</v>
      </c>
      <c r="I45" s="7">
        <f>IF(B45=Queue_Intervals!A2,MAX(0,MIN(D45,Queue_Intervals!C2)-MAX(C45+90,Queue_Intervals!B2)),0)+IF(B45=Queue_Intervals!A3,MAX(0,MIN(D45,Queue_Intervals!C3)-MAX(C45+90,Queue_Intervals!B3)),0)+IF(B45=Queue_Intervals!A4,MAX(0,MIN(D45,Queue_Intervals!C4)-MAX(C45+90,Queue_Intervals!B4)),0)+IF(B45=Queue_Intervals!A5,MAX(0,MIN(D45,Queue_Intervals!C5)-MAX(C45+90,Queue_Intervals!B5)),0)</f>
        <v>2</v>
      </c>
      <c r="J45" s="7">
        <f t="shared" si="4"/>
        <v>0</v>
      </c>
      <c r="K45" s="7">
        <f>IF(B45=Queue_Intervals!A2,MAX(0,MIN(D45,Queue_Intervals!C2)-MAX(C45+120,Queue_Intervals!B2)),0)+IF(B45=Queue_Intervals!A3,MAX(0,MIN(D45,Queue_Intervals!C3)-MAX(C45+120,Queue_Intervals!B3)),0)+IF(B45=Queue_Intervals!A4,MAX(0,MIN(D45,Queue_Intervals!C4)-MAX(C45+120,Queue_Intervals!B4)),0)+IF(B45=Queue_Intervals!A5,MAX(0,MIN(D45,Queue_Intervals!C5)-MAX(C45+120,Queue_Intervals!B5)),0)</f>
        <v>0</v>
      </c>
      <c r="L45" s="7">
        <f t="shared" si="5"/>
        <v>0</v>
      </c>
      <c r="M45" s="7">
        <f>IF(B45=Queue_Intervals!A2,MAX(0,MIN(D45,Queue_Intervals!C2)-MAX(C45+150,Queue_Intervals!B2)),0)+IF(B45=Queue_Intervals!A3,MAX(0,MIN(D45,Queue_Intervals!C3)-MAX(C45+150,Queue_Intervals!B3)),0)+IF(B45=Queue_Intervals!A4,MAX(0,MIN(D45,Queue_Intervals!C4)-MAX(C45+150,Queue_Intervals!B4)),0)+IF(B45=Queue_Intervals!A5,MAX(0,MIN(D45,Queue_Intervals!C5)-MAX(C45+150,Queue_Intervals!B5)),0)</f>
        <v>0</v>
      </c>
    </row>
    <row r="46" spans="1:13" ht="24.95" customHeight="1">
      <c r="A46" s="7" t="s">
        <v>124</v>
      </c>
      <c r="B46" s="8" t="s">
        <v>105</v>
      </c>
      <c r="C46" s="8">
        <v>500</v>
      </c>
      <c r="D46" s="8">
        <v>581</v>
      </c>
      <c r="E46" s="8" t="s">
        <v>79</v>
      </c>
      <c r="F46" s="8">
        <v>81</v>
      </c>
      <c r="G46" s="8">
        <v>1</v>
      </c>
      <c r="H46" s="7">
        <f t="shared" si="3"/>
        <v>0</v>
      </c>
      <c r="I46" s="7">
        <f>IF(B46=Queue_Intervals!A2,MAX(0,MIN(D46,Queue_Intervals!C2)-MAX(C46+90,Queue_Intervals!B2)),0)+IF(B46=Queue_Intervals!A3,MAX(0,MIN(D46,Queue_Intervals!C3)-MAX(C46+90,Queue_Intervals!B3)),0)+IF(B46=Queue_Intervals!A4,MAX(0,MIN(D46,Queue_Intervals!C4)-MAX(C46+90,Queue_Intervals!B4)),0)+IF(B46=Queue_Intervals!A5,MAX(0,MIN(D46,Queue_Intervals!C5)-MAX(C46+90,Queue_Intervals!B5)),0)</f>
        <v>0</v>
      </c>
      <c r="J46" s="7">
        <f t="shared" si="4"/>
        <v>0</v>
      </c>
      <c r="K46" s="7">
        <f>IF(B46=Queue_Intervals!A2,MAX(0,MIN(D46,Queue_Intervals!C2)-MAX(C46+120,Queue_Intervals!B2)),0)+IF(B46=Queue_Intervals!A3,MAX(0,MIN(D46,Queue_Intervals!C3)-MAX(C46+120,Queue_Intervals!B3)),0)+IF(B46=Queue_Intervals!A4,MAX(0,MIN(D46,Queue_Intervals!C4)-MAX(C46+120,Queue_Intervals!B4)),0)+IF(B46=Queue_Intervals!A5,MAX(0,MIN(D46,Queue_Intervals!C5)-MAX(C46+120,Queue_Intervals!B5)),0)</f>
        <v>0</v>
      </c>
      <c r="L46" s="7">
        <f t="shared" si="5"/>
        <v>0</v>
      </c>
      <c r="M46" s="7">
        <f>IF(B46=Queue_Intervals!A2,MAX(0,MIN(D46,Queue_Intervals!C2)-MAX(C46+150,Queue_Intervals!B2)),0)+IF(B46=Queue_Intervals!A3,MAX(0,MIN(D46,Queue_Intervals!C3)-MAX(C46+150,Queue_Intervals!B3)),0)+IF(B46=Queue_Intervals!A4,MAX(0,MIN(D46,Queue_Intervals!C4)-MAX(C46+150,Queue_Intervals!B4)),0)+IF(B46=Queue_Intervals!A5,MAX(0,MIN(D46,Queue_Intervals!C5)-MAX(C46+150,Queue_Intervals!B5)),0)</f>
        <v>0</v>
      </c>
    </row>
    <row r="47" spans="1:13" ht="24.95" customHeight="1">
      <c r="A47" s="7" t="s">
        <v>125</v>
      </c>
      <c r="B47" s="8" t="s">
        <v>105</v>
      </c>
      <c r="C47" s="8">
        <v>497</v>
      </c>
      <c r="D47" s="8">
        <v>570</v>
      </c>
      <c r="E47" s="8" t="s">
        <v>79</v>
      </c>
      <c r="F47" s="8">
        <v>73</v>
      </c>
      <c r="G47" s="8">
        <v>1</v>
      </c>
      <c r="H47" s="7">
        <f t="shared" si="3"/>
        <v>0</v>
      </c>
      <c r="I47" s="7">
        <f>IF(B47=Queue_Intervals!A2,MAX(0,MIN(D47,Queue_Intervals!C2)-MAX(C47+90,Queue_Intervals!B2)),0)+IF(B47=Queue_Intervals!A3,MAX(0,MIN(D47,Queue_Intervals!C3)-MAX(C47+90,Queue_Intervals!B3)),0)+IF(B47=Queue_Intervals!A4,MAX(0,MIN(D47,Queue_Intervals!C4)-MAX(C47+90,Queue_Intervals!B4)),0)+IF(B47=Queue_Intervals!A5,MAX(0,MIN(D47,Queue_Intervals!C5)-MAX(C47+90,Queue_Intervals!B5)),0)</f>
        <v>0</v>
      </c>
      <c r="J47" s="7">
        <f t="shared" si="4"/>
        <v>0</v>
      </c>
      <c r="K47" s="7">
        <f>IF(B47=Queue_Intervals!A2,MAX(0,MIN(D47,Queue_Intervals!C2)-MAX(C47+120,Queue_Intervals!B2)),0)+IF(B47=Queue_Intervals!A3,MAX(0,MIN(D47,Queue_Intervals!C3)-MAX(C47+120,Queue_Intervals!B3)),0)+IF(B47=Queue_Intervals!A4,MAX(0,MIN(D47,Queue_Intervals!C4)-MAX(C47+120,Queue_Intervals!B4)),0)+IF(B47=Queue_Intervals!A5,MAX(0,MIN(D47,Queue_Intervals!C5)-MAX(C47+120,Queue_Intervals!B5)),0)</f>
        <v>0</v>
      </c>
      <c r="L47" s="7">
        <f t="shared" si="5"/>
        <v>0</v>
      </c>
      <c r="M47" s="7">
        <f>IF(B47=Queue_Intervals!A2,MAX(0,MIN(D47,Queue_Intervals!C2)-MAX(C47+150,Queue_Intervals!B2)),0)+IF(B47=Queue_Intervals!A3,MAX(0,MIN(D47,Queue_Intervals!C3)-MAX(C47+150,Queue_Intervals!B3)),0)+IF(B47=Queue_Intervals!A4,MAX(0,MIN(D47,Queue_Intervals!C4)-MAX(C47+150,Queue_Intervals!B4)),0)+IF(B47=Queue_Intervals!A5,MAX(0,MIN(D47,Queue_Intervals!C5)-MAX(C47+150,Queue_Intervals!B5)),0)</f>
        <v>0</v>
      </c>
    </row>
    <row r="48" spans="1:13" ht="24.95" customHeight="1">
      <c r="A48" s="7" t="s">
        <v>126</v>
      </c>
      <c r="B48" s="8" t="s">
        <v>105</v>
      </c>
      <c r="C48" s="8">
        <v>509</v>
      </c>
      <c r="D48" s="8">
        <v>586</v>
      </c>
      <c r="E48" s="8" t="s">
        <v>79</v>
      </c>
      <c r="F48" s="8">
        <v>77</v>
      </c>
      <c r="G48" s="8">
        <v>1</v>
      </c>
      <c r="H48" s="7">
        <f t="shared" si="3"/>
        <v>0</v>
      </c>
      <c r="I48" s="7">
        <f>IF(B48=Queue_Intervals!A2,MAX(0,MIN(D48,Queue_Intervals!C2)-MAX(C48+90,Queue_Intervals!B2)),0)+IF(B48=Queue_Intervals!A3,MAX(0,MIN(D48,Queue_Intervals!C3)-MAX(C48+90,Queue_Intervals!B3)),0)+IF(B48=Queue_Intervals!A4,MAX(0,MIN(D48,Queue_Intervals!C4)-MAX(C48+90,Queue_Intervals!B4)),0)+IF(B48=Queue_Intervals!A5,MAX(0,MIN(D48,Queue_Intervals!C5)-MAX(C48+90,Queue_Intervals!B5)),0)</f>
        <v>0</v>
      </c>
      <c r="J48" s="7">
        <f t="shared" si="4"/>
        <v>0</v>
      </c>
      <c r="K48" s="7">
        <f>IF(B48=Queue_Intervals!A2,MAX(0,MIN(D48,Queue_Intervals!C2)-MAX(C48+120,Queue_Intervals!B2)),0)+IF(B48=Queue_Intervals!A3,MAX(0,MIN(D48,Queue_Intervals!C3)-MAX(C48+120,Queue_Intervals!B3)),0)+IF(B48=Queue_Intervals!A4,MAX(0,MIN(D48,Queue_Intervals!C4)-MAX(C48+120,Queue_Intervals!B4)),0)+IF(B48=Queue_Intervals!A5,MAX(0,MIN(D48,Queue_Intervals!C5)-MAX(C48+120,Queue_Intervals!B5)),0)</f>
        <v>0</v>
      </c>
      <c r="L48" s="7">
        <f t="shared" si="5"/>
        <v>0</v>
      </c>
      <c r="M48" s="7">
        <f>IF(B48=Queue_Intervals!A2,MAX(0,MIN(D48,Queue_Intervals!C2)-MAX(C48+150,Queue_Intervals!B2)),0)+IF(B48=Queue_Intervals!A3,MAX(0,MIN(D48,Queue_Intervals!C3)-MAX(C48+150,Queue_Intervals!B3)),0)+IF(B48=Queue_Intervals!A4,MAX(0,MIN(D48,Queue_Intervals!C4)-MAX(C48+150,Queue_Intervals!B4)),0)+IF(B48=Queue_Intervals!A5,MAX(0,MIN(D48,Queue_Intervals!C5)-MAX(C48+150,Queue_Intervals!B5)),0)</f>
        <v>0</v>
      </c>
    </row>
    <row r="49" spans="1:13" ht="24.95" customHeight="1">
      <c r="A49" s="7" t="s">
        <v>127</v>
      </c>
      <c r="B49" s="8" t="s">
        <v>105</v>
      </c>
      <c r="C49" s="8">
        <v>500</v>
      </c>
      <c r="D49" s="8">
        <v>600</v>
      </c>
      <c r="E49" s="8" t="s">
        <v>79</v>
      </c>
      <c r="F49" s="8">
        <v>100</v>
      </c>
      <c r="G49" s="8">
        <v>1</v>
      </c>
      <c r="H49" s="7">
        <f t="shared" si="3"/>
        <v>10</v>
      </c>
      <c r="I49" s="7">
        <f>IF(B49=Queue_Intervals!A2,MAX(0,MIN(D49,Queue_Intervals!C2)-MAX(C49+90,Queue_Intervals!B2)),0)+IF(B49=Queue_Intervals!A3,MAX(0,MIN(D49,Queue_Intervals!C3)-MAX(C49+90,Queue_Intervals!B3)),0)+IF(B49=Queue_Intervals!A4,MAX(0,MIN(D49,Queue_Intervals!C4)-MAX(C49+90,Queue_Intervals!B4)),0)+IF(B49=Queue_Intervals!A5,MAX(0,MIN(D49,Queue_Intervals!C5)-MAX(C49+90,Queue_Intervals!B5)),0)</f>
        <v>4</v>
      </c>
      <c r="J49" s="7">
        <f t="shared" si="4"/>
        <v>0</v>
      </c>
      <c r="K49" s="7">
        <f>IF(B49=Queue_Intervals!A2,MAX(0,MIN(D49,Queue_Intervals!C2)-MAX(C49+120,Queue_Intervals!B2)),0)+IF(B49=Queue_Intervals!A3,MAX(0,MIN(D49,Queue_Intervals!C3)-MAX(C49+120,Queue_Intervals!B3)),0)+IF(B49=Queue_Intervals!A4,MAX(0,MIN(D49,Queue_Intervals!C4)-MAX(C49+120,Queue_Intervals!B4)),0)+IF(B49=Queue_Intervals!A5,MAX(0,MIN(D49,Queue_Intervals!C5)-MAX(C49+120,Queue_Intervals!B5)),0)</f>
        <v>0</v>
      </c>
      <c r="L49" s="7">
        <f t="shared" si="5"/>
        <v>0</v>
      </c>
      <c r="M49" s="7">
        <f>IF(B49=Queue_Intervals!A2,MAX(0,MIN(D49,Queue_Intervals!C2)-MAX(C49+150,Queue_Intervals!B2)),0)+IF(B49=Queue_Intervals!A3,MAX(0,MIN(D49,Queue_Intervals!C3)-MAX(C49+150,Queue_Intervals!B3)),0)+IF(B49=Queue_Intervals!A4,MAX(0,MIN(D49,Queue_Intervals!C4)-MAX(C49+150,Queue_Intervals!B4)),0)+IF(B49=Queue_Intervals!A5,MAX(0,MIN(D49,Queue_Intervals!C5)-MAX(C49+150,Queue_Intervals!B5)),0)</f>
        <v>0</v>
      </c>
    </row>
    <row r="50" spans="1:13" ht="24.95" customHeight="1">
      <c r="A50" s="7" t="s">
        <v>128</v>
      </c>
      <c r="B50" s="8" t="s">
        <v>105</v>
      </c>
      <c r="C50" s="8">
        <v>503</v>
      </c>
      <c r="D50" s="8">
        <v>552</v>
      </c>
      <c r="E50" s="8" t="s">
        <v>79</v>
      </c>
      <c r="F50" s="8">
        <v>49</v>
      </c>
      <c r="G50" s="8">
        <v>1</v>
      </c>
      <c r="H50" s="7">
        <f t="shared" si="3"/>
        <v>0</v>
      </c>
      <c r="I50" s="7">
        <f>IF(B50=Queue_Intervals!A2,MAX(0,MIN(D50,Queue_Intervals!C2)-MAX(C50+90,Queue_Intervals!B2)),0)+IF(B50=Queue_Intervals!A3,MAX(0,MIN(D50,Queue_Intervals!C3)-MAX(C50+90,Queue_Intervals!B3)),0)+IF(B50=Queue_Intervals!A4,MAX(0,MIN(D50,Queue_Intervals!C4)-MAX(C50+90,Queue_Intervals!B4)),0)+IF(B50=Queue_Intervals!A5,MAX(0,MIN(D50,Queue_Intervals!C5)-MAX(C50+90,Queue_Intervals!B5)),0)</f>
        <v>0</v>
      </c>
      <c r="J50" s="7">
        <f t="shared" si="4"/>
        <v>0</v>
      </c>
      <c r="K50" s="7">
        <f>IF(B50=Queue_Intervals!A2,MAX(0,MIN(D50,Queue_Intervals!C2)-MAX(C50+120,Queue_Intervals!B2)),0)+IF(B50=Queue_Intervals!A3,MAX(0,MIN(D50,Queue_Intervals!C3)-MAX(C50+120,Queue_Intervals!B3)),0)+IF(B50=Queue_Intervals!A4,MAX(0,MIN(D50,Queue_Intervals!C4)-MAX(C50+120,Queue_Intervals!B4)),0)+IF(B50=Queue_Intervals!A5,MAX(0,MIN(D50,Queue_Intervals!C5)-MAX(C50+120,Queue_Intervals!B5)),0)</f>
        <v>0</v>
      </c>
      <c r="L50" s="7">
        <f t="shared" si="5"/>
        <v>0</v>
      </c>
      <c r="M50" s="7">
        <f>IF(B50=Queue_Intervals!A2,MAX(0,MIN(D50,Queue_Intervals!C2)-MAX(C50+150,Queue_Intervals!B2)),0)+IF(B50=Queue_Intervals!A3,MAX(0,MIN(D50,Queue_Intervals!C3)-MAX(C50+150,Queue_Intervals!B3)),0)+IF(B50=Queue_Intervals!A4,MAX(0,MIN(D50,Queue_Intervals!C4)-MAX(C50+150,Queue_Intervals!B4)),0)+IF(B50=Queue_Intervals!A5,MAX(0,MIN(D50,Queue_Intervals!C5)-MAX(C50+150,Queue_Intervals!B5)),0)</f>
        <v>0</v>
      </c>
    </row>
    <row r="51" spans="1:13" ht="24.95" customHeight="1">
      <c r="A51" s="7" t="s">
        <v>129</v>
      </c>
      <c r="B51" s="8" t="s">
        <v>105</v>
      </c>
      <c r="C51" s="8">
        <v>528</v>
      </c>
      <c r="D51" s="8">
        <v>605</v>
      </c>
      <c r="E51" s="8" t="s">
        <v>79</v>
      </c>
      <c r="F51" s="8">
        <v>77</v>
      </c>
      <c r="G51" s="8">
        <v>1</v>
      </c>
      <c r="H51" s="7">
        <f t="shared" si="3"/>
        <v>0</v>
      </c>
      <c r="I51" s="7">
        <f>IF(B51=Queue_Intervals!A2,MAX(0,MIN(D51,Queue_Intervals!C2)-MAX(C51+90,Queue_Intervals!B2)),0)+IF(B51=Queue_Intervals!A3,MAX(0,MIN(D51,Queue_Intervals!C3)-MAX(C51+90,Queue_Intervals!B3)),0)+IF(B51=Queue_Intervals!A4,MAX(0,MIN(D51,Queue_Intervals!C4)-MAX(C51+90,Queue_Intervals!B4)),0)+IF(B51=Queue_Intervals!A5,MAX(0,MIN(D51,Queue_Intervals!C5)-MAX(C51+90,Queue_Intervals!B5)),0)</f>
        <v>0</v>
      </c>
      <c r="J51" s="7">
        <f t="shared" si="4"/>
        <v>0</v>
      </c>
      <c r="K51" s="7">
        <f>IF(B51=Queue_Intervals!A2,MAX(0,MIN(D51,Queue_Intervals!C2)-MAX(C51+120,Queue_Intervals!B2)),0)+IF(B51=Queue_Intervals!A3,MAX(0,MIN(D51,Queue_Intervals!C3)-MAX(C51+120,Queue_Intervals!B3)),0)+IF(B51=Queue_Intervals!A4,MAX(0,MIN(D51,Queue_Intervals!C4)-MAX(C51+120,Queue_Intervals!B4)),0)+IF(B51=Queue_Intervals!A5,MAX(0,MIN(D51,Queue_Intervals!C5)-MAX(C51+120,Queue_Intervals!B5)),0)</f>
        <v>0</v>
      </c>
      <c r="L51" s="7">
        <f t="shared" si="5"/>
        <v>0</v>
      </c>
      <c r="M51" s="7">
        <f>IF(B51=Queue_Intervals!A2,MAX(0,MIN(D51,Queue_Intervals!C2)-MAX(C51+150,Queue_Intervals!B2)),0)+IF(B51=Queue_Intervals!A3,MAX(0,MIN(D51,Queue_Intervals!C3)-MAX(C51+150,Queue_Intervals!B3)),0)+IF(B51=Queue_Intervals!A4,MAX(0,MIN(D51,Queue_Intervals!C4)-MAX(C51+150,Queue_Intervals!B4)),0)+IF(B51=Queue_Intervals!A5,MAX(0,MIN(D51,Queue_Intervals!C5)-MAX(C51+150,Queue_Intervals!B5)),0)</f>
        <v>0</v>
      </c>
    </row>
    <row r="52" spans="1:13" ht="24.95" customHeight="1">
      <c r="A52" s="7" t="s">
        <v>130</v>
      </c>
      <c r="B52" s="8" t="s">
        <v>105</v>
      </c>
      <c r="C52" s="8">
        <v>509</v>
      </c>
      <c r="D52" s="8">
        <v>621</v>
      </c>
      <c r="E52" s="8" t="s">
        <v>79</v>
      </c>
      <c r="F52" s="8">
        <v>112</v>
      </c>
      <c r="G52" s="8">
        <v>1</v>
      </c>
      <c r="H52" s="7">
        <f t="shared" si="3"/>
        <v>22</v>
      </c>
      <c r="I52" s="7">
        <f>IF(B52=Queue_Intervals!A2,MAX(0,MIN(D52,Queue_Intervals!C2)-MAX(C52+90,Queue_Intervals!B2)),0)+IF(B52=Queue_Intervals!A3,MAX(0,MIN(D52,Queue_Intervals!C3)-MAX(C52+90,Queue_Intervals!B3)),0)+IF(B52=Queue_Intervals!A4,MAX(0,MIN(D52,Queue_Intervals!C4)-MAX(C52+90,Queue_Intervals!B4)),0)+IF(B52=Queue_Intervals!A5,MAX(0,MIN(D52,Queue_Intervals!C5)-MAX(C52+90,Queue_Intervals!B5)),0)</f>
        <v>0</v>
      </c>
      <c r="J52" s="7">
        <f t="shared" si="4"/>
        <v>0</v>
      </c>
      <c r="K52" s="7">
        <f>IF(B52=Queue_Intervals!A2,MAX(0,MIN(D52,Queue_Intervals!C2)-MAX(C52+120,Queue_Intervals!B2)),0)+IF(B52=Queue_Intervals!A3,MAX(0,MIN(D52,Queue_Intervals!C3)-MAX(C52+120,Queue_Intervals!B3)),0)+IF(B52=Queue_Intervals!A4,MAX(0,MIN(D52,Queue_Intervals!C4)-MAX(C52+120,Queue_Intervals!B4)),0)+IF(B52=Queue_Intervals!A5,MAX(0,MIN(D52,Queue_Intervals!C5)-MAX(C52+120,Queue_Intervals!B5)),0)</f>
        <v>0</v>
      </c>
      <c r="L52" s="7">
        <f t="shared" si="5"/>
        <v>0</v>
      </c>
      <c r="M52" s="7">
        <f>IF(B52=Queue_Intervals!A2,MAX(0,MIN(D52,Queue_Intervals!C2)-MAX(C52+150,Queue_Intervals!B2)),0)+IF(B52=Queue_Intervals!A3,MAX(0,MIN(D52,Queue_Intervals!C3)-MAX(C52+150,Queue_Intervals!B3)),0)+IF(B52=Queue_Intervals!A4,MAX(0,MIN(D52,Queue_Intervals!C4)-MAX(C52+150,Queue_Intervals!B4)),0)+IF(B52=Queue_Intervals!A5,MAX(0,MIN(D52,Queue_Intervals!C5)-MAX(C52+150,Queue_Intervals!B5)),0)</f>
        <v>0</v>
      </c>
    </row>
    <row r="53" spans="1:13" ht="24.95" customHeight="1">
      <c r="A53" s="7" t="s">
        <v>131</v>
      </c>
      <c r="B53" s="8" t="s">
        <v>105</v>
      </c>
      <c r="C53" s="8">
        <v>514</v>
      </c>
      <c r="D53" s="8">
        <v>649</v>
      </c>
      <c r="E53" s="8" t="s">
        <v>79</v>
      </c>
      <c r="F53" s="8">
        <v>135</v>
      </c>
      <c r="G53" s="8">
        <v>1</v>
      </c>
      <c r="H53" s="7">
        <f t="shared" si="3"/>
        <v>45</v>
      </c>
      <c r="I53" s="7">
        <f>IF(B53=Queue_Intervals!A2,MAX(0,MIN(D53,Queue_Intervals!C2)-MAX(C53+90,Queue_Intervals!B2)),0)+IF(B53=Queue_Intervals!A3,MAX(0,MIN(D53,Queue_Intervals!C3)-MAX(C53+90,Queue_Intervals!B3)),0)+IF(B53=Queue_Intervals!A4,MAX(0,MIN(D53,Queue_Intervals!C4)-MAX(C53+90,Queue_Intervals!B4)),0)+IF(B53=Queue_Intervals!A5,MAX(0,MIN(D53,Queue_Intervals!C5)-MAX(C53+90,Queue_Intervals!B5)),0)</f>
        <v>0</v>
      </c>
      <c r="J53" s="7">
        <f t="shared" si="4"/>
        <v>15</v>
      </c>
      <c r="K53" s="7">
        <f>IF(B53=Queue_Intervals!A2,MAX(0,MIN(D53,Queue_Intervals!C2)-MAX(C53+120,Queue_Intervals!B2)),0)+IF(B53=Queue_Intervals!A3,MAX(0,MIN(D53,Queue_Intervals!C3)-MAX(C53+120,Queue_Intervals!B3)),0)+IF(B53=Queue_Intervals!A4,MAX(0,MIN(D53,Queue_Intervals!C4)-MAX(C53+120,Queue_Intervals!B4)),0)+IF(B53=Queue_Intervals!A5,MAX(0,MIN(D53,Queue_Intervals!C5)-MAX(C53+120,Queue_Intervals!B5)),0)</f>
        <v>0</v>
      </c>
      <c r="L53" s="7">
        <f t="shared" si="5"/>
        <v>0</v>
      </c>
      <c r="M53" s="7">
        <f>IF(B53=Queue_Intervals!A2,MAX(0,MIN(D53,Queue_Intervals!C2)-MAX(C53+150,Queue_Intervals!B2)),0)+IF(B53=Queue_Intervals!A3,MAX(0,MIN(D53,Queue_Intervals!C3)-MAX(C53+150,Queue_Intervals!B3)),0)+IF(B53=Queue_Intervals!A4,MAX(0,MIN(D53,Queue_Intervals!C4)-MAX(C53+150,Queue_Intervals!B4)),0)+IF(B53=Queue_Intervals!A5,MAX(0,MIN(D53,Queue_Intervals!C5)-MAX(C53+150,Queue_Intervals!B5)),0)</f>
        <v>0</v>
      </c>
    </row>
    <row r="54" spans="1:13" ht="24.95" customHeight="1">
      <c r="A54" s="7" t="s">
        <v>132</v>
      </c>
      <c r="B54" s="8" t="s">
        <v>105</v>
      </c>
      <c r="C54" s="8">
        <v>530</v>
      </c>
      <c r="D54" s="8">
        <v>557</v>
      </c>
      <c r="E54" s="8" t="s">
        <v>79</v>
      </c>
      <c r="F54" s="8">
        <v>27</v>
      </c>
      <c r="G54" s="8">
        <v>1</v>
      </c>
      <c r="H54" s="7">
        <f t="shared" si="3"/>
        <v>0</v>
      </c>
      <c r="I54" s="7">
        <f>IF(B54=Queue_Intervals!A2,MAX(0,MIN(D54,Queue_Intervals!C2)-MAX(C54+90,Queue_Intervals!B2)),0)+IF(B54=Queue_Intervals!A3,MAX(0,MIN(D54,Queue_Intervals!C3)-MAX(C54+90,Queue_Intervals!B3)),0)+IF(B54=Queue_Intervals!A4,MAX(0,MIN(D54,Queue_Intervals!C4)-MAX(C54+90,Queue_Intervals!B4)),0)+IF(B54=Queue_Intervals!A5,MAX(0,MIN(D54,Queue_Intervals!C5)-MAX(C54+90,Queue_Intervals!B5)),0)</f>
        <v>0</v>
      </c>
      <c r="J54" s="7">
        <f t="shared" si="4"/>
        <v>0</v>
      </c>
      <c r="K54" s="7">
        <f>IF(B54=Queue_Intervals!A2,MAX(0,MIN(D54,Queue_Intervals!C2)-MAX(C54+120,Queue_Intervals!B2)),0)+IF(B54=Queue_Intervals!A3,MAX(0,MIN(D54,Queue_Intervals!C3)-MAX(C54+120,Queue_Intervals!B3)),0)+IF(B54=Queue_Intervals!A4,MAX(0,MIN(D54,Queue_Intervals!C4)-MAX(C54+120,Queue_Intervals!B4)),0)+IF(B54=Queue_Intervals!A5,MAX(0,MIN(D54,Queue_Intervals!C5)-MAX(C54+120,Queue_Intervals!B5)),0)</f>
        <v>0</v>
      </c>
      <c r="L54" s="7">
        <f t="shared" si="5"/>
        <v>0</v>
      </c>
      <c r="M54" s="7">
        <f>IF(B54=Queue_Intervals!A2,MAX(0,MIN(D54,Queue_Intervals!C2)-MAX(C54+150,Queue_Intervals!B2)),0)+IF(B54=Queue_Intervals!A3,MAX(0,MIN(D54,Queue_Intervals!C3)-MAX(C54+150,Queue_Intervals!B3)),0)+IF(B54=Queue_Intervals!A4,MAX(0,MIN(D54,Queue_Intervals!C4)-MAX(C54+150,Queue_Intervals!B4)),0)+IF(B54=Queue_Intervals!A5,MAX(0,MIN(D54,Queue_Intervals!C5)-MAX(C54+150,Queue_Intervals!B5)),0)</f>
        <v>0</v>
      </c>
    </row>
    <row r="55" spans="1:13" ht="24.95" customHeight="1">
      <c r="A55" s="7" t="s">
        <v>133</v>
      </c>
      <c r="B55" s="8" t="s">
        <v>105</v>
      </c>
      <c r="C55" s="8">
        <v>531</v>
      </c>
      <c r="D55" s="8">
        <v>581</v>
      </c>
      <c r="E55" s="8" t="s">
        <v>79</v>
      </c>
      <c r="F55" s="8">
        <v>50</v>
      </c>
      <c r="G55" s="8">
        <v>1</v>
      </c>
      <c r="H55" s="7">
        <f t="shared" si="3"/>
        <v>0</v>
      </c>
      <c r="I55" s="7">
        <f>IF(B55=Queue_Intervals!A2,MAX(0,MIN(D55,Queue_Intervals!C2)-MAX(C55+90,Queue_Intervals!B2)),0)+IF(B55=Queue_Intervals!A3,MAX(0,MIN(D55,Queue_Intervals!C3)-MAX(C55+90,Queue_Intervals!B3)),0)+IF(B55=Queue_Intervals!A4,MAX(0,MIN(D55,Queue_Intervals!C4)-MAX(C55+90,Queue_Intervals!B4)),0)+IF(B55=Queue_Intervals!A5,MAX(0,MIN(D55,Queue_Intervals!C5)-MAX(C55+90,Queue_Intervals!B5)),0)</f>
        <v>0</v>
      </c>
      <c r="J55" s="7">
        <f t="shared" si="4"/>
        <v>0</v>
      </c>
      <c r="K55" s="7">
        <f>IF(B55=Queue_Intervals!A2,MAX(0,MIN(D55,Queue_Intervals!C2)-MAX(C55+120,Queue_Intervals!B2)),0)+IF(B55=Queue_Intervals!A3,MAX(0,MIN(D55,Queue_Intervals!C3)-MAX(C55+120,Queue_Intervals!B3)),0)+IF(B55=Queue_Intervals!A4,MAX(0,MIN(D55,Queue_Intervals!C4)-MAX(C55+120,Queue_Intervals!B4)),0)+IF(B55=Queue_Intervals!A5,MAX(0,MIN(D55,Queue_Intervals!C5)-MAX(C55+120,Queue_Intervals!B5)),0)</f>
        <v>0</v>
      </c>
      <c r="L55" s="7">
        <f t="shared" si="5"/>
        <v>0</v>
      </c>
      <c r="M55" s="7">
        <f>IF(B55=Queue_Intervals!A2,MAX(0,MIN(D55,Queue_Intervals!C2)-MAX(C55+150,Queue_Intervals!B2)),0)+IF(B55=Queue_Intervals!A3,MAX(0,MIN(D55,Queue_Intervals!C3)-MAX(C55+150,Queue_Intervals!B3)),0)+IF(B55=Queue_Intervals!A4,MAX(0,MIN(D55,Queue_Intervals!C4)-MAX(C55+150,Queue_Intervals!B4)),0)+IF(B55=Queue_Intervals!A5,MAX(0,MIN(D55,Queue_Intervals!C5)-MAX(C55+150,Queue_Intervals!B5)),0)</f>
        <v>0</v>
      </c>
    </row>
    <row r="56" spans="1:13" ht="24.95" customHeight="1">
      <c r="A56" s="7" t="s">
        <v>134</v>
      </c>
      <c r="B56" s="8" t="s">
        <v>105</v>
      </c>
      <c r="C56" s="8">
        <v>540</v>
      </c>
      <c r="D56" s="8">
        <v>609</v>
      </c>
      <c r="E56" s="8" t="s">
        <v>79</v>
      </c>
      <c r="F56" s="8">
        <v>69</v>
      </c>
      <c r="G56" s="8">
        <v>1</v>
      </c>
      <c r="H56" s="7">
        <f t="shared" si="3"/>
        <v>0</v>
      </c>
      <c r="I56" s="7">
        <f>IF(B56=Queue_Intervals!A2,MAX(0,MIN(D56,Queue_Intervals!C2)-MAX(C56+90,Queue_Intervals!B2)),0)+IF(B56=Queue_Intervals!A3,MAX(0,MIN(D56,Queue_Intervals!C3)-MAX(C56+90,Queue_Intervals!B3)),0)+IF(B56=Queue_Intervals!A4,MAX(0,MIN(D56,Queue_Intervals!C4)-MAX(C56+90,Queue_Intervals!B4)),0)+IF(B56=Queue_Intervals!A5,MAX(0,MIN(D56,Queue_Intervals!C5)-MAX(C56+90,Queue_Intervals!B5)),0)</f>
        <v>0</v>
      </c>
      <c r="J56" s="7">
        <f t="shared" si="4"/>
        <v>0</v>
      </c>
      <c r="K56" s="7">
        <f>IF(B56=Queue_Intervals!A2,MAX(0,MIN(D56,Queue_Intervals!C2)-MAX(C56+120,Queue_Intervals!B2)),0)+IF(B56=Queue_Intervals!A3,MAX(0,MIN(D56,Queue_Intervals!C3)-MAX(C56+120,Queue_Intervals!B3)),0)+IF(B56=Queue_Intervals!A4,MAX(0,MIN(D56,Queue_Intervals!C4)-MAX(C56+120,Queue_Intervals!B4)),0)+IF(B56=Queue_Intervals!A5,MAX(0,MIN(D56,Queue_Intervals!C5)-MAX(C56+120,Queue_Intervals!B5)),0)</f>
        <v>0</v>
      </c>
      <c r="L56" s="7">
        <f t="shared" si="5"/>
        <v>0</v>
      </c>
      <c r="M56" s="7">
        <f>IF(B56=Queue_Intervals!A2,MAX(0,MIN(D56,Queue_Intervals!C2)-MAX(C56+150,Queue_Intervals!B2)),0)+IF(B56=Queue_Intervals!A3,MAX(0,MIN(D56,Queue_Intervals!C3)-MAX(C56+150,Queue_Intervals!B3)),0)+IF(B56=Queue_Intervals!A4,MAX(0,MIN(D56,Queue_Intervals!C4)-MAX(C56+150,Queue_Intervals!B4)),0)+IF(B56=Queue_Intervals!A5,MAX(0,MIN(D56,Queue_Intervals!C5)-MAX(C56+150,Queue_Intervals!B5)),0)</f>
        <v>0</v>
      </c>
    </row>
    <row r="57" spans="1:13" ht="24.95" customHeight="1">
      <c r="A57" s="7" t="s">
        <v>135</v>
      </c>
      <c r="B57" s="8" t="s">
        <v>105</v>
      </c>
      <c r="C57" s="8">
        <v>552</v>
      </c>
      <c r="D57" s="8">
        <v>660</v>
      </c>
      <c r="E57" s="8" t="s">
        <v>79</v>
      </c>
      <c r="F57" s="8">
        <v>108</v>
      </c>
      <c r="G57" s="8">
        <v>1</v>
      </c>
      <c r="H57" s="7">
        <f t="shared" si="3"/>
        <v>18</v>
      </c>
      <c r="I57" s="7">
        <f>IF(B57=Queue_Intervals!A2,MAX(0,MIN(D57,Queue_Intervals!C2)-MAX(C57+90,Queue_Intervals!B2)),0)+IF(B57=Queue_Intervals!A3,MAX(0,MIN(D57,Queue_Intervals!C3)-MAX(C57+90,Queue_Intervals!B3)),0)+IF(B57=Queue_Intervals!A4,MAX(0,MIN(D57,Queue_Intervals!C4)-MAX(C57+90,Queue_Intervals!B4)),0)+IF(B57=Queue_Intervals!A5,MAX(0,MIN(D57,Queue_Intervals!C5)-MAX(C57+90,Queue_Intervals!B5)),0)</f>
        <v>0</v>
      </c>
      <c r="J57" s="7">
        <f t="shared" si="4"/>
        <v>0</v>
      </c>
      <c r="K57" s="7">
        <f>IF(B57=Queue_Intervals!A2,MAX(0,MIN(D57,Queue_Intervals!C2)-MAX(C57+120,Queue_Intervals!B2)),0)+IF(B57=Queue_Intervals!A3,MAX(0,MIN(D57,Queue_Intervals!C3)-MAX(C57+120,Queue_Intervals!B3)),0)+IF(B57=Queue_Intervals!A4,MAX(0,MIN(D57,Queue_Intervals!C4)-MAX(C57+120,Queue_Intervals!B4)),0)+IF(B57=Queue_Intervals!A5,MAX(0,MIN(D57,Queue_Intervals!C5)-MAX(C57+120,Queue_Intervals!B5)),0)</f>
        <v>0</v>
      </c>
      <c r="L57" s="7">
        <f t="shared" si="5"/>
        <v>0</v>
      </c>
      <c r="M57" s="7">
        <f>IF(B57=Queue_Intervals!A2,MAX(0,MIN(D57,Queue_Intervals!C2)-MAX(C57+150,Queue_Intervals!B2)),0)+IF(B57=Queue_Intervals!A3,MAX(0,MIN(D57,Queue_Intervals!C3)-MAX(C57+150,Queue_Intervals!B3)),0)+IF(B57=Queue_Intervals!A4,MAX(0,MIN(D57,Queue_Intervals!C4)-MAX(C57+150,Queue_Intervals!B4)),0)+IF(B57=Queue_Intervals!A5,MAX(0,MIN(D57,Queue_Intervals!C5)-MAX(C57+150,Queue_Intervals!B5)),0)</f>
        <v>0</v>
      </c>
    </row>
    <row r="58" spans="1:13" ht="24.95" customHeight="1">
      <c r="A58" s="7" t="s">
        <v>136</v>
      </c>
      <c r="B58" s="8" t="s">
        <v>105</v>
      </c>
      <c r="C58" s="8">
        <v>563</v>
      </c>
      <c r="D58" s="8">
        <v>608</v>
      </c>
      <c r="E58" s="8" t="s">
        <v>79</v>
      </c>
      <c r="F58" s="8">
        <v>45</v>
      </c>
      <c r="G58" s="8">
        <v>1</v>
      </c>
      <c r="H58" s="7">
        <f t="shared" si="3"/>
        <v>0</v>
      </c>
      <c r="I58" s="7">
        <f>IF(B58=Queue_Intervals!A2,MAX(0,MIN(D58,Queue_Intervals!C2)-MAX(C58+90,Queue_Intervals!B2)),0)+IF(B58=Queue_Intervals!A3,MAX(0,MIN(D58,Queue_Intervals!C3)-MAX(C58+90,Queue_Intervals!B3)),0)+IF(B58=Queue_Intervals!A4,MAX(0,MIN(D58,Queue_Intervals!C4)-MAX(C58+90,Queue_Intervals!B4)),0)+IF(B58=Queue_Intervals!A5,MAX(0,MIN(D58,Queue_Intervals!C5)-MAX(C58+90,Queue_Intervals!B5)),0)</f>
        <v>0</v>
      </c>
      <c r="J58" s="7">
        <f t="shared" si="4"/>
        <v>0</v>
      </c>
      <c r="K58" s="7">
        <f>IF(B58=Queue_Intervals!A2,MAX(0,MIN(D58,Queue_Intervals!C2)-MAX(C58+120,Queue_Intervals!B2)),0)+IF(B58=Queue_Intervals!A3,MAX(0,MIN(D58,Queue_Intervals!C3)-MAX(C58+120,Queue_Intervals!B3)),0)+IF(B58=Queue_Intervals!A4,MAX(0,MIN(D58,Queue_Intervals!C4)-MAX(C58+120,Queue_Intervals!B4)),0)+IF(B58=Queue_Intervals!A5,MAX(0,MIN(D58,Queue_Intervals!C5)-MAX(C58+120,Queue_Intervals!B5)),0)</f>
        <v>0</v>
      </c>
      <c r="L58" s="7">
        <f t="shared" si="5"/>
        <v>0</v>
      </c>
      <c r="M58" s="7">
        <f>IF(B58=Queue_Intervals!A2,MAX(0,MIN(D58,Queue_Intervals!C2)-MAX(C58+150,Queue_Intervals!B2)),0)+IF(B58=Queue_Intervals!A3,MAX(0,MIN(D58,Queue_Intervals!C3)-MAX(C58+150,Queue_Intervals!B3)),0)+IF(B58=Queue_Intervals!A4,MAX(0,MIN(D58,Queue_Intervals!C4)-MAX(C58+150,Queue_Intervals!B4)),0)+IF(B58=Queue_Intervals!A5,MAX(0,MIN(D58,Queue_Intervals!C5)-MAX(C58+150,Queue_Intervals!B5)),0)</f>
        <v>0</v>
      </c>
    </row>
    <row r="59" spans="1:13" ht="24.95" customHeight="1">
      <c r="A59" s="7" t="s">
        <v>137</v>
      </c>
      <c r="B59" s="8" t="s">
        <v>105</v>
      </c>
      <c r="C59" s="8">
        <v>564</v>
      </c>
      <c r="D59" s="8">
        <v>585</v>
      </c>
      <c r="E59" s="8" t="s">
        <v>79</v>
      </c>
      <c r="F59" s="8">
        <v>21</v>
      </c>
      <c r="G59" s="8">
        <v>1</v>
      </c>
      <c r="H59" s="7">
        <f t="shared" si="3"/>
        <v>0</v>
      </c>
      <c r="I59" s="7">
        <f>IF(B59=Queue_Intervals!A2,MAX(0,MIN(D59,Queue_Intervals!C2)-MAX(C59+90,Queue_Intervals!B2)),0)+IF(B59=Queue_Intervals!A3,MAX(0,MIN(D59,Queue_Intervals!C3)-MAX(C59+90,Queue_Intervals!B3)),0)+IF(B59=Queue_Intervals!A4,MAX(0,MIN(D59,Queue_Intervals!C4)-MAX(C59+90,Queue_Intervals!B4)),0)+IF(B59=Queue_Intervals!A5,MAX(0,MIN(D59,Queue_Intervals!C5)-MAX(C59+90,Queue_Intervals!B5)),0)</f>
        <v>0</v>
      </c>
      <c r="J59" s="7">
        <f t="shared" si="4"/>
        <v>0</v>
      </c>
      <c r="K59" s="7">
        <f>IF(B59=Queue_Intervals!A2,MAX(0,MIN(D59,Queue_Intervals!C2)-MAX(C59+120,Queue_Intervals!B2)),0)+IF(B59=Queue_Intervals!A3,MAX(0,MIN(D59,Queue_Intervals!C3)-MAX(C59+120,Queue_Intervals!B3)),0)+IF(B59=Queue_Intervals!A4,MAX(0,MIN(D59,Queue_Intervals!C4)-MAX(C59+120,Queue_Intervals!B4)),0)+IF(B59=Queue_Intervals!A5,MAX(0,MIN(D59,Queue_Intervals!C5)-MAX(C59+120,Queue_Intervals!B5)),0)</f>
        <v>0</v>
      </c>
      <c r="L59" s="7">
        <f t="shared" si="5"/>
        <v>0</v>
      </c>
      <c r="M59" s="7">
        <f>IF(B59=Queue_Intervals!A2,MAX(0,MIN(D59,Queue_Intervals!C2)-MAX(C59+150,Queue_Intervals!B2)),0)+IF(B59=Queue_Intervals!A3,MAX(0,MIN(D59,Queue_Intervals!C3)-MAX(C59+150,Queue_Intervals!B3)),0)+IF(B59=Queue_Intervals!A4,MAX(0,MIN(D59,Queue_Intervals!C4)-MAX(C59+150,Queue_Intervals!B4)),0)+IF(B59=Queue_Intervals!A5,MAX(0,MIN(D59,Queue_Intervals!C5)-MAX(C59+150,Queue_Intervals!B5)),0)</f>
        <v>0</v>
      </c>
    </row>
    <row r="60" spans="1:13" ht="24.95" customHeight="1">
      <c r="A60" s="7" t="s">
        <v>138</v>
      </c>
      <c r="B60" s="8" t="s">
        <v>105</v>
      </c>
      <c r="C60" s="8">
        <v>576</v>
      </c>
      <c r="D60" s="8">
        <v>708</v>
      </c>
      <c r="E60" s="8" t="s">
        <v>79</v>
      </c>
      <c r="F60" s="8">
        <v>132</v>
      </c>
      <c r="G60" s="8">
        <v>1</v>
      </c>
      <c r="H60" s="7">
        <f t="shared" si="3"/>
        <v>42</v>
      </c>
      <c r="I60" s="7">
        <f>IF(B60=Queue_Intervals!A2,MAX(0,MIN(D60,Queue_Intervals!C2)-MAX(C60+90,Queue_Intervals!B2)),0)+IF(B60=Queue_Intervals!A3,MAX(0,MIN(D60,Queue_Intervals!C3)-MAX(C60+90,Queue_Intervals!B3)),0)+IF(B60=Queue_Intervals!A4,MAX(0,MIN(D60,Queue_Intervals!C4)-MAX(C60+90,Queue_Intervals!B4)),0)+IF(B60=Queue_Intervals!A5,MAX(0,MIN(D60,Queue_Intervals!C5)-MAX(C60+90,Queue_Intervals!B5)),0)</f>
        <v>0</v>
      </c>
      <c r="J60" s="7">
        <f t="shared" si="4"/>
        <v>12</v>
      </c>
      <c r="K60" s="7">
        <f>IF(B60=Queue_Intervals!A2,MAX(0,MIN(D60,Queue_Intervals!C2)-MAX(C60+120,Queue_Intervals!B2)),0)+IF(B60=Queue_Intervals!A3,MAX(0,MIN(D60,Queue_Intervals!C3)-MAX(C60+120,Queue_Intervals!B3)),0)+IF(B60=Queue_Intervals!A4,MAX(0,MIN(D60,Queue_Intervals!C4)-MAX(C60+120,Queue_Intervals!B4)),0)+IF(B60=Queue_Intervals!A5,MAX(0,MIN(D60,Queue_Intervals!C5)-MAX(C60+120,Queue_Intervals!B5)),0)</f>
        <v>0</v>
      </c>
      <c r="L60" s="7">
        <f t="shared" si="5"/>
        <v>0</v>
      </c>
      <c r="M60" s="7">
        <f>IF(B60=Queue_Intervals!A2,MAX(0,MIN(D60,Queue_Intervals!C2)-MAX(C60+150,Queue_Intervals!B2)),0)+IF(B60=Queue_Intervals!A3,MAX(0,MIN(D60,Queue_Intervals!C3)-MAX(C60+150,Queue_Intervals!B3)),0)+IF(B60=Queue_Intervals!A4,MAX(0,MIN(D60,Queue_Intervals!C4)-MAX(C60+150,Queue_Intervals!B4)),0)+IF(B60=Queue_Intervals!A5,MAX(0,MIN(D60,Queue_Intervals!C5)-MAX(C60+150,Queue_Intervals!B5)),0)</f>
        <v>0</v>
      </c>
    </row>
    <row r="61" spans="1:13" ht="24.95" customHeight="1">
      <c r="A61" s="7" t="s">
        <v>139</v>
      </c>
      <c r="B61" s="8" t="s">
        <v>105</v>
      </c>
      <c r="C61" s="8">
        <v>579</v>
      </c>
      <c r="D61" s="8">
        <v>627</v>
      </c>
      <c r="E61" s="8" t="s">
        <v>79</v>
      </c>
      <c r="F61" s="8">
        <v>48</v>
      </c>
      <c r="G61" s="8">
        <v>1</v>
      </c>
      <c r="H61" s="7">
        <f t="shared" si="3"/>
        <v>0</v>
      </c>
      <c r="I61" s="7">
        <f>IF(B61=Queue_Intervals!A2,MAX(0,MIN(D61,Queue_Intervals!C2)-MAX(C61+90,Queue_Intervals!B2)),0)+IF(B61=Queue_Intervals!A3,MAX(0,MIN(D61,Queue_Intervals!C3)-MAX(C61+90,Queue_Intervals!B3)),0)+IF(B61=Queue_Intervals!A4,MAX(0,MIN(D61,Queue_Intervals!C4)-MAX(C61+90,Queue_Intervals!B4)),0)+IF(B61=Queue_Intervals!A5,MAX(0,MIN(D61,Queue_Intervals!C5)-MAX(C61+90,Queue_Intervals!B5)),0)</f>
        <v>0</v>
      </c>
      <c r="J61" s="7">
        <f t="shared" si="4"/>
        <v>0</v>
      </c>
      <c r="K61" s="7">
        <f>IF(B61=Queue_Intervals!A2,MAX(0,MIN(D61,Queue_Intervals!C2)-MAX(C61+120,Queue_Intervals!B2)),0)+IF(B61=Queue_Intervals!A3,MAX(0,MIN(D61,Queue_Intervals!C3)-MAX(C61+120,Queue_Intervals!B3)),0)+IF(B61=Queue_Intervals!A4,MAX(0,MIN(D61,Queue_Intervals!C4)-MAX(C61+120,Queue_Intervals!B4)),0)+IF(B61=Queue_Intervals!A5,MAX(0,MIN(D61,Queue_Intervals!C5)-MAX(C61+120,Queue_Intervals!B5)),0)</f>
        <v>0</v>
      </c>
      <c r="L61" s="7">
        <f t="shared" si="5"/>
        <v>0</v>
      </c>
      <c r="M61" s="7">
        <f>IF(B61=Queue_Intervals!A2,MAX(0,MIN(D61,Queue_Intervals!C2)-MAX(C61+150,Queue_Intervals!B2)),0)+IF(B61=Queue_Intervals!A3,MAX(0,MIN(D61,Queue_Intervals!C3)-MAX(C61+150,Queue_Intervals!B3)),0)+IF(B61=Queue_Intervals!A4,MAX(0,MIN(D61,Queue_Intervals!C4)-MAX(C61+150,Queue_Intervals!B4)),0)+IF(B61=Queue_Intervals!A5,MAX(0,MIN(D61,Queue_Intervals!C5)-MAX(C61+150,Queue_Intervals!B5)),0)</f>
        <v>0</v>
      </c>
    </row>
    <row r="62" spans="1:13" ht="24.95" customHeight="1">
      <c r="A62" s="7" t="s">
        <v>140</v>
      </c>
      <c r="B62" s="8" t="s">
        <v>105</v>
      </c>
      <c r="C62" s="8">
        <v>582</v>
      </c>
      <c r="D62" s="8">
        <v>663</v>
      </c>
      <c r="E62" s="8" t="s">
        <v>79</v>
      </c>
      <c r="F62" s="8">
        <v>81</v>
      </c>
      <c r="G62" s="8">
        <v>1</v>
      </c>
      <c r="H62" s="7">
        <f t="shared" si="3"/>
        <v>0</v>
      </c>
      <c r="I62" s="7">
        <f>IF(B62=Queue_Intervals!A2,MAX(0,MIN(D62,Queue_Intervals!C2)-MAX(C62+90,Queue_Intervals!B2)),0)+IF(B62=Queue_Intervals!A3,MAX(0,MIN(D62,Queue_Intervals!C3)-MAX(C62+90,Queue_Intervals!B3)),0)+IF(B62=Queue_Intervals!A4,MAX(0,MIN(D62,Queue_Intervals!C4)-MAX(C62+90,Queue_Intervals!B4)),0)+IF(B62=Queue_Intervals!A5,MAX(0,MIN(D62,Queue_Intervals!C5)-MAX(C62+90,Queue_Intervals!B5)),0)</f>
        <v>0</v>
      </c>
      <c r="J62" s="7">
        <f t="shared" si="4"/>
        <v>0</v>
      </c>
      <c r="K62" s="7">
        <f>IF(B62=Queue_Intervals!A2,MAX(0,MIN(D62,Queue_Intervals!C2)-MAX(C62+120,Queue_Intervals!B2)),0)+IF(B62=Queue_Intervals!A3,MAX(0,MIN(D62,Queue_Intervals!C3)-MAX(C62+120,Queue_Intervals!B3)),0)+IF(B62=Queue_Intervals!A4,MAX(0,MIN(D62,Queue_Intervals!C4)-MAX(C62+120,Queue_Intervals!B4)),0)+IF(B62=Queue_Intervals!A5,MAX(0,MIN(D62,Queue_Intervals!C5)-MAX(C62+120,Queue_Intervals!B5)),0)</f>
        <v>0</v>
      </c>
      <c r="L62" s="7">
        <f t="shared" si="5"/>
        <v>0</v>
      </c>
      <c r="M62" s="7">
        <f>IF(B62=Queue_Intervals!A2,MAX(0,MIN(D62,Queue_Intervals!C2)-MAX(C62+150,Queue_Intervals!B2)),0)+IF(B62=Queue_Intervals!A3,MAX(0,MIN(D62,Queue_Intervals!C3)-MAX(C62+150,Queue_Intervals!B3)),0)+IF(B62=Queue_Intervals!A4,MAX(0,MIN(D62,Queue_Intervals!C4)-MAX(C62+150,Queue_Intervals!B4)),0)+IF(B62=Queue_Intervals!A5,MAX(0,MIN(D62,Queue_Intervals!C5)-MAX(C62+150,Queue_Intervals!B5)),0)</f>
        <v>0</v>
      </c>
    </row>
    <row r="63" spans="1:13" ht="24.95" customHeight="1">
      <c r="A63" s="7" t="s">
        <v>141</v>
      </c>
      <c r="B63" s="8" t="s">
        <v>105</v>
      </c>
      <c r="C63" s="8">
        <v>588</v>
      </c>
      <c r="D63" s="8">
        <v>681</v>
      </c>
      <c r="E63" s="8" t="s">
        <v>79</v>
      </c>
      <c r="F63" s="8">
        <v>93</v>
      </c>
      <c r="G63" s="8">
        <v>1</v>
      </c>
      <c r="H63" s="7">
        <f t="shared" si="3"/>
        <v>3</v>
      </c>
      <c r="I63" s="7">
        <f>IF(B63=Queue_Intervals!A2,MAX(0,MIN(D63,Queue_Intervals!C2)-MAX(C63+90,Queue_Intervals!B2)),0)+IF(B63=Queue_Intervals!A3,MAX(0,MIN(D63,Queue_Intervals!C3)-MAX(C63+90,Queue_Intervals!B3)),0)+IF(B63=Queue_Intervals!A4,MAX(0,MIN(D63,Queue_Intervals!C4)-MAX(C63+90,Queue_Intervals!B4)),0)+IF(B63=Queue_Intervals!A5,MAX(0,MIN(D63,Queue_Intervals!C5)-MAX(C63+90,Queue_Intervals!B5)),0)</f>
        <v>0</v>
      </c>
      <c r="J63" s="7">
        <f t="shared" si="4"/>
        <v>0</v>
      </c>
      <c r="K63" s="7">
        <f>IF(B63=Queue_Intervals!A2,MAX(0,MIN(D63,Queue_Intervals!C2)-MAX(C63+120,Queue_Intervals!B2)),0)+IF(B63=Queue_Intervals!A3,MAX(0,MIN(D63,Queue_Intervals!C3)-MAX(C63+120,Queue_Intervals!B3)),0)+IF(B63=Queue_Intervals!A4,MAX(0,MIN(D63,Queue_Intervals!C4)-MAX(C63+120,Queue_Intervals!B4)),0)+IF(B63=Queue_Intervals!A5,MAX(0,MIN(D63,Queue_Intervals!C5)-MAX(C63+120,Queue_Intervals!B5)),0)</f>
        <v>0</v>
      </c>
      <c r="L63" s="7">
        <f t="shared" si="5"/>
        <v>0</v>
      </c>
      <c r="M63" s="7">
        <f>IF(B63=Queue_Intervals!A2,MAX(0,MIN(D63,Queue_Intervals!C2)-MAX(C63+150,Queue_Intervals!B2)),0)+IF(B63=Queue_Intervals!A3,MAX(0,MIN(D63,Queue_Intervals!C3)-MAX(C63+150,Queue_Intervals!B3)),0)+IF(B63=Queue_Intervals!A4,MAX(0,MIN(D63,Queue_Intervals!C4)-MAX(C63+150,Queue_Intervals!B4)),0)+IF(B63=Queue_Intervals!A5,MAX(0,MIN(D63,Queue_Intervals!C5)-MAX(C63+150,Queue_Intervals!B5)),0)</f>
        <v>0</v>
      </c>
    </row>
    <row r="64" spans="1:13" ht="24.95" customHeight="1">
      <c r="A64" s="7" t="s">
        <v>142</v>
      </c>
      <c r="B64" s="8" t="s">
        <v>105</v>
      </c>
      <c r="C64" s="8">
        <v>594</v>
      </c>
      <c r="D64" s="8">
        <v>656</v>
      </c>
      <c r="E64" s="8" t="s">
        <v>79</v>
      </c>
      <c r="F64" s="8">
        <v>62</v>
      </c>
      <c r="G64" s="8">
        <v>1</v>
      </c>
      <c r="H64" s="7">
        <f t="shared" si="3"/>
        <v>0</v>
      </c>
      <c r="I64" s="7">
        <f>IF(B64=Queue_Intervals!A2,MAX(0,MIN(D64,Queue_Intervals!C2)-MAX(C64+90,Queue_Intervals!B2)),0)+IF(B64=Queue_Intervals!A3,MAX(0,MIN(D64,Queue_Intervals!C3)-MAX(C64+90,Queue_Intervals!B3)),0)+IF(B64=Queue_Intervals!A4,MAX(0,MIN(D64,Queue_Intervals!C4)-MAX(C64+90,Queue_Intervals!B4)),0)+IF(B64=Queue_Intervals!A5,MAX(0,MIN(D64,Queue_Intervals!C5)-MAX(C64+90,Queue_Intervals!B5)),0)</f>
        <v>0</v>
      </c>
      <c r="J64" s="7">
        <f t="shared" si="4"/>
        <v>0</v>
      </c>
      <c r="K64" s="7">
        <f>IF(B64=Queue_Intervals!A2,MAX(0,MIN(D64,Queue_Intervals!C2)-MAX(C64+120,Queue_Intervals!B2)),0)+IF(B64=Queue_Intervals!A3,MAX(0,MIN(D64,Queue_Intervals!C3)-MAX(C64+120,Queue_Intervals!B3)),0)+IF(B64=Queue_Intervals!A4,MAX(0,MIN(D64,Queue_Intervals!C4)-MAX(C64+120,Queue_Intervals!B4)),0)+IF(B64=Queue_Intervals!A5,MAX(0,MIN(D64,Queue_Intervals!C5)-MAX(C64+120,Queue_Intervals!B5)),0)</f>
        <v>0</v>
      </c>
      <c r="L64" s="7">
        <f t="shared" si="5"/>
        <v>0</v>
      </c>
      <c r="M64" s="7">
        <f>IF(B64=Queue_Intervals!A2,MAX(0,MIN(D64,Queue_Intervals!C2)-MAX(C64+150,Queue_Intervals!B2)),0)+IF(B64=Queue_Intervals!A3,MAX(0,MIN(D64,Queue_Intervals!C3)-MAX(C64+150,Queue_Intervals!B3)),0)+IF(B64=Queue_Intervals!A4,MAX(0,MIN(D64,Queue_Intervals!C4)-MAX(C64+150,Queue_Intervals!B4)),0)+IF(B64=Queue_Intervals!A5,MAX(0,MIN(D64,Queue_Intervals!C5)-MAX(C64+150,Queue_Intervals!B5)),0)</f>
        <v>0</v>
      </c>
    </row>
    <row r="65" spans="1:13" ht="24.95" customHeight="1">
      <c r="A65" s="7" t="s">
        <v>143</v>
      </c>
      <c r="B65" s="8" t="s">
        <v>105</v>
      </c>
      <c r="C65" s="8">
        <v>591</v>
      </c>
      <c r="D65" s="8">
        <v>683</v>
      </c>
      <c r="E65" s="8" t="s">
        <v>79</v>
      </c>
      <c r="F65" s="8">
        <v>92</v>
      </c>
      <c r="G65" s="8">
        <v>1</v>
      </c>
      <c r="H65" s="7">
        <f t="shared" si="3"/>
        <v>2</v>
      </c>
      <c r="I65" s="7">
        <f>IF(B65=Queue_Intervals!A2,MAX(0,MIN(D65,Queue_Intervals!C2)-MAX(C65+90,Queue_Intervals!B2)),0)+IF(B65=Queue_Intervals!A3,MAX(0,MIN(D65,Queue_Intervals!C3)-MAX(C65+90,Queue_Intervals!B3)),0)+IF(B65=Queue_Intervals!A4,MAX(0,MIN(D65,Queue_Intervals!C4)-MAX(C65+90,Queue_Intervals!B4)),0)+IF(B65=Queue_Intervals!A5,MAX(0,MIN(D65,Queue_Intervals!C5)-MAX(C65+90,Queue_Intervals!B5)),0)</f>
        <v>0</v>
      </c>
      <c r="J65" s="7">
        <f t="shared" si="4"/>
        <v>0</v>
      </c>
      <c r="K65" s="7">
        <f>IF(B65=Queue_Intervals!A2,MAX(0,MIN(D65,Queue_Intervals!C2)-MAX(C65+120,Queue_Intervals!B2)),0)+IF(B65=Queue_Intervals!A3,MAX(0,MIN(D65,Queue_Intervals!C3)-MAX(C65+120,Queue_Intervals!B3)),0)+IF(B65=Queue_Intervals!A4,MAX(0,MIN(D65,Queue_Intervals!C4)-MAX(C65+120,Queue_Intervals!B4)),0)+IF(B65=Queue_Intervals!A5,MAX(0,MIN(D65,Queue_Intervals!C5)-MAX(C65+120,Queue_Intervals!B5)),0)</f>
        <v>0</v>
      </c>
      <c r="L65" s="7">
        <f t="shared" si="5"/>
        <v>0</v>
      </c>
      <c r="M65" s="7">
        <f>IF(B65=Queue_Intervals!A2,MAX(0,MIN(D65,Queue_Intervals!C2)-MAX(C65+150,Queue_Intervals!B2)),0)+IF(B65=Queue_Intervals!A3,MAX(0,MIN(D65,Queue_Intervals!C3)-MAX(C65+150,Queue_Intervals!B3)),0)+IF(B65=Queue_Intervals!A4,MAX(0,MIN(D65,Queue_Intervals!C4)-MAX(C65+150,Queue_Intervals!B4)),0)+IF(B65=Queue_Intervals!A5,MAX(0,MIN(D65,Queue_Intervals!C5)-MAX(C65+150,Queue_Intervals!B5)),0)</f>
        <v>0</v>
      </c>
    </row>
    <row r="66" spans="1:13" ht="24.95" customHeight="1">
      <c r="A66" s="7" t="s">
        <v>144</v>
      </c>
      <c r="B66" s="8" t="s">
        <v>105</v>
      </c>
      <c r="C66" s="8">
        <v>592</v>
      </c>
      <c r="D66" s="8">
        <v>640</v>
      </c>
      <c r="E66" s="8" t="s">
        <v>79</v>
      </c>
      <c r="F66" s="8">
        <v>48</v>
      </c>
      <c r="G66" s="8">
        <v>1</v>
      </c>
      <c r="H66" s="7">
        <f t="shared" ref="H66:H97" si="6">MAX(0,F66-90)</f>
        <v>0</v>
      </c>
      <c r="I66" s="7">
        <f>IF(B66=Queue_Intervals!A2,MAX(0,MIN(D66,Queue_Intervals!C2)-MAX(C66+90,Queue_Intervals!B2)),0)+IF(B66=Queue_Intervals!A3,MAX(0,MIN(D66,Queue_Intervals!C3)-MAX(C66+90,Queue_Intervals!B3)),0)+IF(B66=Queue_Intervals!A4,MAX(0,MIN(D66,Queue_Intervals!C4)-MAX(C66+90,Queue_Intervals!B4)),0)+IF(B66=Queue_Intervals!A5,MAX(0,MIN(D66,Queue_Intervals!C5)-MAX(C66+90,Queue_Intervals!B5)),0)</f>
        <v>0</v>
      </c>
      <c r="J66" s="7">
        <f t="shared" ref="J66:J97" si="7">MAX(0,F66-120)</f>
        <v>0</v>
      </c>
      <c r="K66" s="7">
        <f>IF(B66=Queue_Intervals!A2,MAX(0,MIN(D66,Queue_Intervals!C2)-MAX(C66+120,Queue_Intervals!B2)),0)+IF(B66=Queue_Intervals!A3,MAX(0,MIN(D66,Queue_Intervals!C3)-MAX(C66+120,Queue_Intervals!B3)),0)+IF(B66=Queue_Intervals!A4,MAX(0,MIN(D66,Queue_Intervals!C4)-MAX(C66+120,Queue_Intervals!B4)),0)+IF(B66=Queue_Intervals!A5,MAX(0,MIN(D66,Queue_Intervals!C5)-MAX(C66+120,Queue_Intervals!B5)),0)</f>
        <v>0</v>
      </c>
      <c r="L66" s="7">
        <f t="shared" ref="L66:L97" si="8">MAX(0,F66-150)</f>
        <v>0</v>
      </c>
      <c r="M66" s="7">
        <f>IF(B66=Queue_Intervals!A2,MAX(0,MIN(D66,Queue_Intervals!C2)-MAX(C66+150,Queue_Intervals!B2)),0)+IF(B66=Queue_Intervals!A3,MAX(0,MIN(D66,Queue_Intervals!C3)-MAX(C66+150,Queue_Intervals!B3)),0)+IF(B66=Queue_Intervals!A4,MAX(0,MIN(D66,Queue_Intervals!C4)-MAX(C66+150,Queue_Intervals!B4)),0)+IF(B66=Queue_Intervals!A5,MAX(0,MIN(D66,Queue_Intervals!C5)-MAX(C66+150,Queue_Intervals!B5)),0)</f>
        <v>0</v>
      </c>
    </row>
    <row r="67" spans="1:13" ht="24.95" customHeight="1">
      <c r="A67" s="7" t="s">
        <v>145</v>
      </c>
      <c r="B67" s="8" t="s">
        <v>105</v>
      </c>
      <c r="C67" s="8">
        <v>597</v>
      </c>
      <c r="D67" s="8">
        <v>688</v>
      </c>
      <c r="E67" s="8" t="s">
        <v>79</v>
      </c>
      <c r="F67" s="8">
        <v>91</v>
      </c>
      <c r="G67" s="8">
        <v>1</v>
      </c>
      <c r="H67" s="7">
        <f t="shared" si="6"/>
        <v>1</v>
      </c>
      <c r="I67" s="7">
        <f>IF(B67=Queue_Intervals!A2,MAX(0,MIN(D67,Queue_Intervals!C2)-MAX(C67+90,Queue_Intervals!B2)),0)+IF(B67=Queue_Intervals!A3,MAX(0,MIN(D67,Queue_Intervals!C3)-MAX(C67+90,Queue_Intervals!B3)),0)+IF(B67=Queue_Intervals!A4,MAX(0,MIN(D67,Queue_Intervals!C4)-MAX(C67+90,Queue_Intervals!B4)),0)+IF(B67=Queue_Intervals!A5,MAX(0,MIN(D67,Queue_Intervals!C5)-MAX(C67+90,Queue_Intervals!B5)),0)</f>
        <v>0</v>
      </c>
      <c r="J67" s="7">
        <f t="shared" si="7"/>
        <v>0</v>
      </c>
      <c r="K67" s="7">
        <f>IF(B67=Queue_Intervals!A2,MAX(0,MIN(D67,Queue_Intervals!C2)-MAX(C67+120,Queue_Intervals!B2)),0)+IF(B67=Queue_Intervals!A3,MAX(0,MIN(D67,Queue_Intervals!C3)-MAX(C67+120,Queue_Intervals!B3)),0)+IF(B67=Queue_Intervals!A4,MAX(0,MIN(D67,Queue_Intervals!C4)-MAX(C67+120,Queue_Intervals!B4)),0)+IF(B67=Queue_Intervals!A5,MAX(0,MIN(D67,Queue_Intervals!C5)-MAX(C67+120,Queue_Intervals!B5)),0)</f>
        <v>0</v>
      </c>
      <c r="L67" s="7">
        <f t="shared" si="8"/>
        <v>0</v>
      </c>
      <c r="M67" s="7">
        <f>IF(B67=Queue_Intervals!A2,MAX(0,MIN(D67,Queue_Intervals!C2)-MAX(C67+150,Queue_Intervals!B2)),0)+IF(B67=Queue_Intervals!A3,MAX(0,MIN(D67,Queue_Intervals!C3)-MAX(C67+150,Queue_Intervals!B3)),0)+IF(B67=Queue_Intervals!A4,MAX(0,MIN(D67,Queue_Intervals!C4)-MAX(C67+150,Queue_Intervals!B4)),0)+IF(B67=Queue_Intervals!A5,MAX(0,MIN(D67,Queue_Intervals!C5)-MAX(C67+150,Queue_Intervals!B5)),0)</f>
        <v>0</v>
      </c>
    </row>
    <row r="68" spans="1:13" ht="24.95" customHeight="1">
      <c r="A68" s="7" t="s">
        <v>146</v>
      </c>
      <c r="B68" s="8" t="s">
        <v>105</v>
      </c>
      <c r="C68" s="8">
        <v>599</v>
      </c>
      <c r="D68" s="8">
        <v>645</v>
      </c>
      <c r="E68" s="8" t="s">
        <v>79</v>
      </c>
      <c r="F68" s="8">
        <v>46</v>
      </c>
      <c r="G68" s="8">
        <v>1</v>
      </c>
      <c r="H68" s="7">
        <f t="shared" si="6"/>
        <v>0</v>
      </c>
      <c r="I68" s="7">
        <f>IF(B68=Queue_Intervals!A2,MAX(0,MIN(D68,Queue_Intervals!C2)-MAX(C68+90,Queue_Intervals!B2)),0)+IF(B68=Queue_Intervals!A3,MAX(0,MIN(D68,Queue_Intervals!C3)-MAX(C68+90,Queue_Intervals!B3)),0)+IF(B68=Queue_Intervals!A4,MAX(0,MIN(D68,Queue_Intervals!C4)-MAX(C68+90,Queue_Intervals!B4)),0)+IF(B68=Queue_Intervals!A5,MAX(0,MIN(D68,Queue_Intervals!C5)-MAX(C68+90,Queue_Intervals!B5)),0)</f>
        <v>0</v>
      </c>
      <c r="J68" s="7">
        <f t="shared" si="7"/>
        <v>0</v>
      </c>
      <c r="K68" s="7">
        <f>IF(B68=Queue_Intervals!A2,MAX(0,MIN(D68,Queue_Intervals!C2)-MAX(C68+120,Queue_Intervals!B2)),0)+IF(B68=Queue_Intervals!A3,MAX(0,MIN(D68,Queue_Intervals!C3)-MAX(C68+120,Queue_Intervals!B3)),0)+IF(B68=Queue_Intervals!A4,MAX(0,MIN(D68,Queue_Intervals!C4)-MAX(C68+120,Queue_Intervals!B4)),0)+IF(B68=Queue_Intervals!A5,MAX(0,MIN(D68,Queue_Intervals!C5)-MAX(C68+120,Queue_Intervals!B5)),0)</f>
        <v>0</v>
      </c>
      <c r="L68" s="7">
        <f t="shared" si="8"/>
        <v>0</v>
      </c>
      <c r="M68" s="7">
        <f>IF(B68=Queue_Intervals!A2,MAX(0,MIN(D68,Queue_Intervals!C2)-MAX(C68+150,Queue_Intervals!B2)),0)+IF(B68=Queue_Intervals!A3,MAX(0,MIN(D68,Queue_Intervals!C3)-MAX(C68+150,Queue_Intervals!B3)),0)+IF(B68=Queue_Intervals!A4,MAX(0,MIN(D68,Queue_Intervals!C4)-MAX(C68+150,Queue_Intervals!B4)),0)+IF(B68=Queue_Intervals!A5,MAX(0,MIN(D68,Queue_Intervals!C5)-MAX(C68+150,Queue_Intervals!B5)),0)</f>
        <v>0</v>
      </c>
    </row>
    <row r="69" spans="1:13" ht="24.95" customHeight="1">
      <c r="A69" s="7" t="s">
        <v>147</v>
      </c>
      <c r="B69" s="8" t="s">
        <v>105</v>
      </c>
      <c r="C69" s="8">
        <v>600</v>
      </c>
      <c r="D69" s="8">
        <v>687</v>
      </c>
      <c r="E69" s="8" t="s">
        <v>79</v>
      </c>
      <c r="F69" s="8">
        <v>87</v>
      </c>
      <c r="G69" s="8">
        <v>1</v>
      </c>
      <c r="H69" s="7">
        <f t="shared" si="6"/>
        <v>0</v>
      </c>
      <c r="I69" s="7">
        <f>IF(B69=Queue_Intervals!A2,MAX(0,MIN(D69,Queue_Intervals!C2)-MAX(C69+90,Queue_Intervals!B2)),0)+IF(B69=Queue_Intervals!A3,MAX(0,MIN(D69,Queue_Intervals!C3)-MAX(C69+90,Queue_Intervals!B3)),0)+IF(B69=Queue_Intervals!A4,MAX(0,MIN(D69,Queue_Intervals!C4)-MAX(C69+90,Queue_Intervals!B4)),0)+IF(B69=Queue_Intervals!A5,MAX(0,MIN(D69,Queue_Intervals!C5)-MAX(C69+90,Queue_Intervals!B5)),0)</f>
        <v>0</v>
      </c>
      <c r="J69" s="7">
        <f t="shared" si="7"/>
        <v>0</v>
      </c>
      <c r="K69" s="7">
        <f>IF(B69=Queue_Intervals!A2,MAX(0,MIN(D69,Queue_Intervals!C2)-MAX(C69+120,Queue_Intervals!B2)),0)+IF(B69=Queue_Intervals!A3,MAX(0,MIN(D69,Queue_Intervals!C3)-MAX(C69+120,Queue_Intervals!B3)),0)+IF(B69=Queue_Intervals!A4,MAX(0,MIN(D69,Queue_Intervals!C4)-MAX(C69+120,Queue_Intervals!B4)),0)+IF(B69=Queue_Intervals!A5,MAX(0,MIN(D69,Queue_Intervals!C5)-MAX(C69+120,Queue_Intervals!B5)),0)</f>
        <v>0</v>
      </c>
      <c r="L69" s="7">
        <f t="shared" si="8"/>
        <v>0</v>
      </c>
      <c r="M69" s="7">
        <f>IF(B69=Queue_Intervals!A2,MAX(0,MIN(D69,Queue_Intervals!C2)-MAX(C69+150,Queue_Intervals!B2)),0)+IF(B69=Queue_Intervals!A3,MAX(0,MIN(D69,Queue_Intervals!C3)-MAX(C69+150,Queue_Intervals!B3)),0)+IF(B69=Queue_Intervals!A4,MAX(0,MIN(D69,Queue_Intervals!C4)-MAX(C69+150,Queue_Intervals!B4)),0)+IF(B69=Queue_Intervals!A5,MAX(0,MIN(D69,Queue_Intervals!C5)-MAX(C69+150,Queue_Intervals!B5)),0)</f>
        <v>0</v>
      </c>
    </row>
    <row r="70" spans="1:13" ht="24.95" customHeight="1">
      <c r="A70" s="7" t="s">
        <v>148</v>
      </c>
      <c r="B70" s="8" t="s">
        <v>105</v>
      </c>
      <c r="C70" s="8">
        <v>604</v>
      </c>
      <c r="D70" s="8">
        <v>685</v>
      </c>
      <c r="E70" s="8" t="s">
        <v>79</v>
      </c>
      <c r="F70" s="8">
        <v>81</v>
      </c>
      <c r="G70" s="8">
        <v>1</v>
      </c>
      <c r="H70" s="7">
        <f t="shared" si="6"/>
        <v>0</v>
      </c>
      <c r="I70" s="7">
        <f>IF(B70=Queue_Intervals!A2,MAX(0,MIN(D70,Queue_Intervals!C2)-MAX(C70+90,Queue_Intervals!B2)),0)+IF(B70=Queue_Intervals!A3,MAX(0,MIN(D70,Queue_Intervals!C3)-MAX(C70+90,Queue_Intervals!B3)),0)+IF(B70=Queue_Intervals!A4,MAX(0,MIN(D70,Queue_Intervals!C4)-MAX(C70+90,Queue_Intervals!B4)),0)+IF(B70=Queue_Intervals!A5,MAX(0,MIN(D70,Queue_Intervals!C5)-MAX(C70+90,Queue_Intervals!B5)),0)</f>
        <v>0</v>
      </c>
      <c r="J70" s="7">
        <f t="shared" si="7"/>
        <v>0</v>
      </c>
      <c r="K70" s="7">
        <f>IF(B70=Queue_Intervals!A2,MAX(0,MIN(D70,Queue_Intervals!C2)-MAX(C70+120,Queue_Intervals!B2)),0)+IF(B70=Queue_Intervals!A3,MAX(0,MIN(D70,Queue_Intervals!C3)-MAX(C70+120,Queue_Intervals!B3)),0)+IF(B70=Queue_Intervals!A4,MAX(0,MIN(D70,Queue_Intervals!C4)-MAX(C70+120,Queue_Intervals!B4)),0)+IF(B70=Queue_Intervals!A5,MAX(0,MIN(D70,Queue_Intervals!C5)-MAX(C70+120,Queue_Intervals!B5)),0)</f>
        <v>0</v>
      </c>
      <c r="L70" s="7">
        <f t="shared" si="8"/>
        <v>0</v>
      </c>
      <c r="M70" s="7">
        <f>IF(B70=Queue_Intervals!A2,MAX(0,MIN(D70,Queue_Intervals!C2)-MAX(C70+150,Queue_Intervals!B2)),0)+IF(B70=Queue_Intervals!A3,MAX(0,MIN(D70,Queue_Intervals!C3)-MAX(C70+150,Queue_Intervals!B3)),0)+IF(B70=Queue_Intervals!A4,MAX(0,MIN(D70,Queue_Intervals!C4)-MAX(C70+150,Queue_Intervals!B4)),0)+IF(B70=Queue_Intervals!A5,MAX(0,MIN(D70,Queue_Intervals!C5)-MAX(C70+150,Queue_Intervals!B5)),0)</f>
        <v>0</v>
      </c>
    </row>
    <row r="71" spans="1:13" ht="24.95" customHeight="1">
      <c r="A71" s="7" t="s">
        <v>149</v>
      </c>
      <c r="B71" s="8" t="s">
        <v>105</v>
      </c>
      <c r="C71" s="8">
        <v>605</v>
      </c>
      <c r="D71" s="8">
        <v>681</v>
      </c>
      <c r="E71" s="8" t="s">
        <v>79</v>
      </c>
      <c r="F71" s="8">
        <v>76</v>
      </c>
      <c r="G71" s="8">
        <v>1</v>
      </c>
      <c r="H71" s="7">
        <f t="shared" si="6"/>
        <v>0</v>
      </c>
      <c r="I71" s="7">
        <f>IF(B71=Queue_Intervals!A2,MAX(0,MIN(D71,Queue_Intervals!C2)-MAX(C71+90,Queue_Intervals!B2)),0)+IF(B71=Queue_Intervals!A3,MAX(0,MIN(D71,Queue_Intervals!C3)-MAX(C71+90,Queue_Intervals!B3)),0)+IF(B71=Queue_Intervals!A4,MAX(0,MIN(D71,Queue_Intervals!C4)-MAX(C71+90,Queue_Intervals!B4)),0)+IF(B71=Queue_Intervals!A5,MAX(0,MIN(D71,Queue_Intervals!C5)-MAX(C71+90,Queue_Intervals!B5)),0)</f>
        <v>0</v>
      </c>
      <c r="J71" s="7">
        <f t="shared" si="7"/>
        <v>0</v>
      </c>
      <c r="K71" s="7">
        <f>IF(B71=Queue_Intervals!A2,MAX(0,MIN(D71,Queue_Intervals!C2)-MAX(C71+120,Queue_Intervals!B2)),0)+IF(B71=Queue_Intervals!A3,MAX(0,MIN(D71,Queue_Intervals!C3)-MAX(C71+120,Queue_Intervals!B3)),0)+IF(B71=Queue_Intervals!A4,MAX(0,MIN(D71,Queue_Intervals!C4)-MAX(C71+120,Queue_Intervals!B4)),0)+IF(B71=Queue_Intervals!A5,MAX(0,MIN(D71,Queue_Intervals!C5)-MAX(C71+120,Queue_Intervals!B5)),0)</f>
        <v>0</v>
      </c>
      <c r="L71" s="7">
        <f t="shared" si="8"/>
        <v>0</v>
      </c>
      <c r="M71" s="7">
        <f>IF(B71=Queue_Intervals!A2,MAX(0,MIN(D71,Queue_Intervals!C2)-MAX(C71+150,Queue_Intervals!B2)),0)+IF(B71=Queue_Intervals!A3,MAX(0,MIN(D71,Queue_Intervals!C3)-MAX(C71+150,Queue_Intervals!B3)),0)+IF(B71=Queue_Intervals!A4,MAX(0,MIN(D71,Queue_Intervals!C4)-MAX(C71+150,Queue_Intervals!B4)),0)+IF(B71=Queue_Intervals!A5,MAX(0,MIN(D71,Queue_Intervals!C5)-MAX(C71+150,Queue_Intervals!B5)),0)</f>
        <v>0</v>
      </c>
    </row>
    <row r="72" spans="1:13" ht="24.95" customHeight="1">
      <c r="A72" s="7" t="s">
        <v>150</v>
      </c>
      <c r="B72" s="8" t="s">
        <v>105</v>
      </c>
      <c r="C72" s="8">
        <v>611</v>
      </c>
      <c r="D72" s="8">
        <v>622</v>
      </c>
      <c r="E72" s="8" t="s">
        <v>79</v>
      </c>
      <c r="F72" s="8">
        <v>11</v>
      </c>
      <c r="G72" s="8">
        <v>1</v>
      </c>
      <c r="H72" s="7">
        <f t="shared" si="6"/>
        <v>0</v>
      </c>
      <c r="I72" s="7">
        <f>IF(B72=Queue_Intervals!A2,MAX(0,MIN(D72,Queue_Intervals!C2)-MAX(C72+90,Queue_Intervals!B2)),0)+IF(B72=Queue_Intervals!A3,MAX(0,MIN(D72,Queue_Intervals!C3)-MAX(C72+90,Queue_Intervals!B3)),0)+IF(B72=Queue_Intervals!A4,MAX(0,MIN(D72,Queue_Intervals!C4)-MAX(C72+90,Queue_Intervals!B4)),0)+IF(B72=Queue_Intervals!A5,MAX(0,MIN(D72,Queue_Intervals!C5)-MAX(C72+90,Queue_Intervals!B5)),0)</f>
        <v>0</v>
      </c>
      <c r="J72" s="7">
        <f t="shared" si="7"/>
        <v>0</v>
      </c>
      <c r="K72" s="7">
        <f>IF(B72=Queue_Intervals!A2,MAX(0,MIN(D72,Queue_Intervals!C2)-MAX(C72+120,Queue_Intervals!B2)),0)+IF(B72=Queue_Intervals!A3,MAX(0,MIN(D72,Queue_Intervals!C3)-MAX(C72+120,Queue_Intervals!B3)),0)+IF(B72=Queue_Intervals!A4,MAX(0,MIN(D72,Queue_Intervals!C4)-MAX(C72+120,Queue_Intervals!B4)),0)+IF(B72=Queue_Intervals!A5,MAX(0,MIN(D72,Queue_Intervals!C5)-MAX(C72+120,Queue_Intervals!B5)),0)</f>
        <v>0</v>
      </c>
      <c r="L72" s="7">
        <f t="shared" si="8"/>
        <v>0</v>
      </c>
      <c r="M72" s="7">
        <f>IF(B72=Queue_Intervals!A2,MAX(0,MIN(D72,Queue_Intervals!C2)-MAX(C72+150,Queue_Intervals!B2)),0)+IF(B72=Queue_Intervals!A3,MAX(0,MIN(D72,Queue_Intervals!C3)-MAX(C72+150,Queue_Intervals!B3)),0)+IF(B72=Queue_Intervals!A4,MAX(0,MIN(D72,Queue_Intervals!C4)-MAX(C72+150,Queue_Intervals!B4)),0)+IF(B72=Queue_Intervals!A5,MAX(0,MIN(D72,Queue_Intervals!C5)-MAX(C72+150,Queue_Intervals!B5)),0)</f>
        <v>0</v>
      </c>
    </row>
    <row r="73" spans="1:13" ht="24.95" customHeight="1">
      <c r="A73" s="7" t="s">
        <v>151</v>
      </c>
      <c r="B73" s="8" t="s">
        <v>105</v>
      </c>
      <c r="C73" s="8">
        <v>614</v>
      </c>
      <c r="D73" s="8">
        <v>697</v>
      </c>
      <c r="E73" s="8" t="s">
        <v>79</v>
      </c>
      <c r="F73" s="8">
        <v>83</v>
      </c>
      <c r="G73" s="8">
        <v>1</v>
      </c>
      <c r="H73" s="7">
        <f t="shared" si="6"/>
        <v>0</v>
      </c>
      <c r="I73" s="7">
        <f>IF(B73=Queue_Intervals!A2,MAX(0,MIN(D73,Queue_Intervals!C2)-MAX(C73+90,Queue_Intervals!B2)),0)+IF(B73=Queue_Intervals!A3,MAX(0,MIN(D73,Queue_Intervals!C3)-MAX(C73+90,Queue_Intervals!B3)),0)+IF(B73=Queue_Intervals!A4,MAX(0,MIN(D73,Queue_Intervals!C4)-MAX(C73+90,Queue_Intervals!B4)),0)+IF(B73=Queue_Intervals!A5,MAX(0,MIN(D73,Queue_Intervals!C5)-MAX(C73+90,Queue_Intervals!B5)),0)</f>
        <v>0</v>
      </c>
      <c r="J73" s="7">
        <f t="shared" si="7"/>
        <v>0</v>
      </c>
      <c r="K73" s="7">
        <f>IF(B73=Queue_Intervals!A2,MAX(0,MIN(D73,Queue_Intervals!C2)-MAX(C73+120,Queue_Intervals!B2)),0)+IF(B73=Queue_Intervals!A3,MAX(0,MIN(D73,Queue_Intervals!C3)-MAX(C73+120,Queue_Intervals!B3)),0)+IF(B73=Queue_Intervals!A4,MAX(0,MIN(D73,Queue_Intervals!C4)-MAX(C73+120,Queue_Intervals!B4)),0)+IF(B73=Queue_Intervals!A5,MAX(0,MIN(D73,Queue_Intervals!C5)-MAX(C73+120,Queue_Intervals!B5)),0)</f>
        <v>0</v>
      </c>
      <c r="L73" s="7">
        <f t="shared" si="8"/>
        <v>0</v>
      </c>
      <c r="M73" s="7">
        <f>IF(B73=Queue_Intervals!A2,MAX(0,MIN(D73,Queue_Intervals!C2)-MAX(C73+150,Queue_Intervals!B2)),0)+IF(B73=Queue_Intervals!A3,MAX(0,MIN(D73,Queue_Intervals!C3)-MAX(C73+150,Queue_Intervals!B3)),0)+IF(B73=Queue_Intervals!A4,MAX(0,MIN(D73,Queue_Intervals!C4)-MAX(C73+150,Queue_Intervals!B4)),0)+IF(B73=Queue_Intervals!A5,MAX(0,MIN(D73,Queue_Intervals!C5)-MAX(C73+150,Queue_Intervals!B5)),0)</f>
        <v>0</v>
      </c>
    </row>
    <row r="74" spans="1:13" ht="24.95" customHeight="1">
      <c r="A74" s="7" t="s">
        <v>152</v>
      </c>
      <c r="B74" s="8" t="s">
        <v>105</v>
      </c>
      <c r="C74" s="8">
        <v>619</v>
      </c>
      <c r="D74" s="8">
        <v>642</v>
      </c>
      <c r="E74" s="8" t="s">
        <v>79</v>
      </c>
      <c r="F74" s="8">
        <v>23</v>
      </c>
      <c r="G74" s="8">
        <v>1</v>
      </c>
      <c r="H74" s="7">
        <f t="shared" si="6"/>
        <v>0</v>
      </c>
      <c r="I74" s="7">
        <f>IF(B74=Queue_Intervals!A2,MAX(0,MIN(D74,Queue_Intervals!C2)-MAX(C74+90,Queue_Intervals!B2)),0)+IF(B74=Queue_Intervals!A3,MAX(0,MIN(D74,Queue_Intervals!C3)-MAX(C74+90,Queue_Intervals!B3)),0)+IF(B74=Queue_Intervals!A4,MAX(0,MIN(D74,Queue_Intervals!C4)-MAX(C74+90,Queue_Intervals!B4)),0)+IF(B74=Queue_Intervals!A5,MAX(0,MIN(D74,Queue_Intervals!C5)-MAX(C74+90,Queue_Intervals!B5)),0)</f>
        <v>0</v>
      </c>
      <c r="J74" s="7">
        <f t="shared" si="7"/>
        <v>0</v>
      </c>
      <c r="K74" s="7">
        <f>IF(B74=Queue_Intervals!A2,MAX(0,MIN(D74,Queue_Intervals!C2)-MAX(C74+120,Queue_Intervals!B2)),0)+IF(B74=Queue_Intervals!A3,MAX(0,MIN(D74,Queue_Intervals!C3)-MAX(C74+120,Queue_Intervals!B3)),0)+IF(B74=Queue_Intervals!A4,MAX(0,MIN(D74,Queue_Intervals!C4)-MAX(C74+120,Queue_Intervals!B4)),0)+IF(B74=Queue_Intervals!A5,MAX(0,MIN(D74,Queue_Intervals!C5)-MAX(C74+120,Queue_Intervals!B5)),0)</f>
        <v>0</v>
      </c>
      <c r="L74" s="7">
        <f t="shared" si="8"/>
        <v>0</v>
      </c>
      <c r="M74" s="7">
        <f>IF(B74=Queue_Intervals!A2,MAX(0,MIN(D74,Queue_Intervals!C2)-MAX(C74+150,Queue_Intervals!B2)),0)+IF(B74=Queue_Intervals!A3,MAX(0,MIN(D74,Queue_Intervals!C3)-MAX(C74+150,Queue_Intervals!B3)),0)+IF(B74=Queue_Intervals!A4,MAX(0,MIN(D74,Queue_Intervals!C4)-MAX(C74+150,Queue_Intervals!B4)),0)+IF(B74=Queue_Intervals!A5,MAX(0,MIN(D74,Queue_Intervals!C5)-MAX(C74+150,Queue_Intervals!B5)),0)</f>
        <v>0</v>
      </c>
    </row>
    <row r="75" spans="1:13" ht="24.95" customHeight="1">
      <c r="A75" s="7" t="s">
        <v>153</v>
      </c>
      <c r="B75" s="8" t="s">
        <v>105</v>
      </c>
      <c r="C75" s="8">
        <v>623</v>
      </c>
      <c r="D75" s="8">
        <v>683</v>
      </c>
      <c r="E75" s="8" t="s">
        <v>79</v>
      </c>
      <c r="F75" s="8">
        <v>60</v>
      </c>
      <c r="G75" s="8">
        <v>1</v>
      </c>
      <c r="H75" s="7">
        <f t="shared" si="6"/>
        <v>0</v>
      </c>
      <c r="I75" s="7">
        <f>IF(B75=Queue_Intervals!A2,MAX(0,MIN(D75,Queue_Intervals!C2)-MAX(C75+90,Queue_Intervals!B2)),0)+IF(B75=Queue_Intervals!A3,MAX(0,MIN(D75,Queue_Intervals!C3)-MAX(C75+90,Queue_Intervals!B3)),0)+IF(B75=Queue_Intervals!A4,MAX(0,MIN(D75,Queue_Intervals!C4)-MAX(C75+90,Queue_Intervals!B4)),0)+IF(B75=Queue_Intervals!A5,MAX(0,MIN(D75,Queue_Intervals!C5)-MAX(C75+90,Queue_Intervals!B5)),0)</f>
        <v>0</v>
      </c>
      <c r="J75" s="7">
        <f t="shared" si="7"/>
        <v>0</v>
      </c>
      <c r="K75" s="7">
        <f>IF(B75=Queue_Intervals!A2,MAX(0,MIN(D75,Queue_Intervals!C2)-MAX(C75+120,Queue_Intervals!B2)),0)+IF(B75=Queue_Intervals!A3,MAX(0,MIN(D75,Queue_Intervals!C3)-MAX(C75+120,Queue_Intervals!B3)),0)+IF(B75=Queue_Intervals!A4,MAX(0,MIN(D75,Queue_Intervals!C4)-MAX(C75+120,Queue_Intervals!B4)),0)+IF(B75=Queue_Intervals!A5,MAX(0,MIN(D75,Queue_Intervals!C5)-MAX(C75+120,Queue_Intervals!B5)),0)</f>
        <v>0</v>
      </c>
      <c r="L75" s="7">
        <f t="shared" si="8"/>
        <v>0</v>
      </c>
      <c r="M75" s="7">
        <f>IF(B75=Queue_Intervals!A2,MAX(0,MIN(D75,Queue_Intervals!C2)-MAX(C75+150,Queue_Intervals!B2)),0)+IF(B75=Queue_Intervals!A3,MAX(0,MIN(D75,Queue_Intervals!C3)-MAX(C75+150,Queue_Intervals!B3)),0)+IF(B75=Queue_Intervals!A4,MAX(0,MIN(D75,Queue_Intervals!C4)-MAX(C75+150,Queue_Intervals!B4)),0)+IF(B75=Queue_Intervals!A5,MAX(0,MIN(D75,Queue_Intervals!C5)-MAX(C75+150,Queue_Intervals!B5)),0)</f>
        <v>0</v>
      </c>
    </row>
    <row r="76" spans="1:13" ht="24.95" customHeight="1">
      <c r="A76" s="7" t="s">
        <v>154</v>
      </c>
      <c r="B76" s="8" t="s">
        <v>105</v>
      </c>
      <c r="C76" s="8">
        <v>626</v>
      </c>
      <c r="D76" s="8">
        <v>679</v>
      </c>
      <c r="E76" s="8" t="s">
        <v>79</v>
      </c>
      <c r="F76" s="8">
        <v>53</v>
      </c>
      <c r="G76" s="8">
        <v>1</v>
      </c>
      <c r="H76" s="7">
        <f t="shared" si="6"/>
        <v>0</v>
      </c>
      <c r="I76" s="7">
        <f>IF(B76=Queue_Intervals!A2,MAX(0,MIN(D76,Queue_Intervals!C2)-MAX(C76+90,Queue_Intervals!B2)),0)+IF(B76=Queue_Intervals!A3,MAX(0,MIN(D76,Queue_Intervals!C3)-MAX(C76+90,Queue_Intervals!B3)),0)+IF(B76=Queue_Intervals!A4,MAX(0,MIN(D76,Queue_Intervals!C4)-MAX(C76+90,Queue_Intervals!B4)),0)+IF(B76=Queue_Intervals!A5,MAX(0,MIN(D76,Queue_Intervals!C5)-MAX(C76+90,Queue_Intervals!B5)),0)</f>
        <v>0</v>
      </c>
      <c r="J76" s="7">
        <f t="shared" si="7"/>
        <v>0</v>
      </c>
      <c r="K76" s="7">
        <f>IF(B76=Queue_Intervals!A2,MAX(0,MIN(D76,Queue_Intervals!C2)-MAX(C76+120,Queue_Intervals!B2)),0)+IF(B76=Queue_Intervals!A3,MAX(0,MIN(D76,Queue_Intervals!C3)-MAX(C76+120,Queue_Intervals!B3)),0)+IF(B76=Queue_Intervals!A4,MAX(0,MIN(D76,Queue_Intervals!C4)-MAX(C76+120,Queue_Intervals!B4)),0)+IF(B76=Queue_Intervals!A5,MAX(0,MIN(D76,Queue_Intervals!C5)-MAX(C76+120,Queue_Intervals!B5)),0)</f>
        <v>0</v>
      </c>
      <c r="L76" s="7">
        <f t="shared" si="8"/>
        <v>0</v>
      </c>
      <c r="M76" s="7">
        <f>IF(B76=Queue_Intervals!A2,MAX(0,MIN(D76,Queue_Intervals!C2)-MAX(C76+150,Queue_Intervals!B2)),0)+IF(B76=Queue_Intervals!A3,MAX(0,MIN(D76,Queue_Intervals!C3)-MAX(C76+150,Queue_Intervals!B3)),0)+IF(B76=Queue_Intervals!A4,MAX(0,MIN(D76,Queue_Intervals!C4)-MAX(C76+150,Queue_Intervals!B4)),0)+IF(B76=Queue_Intervals!A5,MAX(0,MIN(D76,Queue_Intervals!C5)-MAX(C76+150,Queue_Intervals!B5)),0)</f>
        <v>0</v>
      </c>
    </row>
    <row r="77" spans="1:13" ht="24.95" customHeight="1">
      <c r="A77" s="7" t="s">
        <v>155</v>
      </c>
      <c r="B77" s="8" t="s">
        <v>105</v>
      </c>
      <c r="C77" s="8">
        <v>630</v>
      </c>
      <c r="D77" s="8">
        <v>720</v>
      </c>
      <c r="E77" s="8" t="s">
        <v>79</v>
      </c>
      <c r="F77" s="8">
        <v>90</v>
      </c>
      <c r="G77" s="8">
        <v>1</v>
      </c>
      <c r="H77" s="7">
        <f t="shared" si="6"/>
        <v>0</v>
      </c>
      <c r="I77" s="7">
        <f>IF(B77=Queue_Intervals!A2,MAX(0,MIN(D77,Queue_Intervals!C2)-MAX(C77+90,Queue_Intervals!B2)),0)+IF(B77=Queue_Intervals!A3,MAX(0,MIN(D77,Queue_Intervals!C3)-MAX(C77+90,Queue_Intervals!B3)),0)+IF(B77=Queue_Intervals!A4,MAX(0,MIN(D77,Queue_Intervals!C4)-MAX(C77+90,Queue_Intervals!B4)),0)+IF(B77=Queue_Intervals!A5,MAX(0,MIN(D77,Queue_Intervals!C5)-MAX(C77+90,Queue_Intervals!B5)),0)</f>
        <v>0</v>
      </c>
      <c r="J77" s="7">
        <f t="shared" si="7"/>
        <v>0</v>
      </c>
      <c r="K77" s="7">
        <f>IF(B77=Queue_Intervals!A2,MAX(0,MIN(D77,Queue_Intervals!C2)-MAX(C77+120,Queue_Intervals!B2)),0)+IF(B77=Queue_Intervals!A3,MAX(0,MIN(D77,Queue_Intervals!C3)-MAX(C77+120,Queue_Intervals!B3)),0)+IF(B77=Queue_Intervals!A4,MAX(0,MIN(D77,Queue_Intervals!C4)-MAX(C77+120,Queue_Intervals!B4)),0)+IF(B77=Queue_Intervals!A5,MAX(0,MIN(D77,Queue_Intervals!C5)-MAX(C77+120,Queue_Intervals!B5)),0)</f>
        <v>0</v>
      </c>
      <c r="L77" s="7">
        <f t="shared" si="8"/>
        <v>0</v>
      </c>
      <c r="M77" s="7">
        <f>IF(B77=Queue_Intervals!A2,MAX(0,MIN(D77,Queue_Intervals!C2)-MAX(C77+150,Queue_Intervals!B2)),0)+IF(B77=Queue_Intervals!A3,MAX(0,MIN(D77,Queue_Intervals!C3)-MAX(C77+150,Queue_Intervals!B3)),0)+IF(B77=Queue_Intervals!A4,MAX(0,MIN(D77,Queue_Intervals!C4)-MAX(C77+150,Queue_Intervals!B4)),0)+IF(B77=Queue_Intervals!A5,MAX(0,MIN(D77,Queue_Intervals!C5)-MAX(C77+150,Queue_Intervals!B5)),0)</f>
        <v>0</v>
      </c>
    </row>
    <row r="78" spans="1:13" ht="24.95" customHeight="1">
      <c r="A78" s="7" t="s">
        <v>156</v>
      </c>
      <c r="B78" s="8" t="s">
        <v>105</v>
      </c>
      <c r="C78" s="8">
        <v>641</v>
      </c>
      <c r="D78" s="8">
        <v>714</v>
      </c>
      <c r="E78" s="8" t="s">
        <v>79</v>
      </c>
      <c r="F78" s="8">
        <v>73</v>
      </c>
      <c r="G78" s="8">
        <v>1</v>
      </c>
      <c r="H78" s="7">
        <f t="shared" si="6"/>
        <v>0</v>
      </c>
      <c r="I78" s="7">
        <f>IF(B78=Queue_Intervals!A2,MAX(0,MIN(D78,Queue_Intervals!C2)-MAX(C78+90,Queue_Intervals!B2)),0)+IF(B78=Queue_Intervals!A3,MAX(0,MIN(D78,Queue_Intervals!C3)-MAX(C78+90,Queue_Intervals!B3)),0)+IF(B78=Queue_Intervals!A4,MAX(0,MIN(D78,Queue_Intervals!C4)-MAX(C78+90,Queue_Intervals!B4)),0)+IF(B78=Queue_Intervals!A5,MAX(0,MIN(D78,Queue_Intervals!C5)-MAX(C78+90,Queue_Intervals!B5)),0)</f>
        <v>0</v>
      </c>
      <c r="J78" s="7">
        <f t="shared" si="7"/>
        <v>0</v>
      </c>
      <c r="K78" s="7">
        <f>IF(B78=Queue_Intervals!A2,MAX(0,MIN(D78,Queue_Intervals!C2)-MAX(C78+120,Queue_Intervals!B2)),0)+IF(B78=Queue_Intervals!A3,MAX(0,MIN(D78,Queue_Intervals!C3)-MAX(C78+120,Queue_Intervals!B3)),0)+IF(B78=Queue_Intervals!A4,MAX(0,MIN(D78,Queue_Intervals!C4)-MAX(C78+120,Queue_Intervals!B4)),0)+IF(B78=Queue_Intervals!A5,MAX(0,MIN(D78,Queue_Intervals!C5)-MAX(C78+120,Queue_Intervals!B5)),0)</f>
        <v>0</v>
      </c>
      <c r="L78" s="7">
        <f t="shared" si="8"/>
        <v>0</v>
      </c>
      <c r="M78" s="7">
        <f>IF(B78=Queue_Intervals!A2,MAX(0,MIN(D78,Queue_Intervals!C2)-MAX(C78+150,Queue_Intervals!B2)),0)+IF(B78=Queue_Intervals!A3,MAX(0,MIN(D78,Queue_Intervals!C3)-MAX(C78+150,Queue_Intervals!B3)),0)+IF(B78=Queue_Intervals!A4,MAX(0,MIN(D78,Queue_Intervals!C4)-MAX(C78+150,Queue_Intervals!B4)),0)+IF(B78=Queue_Intervals!A5,MAX(0,MIN(D78,Queue_Intervals!C5)-MAX(C78+150,Queue_Intervals!B5)),0)</f>
        <v>0</v>
      </c>
    </row>
    <row r="79" spans="1:13" ht="24.95" customHeight="1">
      <c r="A79" s="7" t="s">
        <v>157</v>
      </c>
      <c r="B79" s="8" t="s">
        <v>105</v>
      </c>
      <c r="C79" s="8">
        <v>660</v>
      </c>
      <c r="D79" s="8">
        <v>689</v>
      </c>
      <c r="E79" s="8" t="s">
        <v>79</v>
      </c>
      <c r="F79" s="8">
        <v>29</v>
      </c>
      <c r="G79" s="8">
        <v>1</v>
      </c>
      <c r="H79" s="7">
        <f t="shared" si="6"/>
        <v>0</v>
      </c>
      <c r="I79" s="7">
        <f>IF(B79=Queue_Intervals!A2,MAX(0,MIN(D79,Queue_Intervals!C2)-MAX(C79+90,Queue_Intervals!B2)),0)+IF(B79=Queue_Intervals!A3,MAX(0,MIN(D79,Queue_Intervals!C3)-MAX(C79+90,Queue_Intervals!B3)),0)+IF(B79=Queue_Intervals!A4,MAX(0,MIN(D79,Queue_Intervals!C4)-MAX(C79+90,Queue_Intervals!B4)),0)+IF(B79=Queue_Intervals!A5,MAX(0,MIN(D79,Queue_Intervals!C5)-MAX(C79+90,Queue_Intervals!B5)),0)</f>
        <v>0</v>
      </c>
      <c r="J79" s="7">
        <f t="shared" si="7"/>
        <v>0</v>
      </c>
      <c r="K79" s="7">
        <f>IF(B79=Queue_Intervals!A2,MAX(0,MIN(D79,Queue_Intervals!C2)-MAX(C79+120,Queue_Intervals!B2)),0)+IF(B79=Queue_Intervals!A3,MAX(0,MIN(D79,Queue_Intervals!C3)-MAX(C79+120,Queue_Intervals!B3)),0)+IF(B79=Queue_Intervals!A4,MAX(0,MIN(D79,Queue_Intervals!C4)-MAX(C79+120,Queue_Intervals!B4)),0)+IF(B79=Queue_Intervals!A5,MAX(0,MIN(D79,Queue_Intervals!C5)-MAX(C79+120,Queue_Intervals!B5)),0)</f>
        <v>0</v>
      </c>
      <c r="L79" s="7">
        <f t="shared" si="8"/>
        <v>0</v>
      </c>
      <c r="M79" s="7">
        <f>IF(B79=Queue_Intervals!A2,MAX(0,MIN(D79,Queue_Intervals!C2)-MAX(C79+150,Queue_Intervals!B2)),0)+IF(B79=Queue_Intervals!A3,MAX(0,MIN(D79,Queue_Intervals!C3)-MAX(C79+150,Queue_Intervals!B3)),0)+IF(B79=Queue_Intervals!A4,MAX(0,MIN(D79,Queue_Intervals!C4)-MAX(C79+150,Queue_Intervals!B4)),0)+IF(B79=Queue_Intervals!A5,MAX(0,MIN(D79,Queue_Intervals!C5)-MAX(C79+150,Queue_Intervals!B5)),0)</f>
        <v>0</v>
      </c>
    </row>
    <row r="80" spans="1:13" ht="24.95" customHeight="1">
      <c r="A80" s="7" t="s">
        <v>158</v>
      </c>
      <c r="B80" s="8" t="s">
        <v>105</v>
      </c>
      <c r="C80" s="8">
        <v>705</v>
      </c>
      <c r="D80" s="8">
        <v>751</v>
      </c>
      <c r="E80" s="8" t="s">
        <v>79</v>
      </c>
      <c r="F80" s="8">
        <v>46</v>
      </c>
      <c r="G80" s="8">
        <v>1</v>
      </c>
      <c r="H80" s="7">
        <f t="shared" si="6"/>
        <v>0</v>
      </c>
      <c r="I80" s="7">
        <f>IF(B80=Queue_Intervals!A2,MAX(0,MIN(D80,Queue_Intervals!C2)-MAX(C80+90,Queue_Intervals!B2)),0)+IF(B80=Queue_Intervals!A3,MAX(0,MIN(D80,Queue_Intervals!C3)-MAX(C80+90,Queue_Intervals!B3)),0)+IF(B80=Queue_Intervals!A4,MAX(0,MIN(D80,Queue_Intervals!C4)-MAX(C80+90,Queue_Intervals!B4)),0)+IF(B80=Queue_Intervals!A5,MAX(0,MIN(D80,Queue_Intervals!C5)-MAX(C80+90,Queue_Intervals!B5)),0)</f>
        <v>0</v>
      </c>
      <c r="J80" s="7">
        <f t="shared" si="7"/>
        <v>0</v>
      </c>
      <c r="K80" s="7">
        <f>IF(B80=Queue_Intervals!A2,MAX(0,MIN(D80,Queue_Intervals!C2)-MAX(C80+120,Queue_Intervals!B2)),0)+IF(B80=Queue_Intervals!A3,MAX(0,MIN(D80,Queue_Intervals!C3)-MAX(C80+120,Queue_Intervals!B3)),0)+IF(B80=Queue_Intervals!A4,MAX(0,MIN(D80,Queue_Intervals!C4)-MAX(C80+120,Queue_Intervals!B4)),0)+IF(B80=Queue_Intervals!A5,MAX(0,MIN(D80,Queue_Intervals!C5)-MAX(C80+120,Queue_Intervals!B5)),0)</f>
        <v>0</v>
      </c>
      <c r="L80" s="7">
        <f t="shared" si="8"/>
        <v>0</v>
      </c>
      <c r="M80" s="7">
        <f>IF(B80=Queue_Intervals!A2,MAX(0,MIN(D80,Queue_Intervals!C2)-MAX(C80+150,Queue_Intervals!B2)),0)+IF(B80=Queue_Intervals!A3,MAX(0,MIN(D80,Queue_Intervals!C3)-MAX(C80+150,Queue_Intervals!B3)),0)+IF(B80=Queue_Intervals!A4,MAX(0,MIN(D80,Queue_Intervals!C4)-MAX(C80+150,Queue_Intervals!B4)),0)+IF(B80=Queue_Intervals!A5,MAX(0,MIN(D80,Queue_Intervals!C5)-MAX(C80+150,Queue_Intervals!B5)),0)</f>
        <v>0</v>
      </c>
    </row>
    <row r="81" spans="1:13" ht="24.95" customHeight="1">
      <c r="A81" s="7" t="s">
        <v>159</v>
      </c>
      <c r="B81" s="8" t="s">
        <v>160</v>
      </c>
      <c r="C81" s="8">
        <v>410</v>
      </c>
      <c r="D81" s="8">
        <v>488</v>
      </c>
      <c r="E81" s="8" t="s">
        <v>79</v>
      </c>
      <c r="F81" s="8">
        <v>78</v>
      </c>
      <c r="G81" s="8">
        <v>1</v>
      </c>
      <c r="H81" s="7">
        <f t="shared" si="6"/>
        <v>0</v>
      </c>
      <c r="I81" s="7">
        <f>IF(B81=Queue_Intervals!A2,MAX(0,MIN(D81,Queue_Intervals!C2)-MAX(C81+90,Queue_Intervals!B2)),0)+IF(B81=Queue_Intervals!A3,MAX(0,MIN(D81,Queue_Intervals!C3)-MAX(C81+90,Queue_Intervals!B3)),0)+IF(B81=Queue_Intervals!A4,MAX(0,MIN(D81,Queue_Intervals!C4)-MAX(C81+90,Queue_Intervals!B4)),0)+IF(B81=Queue_Intervals!A5,MAX(0,MIN(D81,Queue_Intervals!C5)-MAX(C81+90,Queue_Intervals!B5)),0)</f>
        <v>0</v>
      </c>
      <c r="J81" s="7">
        <f t="shared" si="7"/>
        <v>0</v>
      </c>
      <c r="K81" s="7">
        <f>IF(B81=Queue_Intervals!A2,MAX(0,MIN(D81,Queue_Intervals!C2)-MAX(C81+120,Queue_Intervals!B2)),0)+IF(B81=Queue_Intervals!A3,MAX(0,MIN(D81,Queue_Intervals!C3)-MAX(C81+120,Queue_Intervals!B3)),0)+IF(B81=Queue_Intervals!A4,MAX(0,MIN(D81,Queue_Intervals!C4)-MAX(C81+120,Queue_Intervals!B4)),0)+IF(B81=Queue_Intervals!A5,MAX(0,MIN(D81,Queue_Intervals!C5)-MAX(C81+120,Queue_Intervals!B5)),0)</f>
        <v>0</v>
      </c>
      <c r="L81" s="7">
        <f t="shared" si="8"/>
        <v>0</v>
      </c>
      <c r="M81" s="7">
        <f>IF(B81=Queue_Intervals!A2,MAX(0,MIN(D81,Queue_Intervals!C2)-MAX(C81+150,Queue_Intervals!B2)),0)+IF(B81=Queue_Intervals!A3,MAX(0,MIN(D81,Queue_Intervals!C3)-MAX(C81+150,Queue_Intervals!B3)),0)+IF(B81=Queue_Intervals!A4,MAX(0,MIN(D81,Queue_Intervals!C4)-MAX(C81+150,Queue_Intervals!B4)),0)+IF(B81=Queue_Intervals!A5,MAX(0,MIN(D81,Queue_Intervals!C5)-MAX(C81+150,Queue_Intervals!B5)),0)</f>
        <v>0</v>
      </c>
    </row>
    <row r="82" spans="1:13" ht="24.95" customHeight="1">
      <c r="A82" s="7" t="s">
        <v>161</v>
      </c>
      <c r="B82" s="8" t="s">
        <v>160</v>
      </c>
      <c r="C82" s="8">
        <v>413</v>
      </c>
      <c r="D82" s="8">
        <v>470</v>
      </c>
      <c r="E82" s="8" t="s">
        <v>79</v>
      </c>
      <c r="F82" s="8">
        <v>57</v>
      </c>
      <c r="G82" s="8">
        <v>1</v>
      </c>
      <c r="H82" s="7">
        <f t="shared" si="6"/>
        <v>0</v>
      </c>
      <c r="I82" s="7">
        <f>IF(B82=Queue_Intervals!A2,MAX(0,MIN(D82,Queue_Intervals!C2)-MAX(C82+90,Queue_Intervals!B2)),0)+IF(B82=Queue_Intervals!A3,MAX(0,MIN(D82,Queue_Intervals!C3)-MAX(C82+90,Queue_Intervals!B3)),0)+IF(B82=Queue_Intervals!A4,MAX(0,MIN(D82,Queue_Intervals!C4)-MAX(C82+90,Queue_Intervals!B4)),0)+IF(B82=Queue_Intervals!A5,MAX(0,MIN(D82,Queue_Intervals!C5)-MAX(C82+90,Queue_Intervals!B5)),0)</f>
        <v>0</v>
      </c>
      <c r="J82" s="7">
        <f t="shared" si="7"/>
        <v>0</v>
      </c>
      <c r="K82" s="7">
        <f>IF(B82=Queue_Intervals!A2,MAX(0,MIN(D82,Queue_Intervals!C2)-MAX(C82+120,Queue_Intervals!B2)),0)+IF(B82=Queue_Intervals!A3,MAX(0,MIN(D82,Queue_Intervals!C3)-MAX(C82+120,Queue_Intervals!B3)),0)+IF(B82=Queue_Intervals!A4,MAX(0,MIN(D82,Queue_Intervals!C4)-MAX(C82+120,Queue_Intervals!B4)),0)+IF(B82=Queue_Intervals!A5,MAX(0,MIN(D82,Queue_Intervals!C5)-MAX(C82+120,Queue_Intervals!B5)),0)</f>
        <v>0</v>
      </c>
      <c r="L82" s="7">
        <f t="shared" si="8"/>
        <v>0</v>
      </c>
      <c r="M82" s="7">
        <f>IF(B82=Queue_Intervals!A2,MAX(0,MIN(D82,Queue_Intervals!C2)-MAX(C82+150,Queue_Intervals!B2)),0)+IF(B82=Queue_Intervals!A3,MAX(0,MIN(D82,Queue_Intervals!C3)-MAX(C82+150,Queue_Intervals!B3)),0)+IF(B82=Queue_Intervals!A4,MAX(0,MIN(D82,Queue_Intervals!C4)-MAX(C82+150,Queue_Intervals!B4)),0)+IF(B82=Queue_Intervals!A5,MAX(0,MIN(D82,Queue_Intervals!C5)-MAX(C82+150,Queue_Intervals!B5)),0)</f>
        <v>0</v>
      </c>
    </row>
    <row r="83" spans="1:13" ht="24.95" customHeight="1">
      <c r="A83" s="7" t="s">
        <v>162</v>
      </c>
      <c r="B83" s="8" t="s">
        <v>160</v>
      </c>
      <c r="C83" s="8">
        <v>417</v>
      </c>
      <c r="D83" s="8">
        <v>525</v>
      </c>
      <c r="E83" s="8" t="s">
        <v>79</v>
      </c>
      <c r="F83" s="8">
        <v>108</v>
      </c>
      <c r="G83" s="8">
        <v>1</v>
      </c>
      <c r="H83" s="7">
        <f t="shared" si="6"/>
        <v>18</v>
      </c>
      <c r="I83" s="7">
        <f>IF(B83=Queue_Intervals!A2,MAX(0,MIN(D83,Queue_Intervals!C2)-MAX(C83+90,Queue_Intervals!B2)),0)+IF(B83=Queue_Intervals!A3,MAX(0,MIN(D83,Queue_Intervals!C3)-MAX(C83+90,Queue_Intervals!B3)),0)+IF(B83=Queue_Intervals!A4,MAX(0,MIN(D83,Queue_Intervals!C4)-MAX(C83+90,Queue_Intervals!B4)),0)+IF(B83=Queue_Intervals!A5,MAX(0,MIN(D83,Queue_Intervals!C5)-MAX(C83+90,Queue_Intervals!B5)),0)</f>
        <v>18</v>
      </c>
      <c r="J83" s="7">
        <f t="shared" si="7"/>
        <v>0</v>
      </c>
      <c r="K83" s="7">
        <f>IF(B83=Queue_Intervals!A2,MAX(0,MIN(D83,Queue_Intervals!C2)-MAX(C83+120,Queue_Intervals!B2)),0)+IF(B83=Queue_Intervals!A3,MAX(0,MIN(D83,Queue_Intervals!C3)-MAX(C83+120,Queue_Intervals!B3)),0)+IF(B83=Queue_Intervals!A4,MAX(0,MIN(D83,Queue_Intervals!C4)-MAX(C83+120,Queue_Intervals!B4)),0)+IF(B83=Queue_Intervals!A5,MAX(0,MIN(D83,Queue_Intervals!C5)-MAX(C83+120,Queue_Intervals!B5)),0)</f>
        <v>0</v>
      </c>
      <c r="L83" s="7">
        <f t="shared" si="8"/>
        <v>0</v>
      </c>
      <c r="M83" s="7">
        <f>IF(B83=Queue_Intervals!A2,MAX(0,MIN(D83,Queue_Intervals!C2)-MAX(C83+150,Queue_Intervals!B2)),0)+IF(B83=Queue_Intervals!A3,MAX(0,MIN(D83,Queue_Intervals!C3)-MAX(C83+150,Queue_Intervals!B3)),0)+IF(B83=Queue_Intervals!A4,MAX(0,MIN(D83,Queue_Intervals!C4)-MAX(C83+150,Queue_Intervals!B4)),0)+IF(B83=Queue_Intervals!A5,MAX(0,MIN(D83,Queue_Intervals!C5)-MAX(C83+150,Queue_Intervals!B5)),0)</f>
        <v>0</v>
      </c>
    </row>
    <row r="84" spans="1:13" ht="24.95" customHeight="1">
      <c r="A84" s="7" t="s">
        <v>163</v>
      </c>
      <c r="B84" s="8" t="s">
        <v>160</v>
      </c>
      <c r="C84" s="8">
        <v>422</v>
      </c>
      <c r="D84" s="8">
        <v>480</v>
      </c>
      <c r="E84" s="8" t="s">
        <v>79</v>
      </c>
      <c r="F84" s="8">
        <v>58</v>
      </c>
      <c r="G84" s="8">
        <v>1</v>
      </c>
      <c r="H84" s="7">
        <f t="shared" si="6"/>
        <v>0</v>
      </c>
      <c r="I84" s="7">
        <f>IF(B84=Queue_Intervals!A2,MAX(0,MIN(D84,Queue_Intervals!C2)-MAX(C84+90,Queue_Intervals!B2)),0)+IF(B84=Queue_Intervals!A3,MAX(0,MIN(D84,Queue_Intervals!C3)-MAX(C84+90,Queue_Intervals!B3)),0)+IF(B84=Queue_Intervals!A4,MAX(0,MIN(D84,Queue_Intervals!C4)-MAX(C84+90,Queue_Intervals!B4)),0)+IF(B84=Queue_Intervals!A5,MAX(0,MIN(D84,Queue_Intervals!C5)-MAX(C84+90,Queue_Intervals!B5)),0)</f>
        <v>0</v>
      </c>
      <c r="J84" s="7">
        <f t="shared" si="7"/>
        <v>0</v>
      </c>
      <c r="K84" s="7">
        <f>IF(B84=Queue_Intervals!A2,MAX(0,MIN(D84,Queue_Intervals!C2)-MAX(C84+120,Queue_Intervals!B2)),0)+IF(B84=Queue_Intervals!A3,MAX(0,MIN(D84,Queue_Intervals!C3)-MAX(C84+120,Queue_Intervals!B3)),0)+IF(B84=Queue_Intervals!A4,MAX(0,MIN(D84,Queue_Intervals!C4)-MAX(C84+120,Queue_Intervals!B4)),0)+IF(B84=Queue_Intervals!A5,MAX(0,MIN(D84,Queue_Intervals!C5)-MAX(C84+120,Queue_Intervals!B5)),0)</f>
        <v>0</v>
      </c>
      <c r="L84" s="7">
        <f t="shared" si="8"/>
        <v>0</v>
      </c>
      <c r="M84" s="7">
        <f>IF(B84=Queue_Intervals!A2,MAX(0,MIN(D84,Queue_Intervals!C2)-MAX(C84+150,Queue_Intervals!B2)),0)+IF(B84=Queue_Intervals!A3,MAX(0,MIN(D84,Queue_Intervals!C3)-MAX(C84+150,Queue_Intervals!B3)),0)+IF(B84=Queue_Intervals!A4,MAX(0,MIN(D84,Queue_Intervals!C4)-MAX(C84+150,Queue_Intervals!B4)),0)+IF(B84=Queue_Intervals!A5,MAX(0,MIN(D84,Queue_Intervals!C5)-MAX(C84+150,Queue_Intervals!B5)),0)</f>
        <v>0</v>
      </c>
    </row>
    <row r="85" spans="1:13" ht="24.95" customHeight="1">
      <c r="A85" s="7" t="s">
        <v>164</v>
      </c>
      <c r="B85" s="8" t="s">
        <v>160</v>
      </c>
      <c r="C85" s="8">
        <v>432</v>
      </c>
      <c r="D85" s="8">
        <v>492</v>
      </c>
      <c r="E85" s="8" t="s">
        <v>79</v>
      </c>
      <c r="F85" s="8">
        <v>60</v>
      </c>
      <c r="G85" s="8">
        <v>1</v>
      </c>
      <c r="H85" s="7">
        <f t="shared" si="6"/>
        <v>0</v>
      </c>
      <c r="I85" s="7">
        <f>IF(B85=Queue_Intervals!A2,MAX(0,MIN(D85,Queue_Intervals!C2)-MAX(C85+90,Queue_Intervals!B2)),0)+IF(B85=Queue_Intervals!A3,MAX(0,MIN(D85,Queue_Intervals!C3)-MAX(C85+90,Queue_Intervals!B3)),0)+IF(B85=Queue_Intervals!A4,MAX(0,MIN(D85,Queue_Intervals!C4)-MAX(C85+90,Queue_Intervals!B4)),0)+IF(B85=Queue_Intervals!A5,MAX(0,MIN(D85,Queue_Intervals!C5)-MAX(C85+90,Queue_Intervals!B5)),0)</f>
        <v>0</v>
      </c>
      <c r="J85" s="7">
        <f t="shared" si="7"/>
        <v>0</v>
      </c>
      <c r="K85" s="7">
        <f>IF(B85=Queue_Intervals!A2,MAX(0,MIN(D85,Queue_Intervals!C2)-MAX(C85+120,Queue_Intervals!B2)),0)+IF(B85=Queue_Intervals!A3,MAX(0,MIN(D85,Queue_Intervals!C3)-MAX(C85+120,Queue_Intervals!B3)),0)+IF(B85=Queue_Intervals!A4,MAX(0,MIN(D85,Queue_Intervals!C4)-MAX(C85+120,Queue_Intervals!B4)),0)+IF(B85=Queue_Intervals!A5,MAX(0,MIN(D85,Queue_Intervals!C5)-MAX(C85+120,Queue_Intervals!B5)),0)</f>
        <v>0</v>
      </c>
      <c r="L85" s="7">
        <f t="shared" si="8"/>
        <v>0</v>
      </c>
      <c r="M85" s="7">
        <f>IF(B85=Queue_Intervals!A2,MAX(0,MIN(D85,Queue_Intervals!C2)-MAX(C85+150,Queue_Intervals!B2)),0)+IF(B85=Queue_Intervals!A3,MAX(0,MIN(D85,Queue_Intervals!C3)-MAX(C85+150,Queue_Intervals!B3)),0)+IF(B85=Queue_Intervals!A4,MAX(0,MIN(D85,Queue_Intervals!C4)-MAX(C85+150,Queue_Intervals!B4)),0)+IF(B85=Queue_Intervals!A5,MAX(0,MIN(D85,Queue_Intervals!C5)-MAX(C85+150,Queue_Intervals!B5)),0)</f>
        <v>0</v>
      </c>
    </row>
    <row r="86" spans="1:13" ht="24.95" customHeight="1">
      <c r="A86" s="7" t="s">
        <v>165</v>
      </c>
      <c r="B86" s="8" t="s">
        <v>160</v>
      </c>
      <c r="C86" s="8">
        <v>435</v>
      </c>
      <c r="D86" s="8">
        <v>600</v>
      </c>
      <c r="E86" s="8" t="s">
        <v>79</v>
      </c>
      <c r="F86" s="8">
        <v>165</v>
      </c>
      <c r="G86" s="8">
        <v>1</v>
      </c>
      <c r="H86" s="7">
        <f t="shared" si="6"/>
        <v>75</v>
      </c>
      <c r="I86" s="7">
        <f>IF(B86=Queue_Intervals!A2,MAX(0,MIN(D86,Queue_Intervals!C2)-MAX(C86+90,Queue_Intervals!B2)),0)+IF(B86=Queue_Intervals!A3,MAX(0,MIN(D86,Queue_Intervals!C3)-MAX(C86+90,Queue_Intervals!B3)),0)+IF(B86=Queue_Intervals!A4,MAX(0,MIN(D86,Queue_Intervals!C4)-MAX(C86+90,Queue_Intervals!B4)),0)+IF(B86=Queue_Intervals!A5,MAX(0,MIN(D86,Queue_Intervals!C5)-MAX(C86+90,Queue_Intervals!B5)),0)</f>
        <v>75</v>
      </c>
      <c r="J86" s="7">
        <f t="shared" si="7"/>
        <v>45</v>
      </c>
      <c r="K86" s="7">
        <f>IF(B86=Queue_Intervals!A2,MAX(0,MIN(D86,Queue_Intervals!C2)-MAX(C86+120,Queue_Intervals!B2)),0)+IF(B86=Queue_Intervals!A3,MAX(0,MIN(D86,Queue_Intervals!C3)-MAX(C86+120,Queue_Intervals!B3)),0)+IF(B86=Queue_Intervals!A4,MAX(0,MIN(D86,Queue_Intervals!C4)-MAX(C86+120,Queue_Intervals!B4)),0)+IF(B86=Queue_Intervals!A5,MAX(0,MIN(D86,Queue_Intervals!C5)-MAX(C86+120,Queue_Intervals!B5)),0)</f>
        <v>45</v>
      </c>
      <c r="L86" s="7">
        <f t="shared" si="8"/>
        <v>15</v>
      </c>
      <c r="M86" s="7">
        <f>IF(B86=Queue_Intervals!A2,MAX(0,MIN(D86,Queue_Intervals!C2)-MAX(C86+150,Queue_Intervals!B2)),0)+IF(B86=Queue_Intervals!A3,MAX(0,MIN(D86,Queue_Intervals!C3)-MAX(C86+150,Queue_Intervals!B3)),0)+IF(B86=Queue_Intervals!A4,MAX(0,MIN(D86,Queue_Intervals!C4)-MAX(C86+150,Queue_Intervals!B4)),0)+IF(B86=Queue_Intervals!A5,MAX(0,MIN(D86,Queue_Intervals!C5)-MAX(C86+150,Queue_Intervals!B5)),0)</f>
        <v>15</v>
      </c>
    </row>
    <row r="87" spans="1:13" ht="24.95" customHeight="1">
      <c r="A87" s="7" t="s">
        <v>166</v>
      </c>
      <c r="B87" s="8" t="s">
        <v>160</v>
      </c>
      <c r="C87" s="8">
        <v>455</v>
      </c>
      <c r="D87" s="8">
        <v>554</v>
      </c>
      <c r="E87" s="8" t="s">
        <v>79</v>
      </c>
      <c r="F87" s="8">
        <v>99</v>
      </c>
      <c r="G87" s="8">
        <v>1</v>
      </c>
      <c r="H87" s="7">
        <f t="shared" si="6"/>
        <v>9</v>
      </c>
      <c r="I87" s="7">
        <f>IF(B87=Queue_Intervals!A2,MAX(0,MIN(D87,Queue_Intervals!C2)-MAX(C87+90,Queue_Intervals!B2)),0)+IF(B87=Queue_Intervals!A3,MAX(0,MIN(D87,Queue_Intervals!C3)-MAX(C87+90,Queue_Intervals!B3)),0)+IF(B87=Queue_Intervals!A4,MAX(0,MIN(D87,Queue_Intervals!C4)-MAX(C87+90,Queue_Intervals!B4)),0)+IF(B87=Queue_Intervals!A5,MAX(0,MIN(D87,Queue_Intervals!C5)-MAX(C87+90,Queue_Intervals!B5)),0)</f>
        <v>9</v>
      </c>
      <c r="J87" s="7">
        <f t="shared" si="7"/>
        <v>0</v>
      </c>
      <c r="K87" s="7">
        <f>IF(B87=Queue_Intervals!A2,MAX(0,MIN(D87,Queue_Intervals!C2)-MAX(C87+120,Queue_Intervals!B2)),0)+IF(B87=Queue_Intervals!A3,MAX(0,MIN(D87,Queue_Intervals!C3)-MAX(C87+120,Queue_Intervals!B3)),0)+IF(B87=Queue_Intervals!A4,MAX(0,MIN(D87,Queue_Intervals!C4)-MAX(C87+120,Queue_Intervals!B4)),0)+IF(B87=Queue_Intervals!A5,MAX(0,MIN(D87,Queue_Intervals!C5)-MAX(C87+120,Queue_Intervals!B5)),0)</f>
        <v>0</v>
      </c>
      <c r="L87" s="7">
        <f t="shared" si="8"/>
        <v>0</v>
      </c>
      <c r="M87" s="7">
        <f>IF(B87=Queue_Intervals!A2,MAX(0,MIN(D87,Queue_Intervals!C2)-MAX(C87+150,Queue_Intervals!B2)),0)+IF(B87=Queue_Intervals!A3,MAX(0,MIN(D87,Queue_Intervals!C3)-MAX(C87+150,Queue_Intervals!B3)),0)+IF(B87=Queue_Intervals!A4,MAX(0,MIN(D87,Queue_Intervals!C4)-MAX(C87+150,Queue_Intervals!B4)),0)+IF(B87=Queue_Intervals!A5,MAX(0,MIN(D87,Queue_Intervals!C5)-MAX(C87+150,Queue_Intervals!B5)),0)</f>
        <v>0</v>
      </c>
    </row>
    <row r="88" spans="1:13" ht="24.95" customHeight="1">
      <c r="A88" s="7" t="s">
        <v>167</v>
      </c>
      <c r="B88" s="8" t="s">
        <v>160</v>
      </c>
      <c r="C88" s="8">
        <v>469</v>
      </c>
      <c r="D88" s="8">
        <v>550</v>
      </c>
      <c r="E88" s="8" t="s">
        <v>79</v>
      </c>
      <c r="F88" s="8">
        <v>81</v>
      </c>
      <c r="G88" s="8">
        <v>1</v>
      </c>
      <c r="H88" s="7">
        <f t="shared" si="6"/>
        <v>0</v>
      </c>
      <c r="I88" s="7">
        <f>IF(B88=Queue_Intervals!A2,MAX(0,MIN(D88,Queue_Intervals!C2)-MAX(C88+90,Queue_Intervals!B2)),0)+IF(B88=Queue_Intervals!A3,MAX(0,MIN(D88,Queue_Intervals!C3)-MAX(C88+90,Queue_Intervals!B3)),0)+IF(B88=Queue_Intervals!A4,MAX(0,MIN(D88,Queue_Intervals!C4)-MAX(C88+90,Queue_Intervals!B4)),0)+IF(B88=Queue_Intervals!A5,MAX(0,MIN(D88,Queue_Intervals!C5)-MAX(C88+90,Queue_Intervals!B5)),0)</f>
        <v>0</v>
      </c>
      <c r="J88" s="7">
        <f t="shared" si="7"/>
        <v>0</v>
      </c>
      <c r="K88" s="7">
        <f>IF(B88=Queue_Intervals!A2,MAX(0,MIN(D88,Queue_Intervals!C2)-MAX(C88+120,Queue_Intervals!B2)),0)+IF(B88=Queue_Intervals!A3,MAX(0,MIN(D88,Queue_Intervals!C3)-MAX(C88+120,Queue_Intervals!B3)),0)+IF(B88=Queue_Intervals!A4,MAX(0,MIN(D88,Queue_Intervals!C4)-MAX(C88+120,Queue_Intervals!B4)),0)+IF(B88=Queue_Intervals!A5,MAX(0,MIN(D88,Queue_Intervals!C5)-MAX(C88+120,Queue_Intervals!B5)),0)</f>
        <v>0</v>
      </c>
      <c r="L88" s="7">
        <f t="shared" si="8"/>
        <v>0</v>
      </c>
      <c r="M88" s="7">
        <f>IF(B88=Queue_Intervals!A2,MAX(0,MIN(D88,Queue_Intervals!C2)-MAX(C88+150,Queue_Intervals!B2)),0)+IF(B88=Queue_Intervals!A3,MAX(0,MIN(D88,Queue_Intervals!C3)-MAX(C88+150,Queue_Intervals!B3)),0)+IF(B88=Queue_Intervals!A4,MAX(0,MIN(D88,Queue_Intervals!C4)-MAX(C88+150,Queue_Intervals!B4)),0)+IF(B88=Queue_Intervals!A5,MAX(0,MIN(D88,Queue_Intervals!C5)-MAX(C88+150,Queue_Intervals!B5)),0)</f>
        <v>0</v>
      </c>
    </row>
    <row r="89" spans="1:13" ht="24.95" customHeight="1">
      <c r="A89" s="7" t="s">
        <v>168</v>
      </c>
      <c r="B89" s="8" t="s">
        <v>160</v>
      </c>
      <c r="C89" s="8">
        <v>471</v>
      </c>
      <c r="D89" s="8">
        <v>567</v>
      </c>
      <c r="E89" s="8" t="s">
        <v>79</v>
      </c>
      <c r="F89" s="8">
        <v>96</v>
      </c>
      <c r="G89" s="8">
        <v>1</v>
      </c>
      <c r="H89" s="7">
        <f t="shared" si="6"/>
        <v>6</v>
      </c>
      <c r="I89" s="7">
        <f>IF(B89=Queue_Intervals!A2,MAX(0,MIN(D89,Queue_Intervals!C2)-MAX(C89+90,Queue_Intervals!B2)),0)+IF(B89=Queue_Intervals!A3,MAX(0,MIN(D89,Queue_Intervals!C3)-MAX(C89+90,Queue_Intervals!B3)),0)+IF(B89=Queue_Intervals!A4,MAX(0,MIN(D89,Queue_Intervals!C4)-MAX(C89+90,Queue_Intervals!B4)),0)+IF(B89=Queue_Intervals!A5,MAX(0,MIN(D89,Queue_Intervals!C5)-MAX(C89+90,Queue_Intervals!B5)),0)</f>
        <v>6</v>
      </c>
      <c r="J89" s="7">
        <f t="shared" si="7"/>
        <v>0</v>
      </c>
      <c r="K89" s="7">
        <f>IF(B89=Queue_Intervals!A2,MAX(0,MIN(D89,Queue_Intervals!C2)-MAX(C89+120,Queue_Intervals!B2)),0)+IF(B89=Queue_Intervals!A3,MAX(0,MIN(D89,Queue_Intervals!C3)-MAX(C89+120,Queue_Intervals!B3)),0)+IF(B89=Queue_Intervals!A4,MAX(0,MIN(D89,Queue_Intervals!C4)-MAX(C89+120,Queue_Intervals!B4)),0)+IF(B89=Queue_Intervals!A5,MAX(0,MIN(D89,Queue_Intervals!C5)-MAX(C89+120,Queue_Intervals!B5)),0)</f>
        <v>0</v>
      </c>
      <c r="L89" s="7">
        <f t="shared" si="8"/>
        <v>0</v>
      </c>
      <c r="M89" s="7">
        <f>IF(B89=Queue_Intervals!A2,MAX(0,MIN(D89,Queue_Intervals!C2)-MAX(C89+150,Queue_Intervals!B2)),0)+IF(B89=Queue_Intervals!A3,MAX(0,MIN(D89,Queue_Intervals!C3)-MAX(C89+150,Queue_Intervals!B3)),0)+IF(B89=Queue_Intervals!A4,MAX(0,MIN(D89,Queue_Intervals!C4)-MAX(C89+150,Queue_Intervals!B4)),0)+IF(B89=Queue_Intervals!A5,MAX(0,MIN(D89,Queue_Intervals!C5)-MAX(C89+150,Queue_Intervals!B5)),0)</f>
        <v>0</v>
      </c>
    </row>
    <row r="90" spans="1:13" ht="24.95" customHeight="1">
      <c r="A90" s="7" t="s">
        <v>169</v>
      </c>
      <c r="B90" s="8" t="s">
        <v>160</v>
      </c>
      <c r="C90" s="8">
        <v>479</v>
      </c>
      <c r="D90" s="8">
        <v>575</v>
      </c>
      <c r="E90" s="8" t="s">
        <v>79</v>
      </c>
      <c r="F90" s="8">
        <v>96</v>
      </c>
      <c r="G90" s="8">
        <v>1</v>
      </c>
      <c r="H90" s="7">
        <f t="shared" si="6"/>
        <v>6</v>
      </c>
      <c r="I90" s="7">
        <f>IF(B90=Queue_Intervals!A2,MAX(0,MIN(D90,Queue_Intervals!C2)-MAX(C90+90,Queue_Intervals!B2)),0)+IF(B90=Queue_Intervals!A3,MAX(0,MIN(D90,Queue_Intervals!C3)-MAX(C90+90,Queue_Intervals!B3)),0)+IF(B90=Queue_Intervals!A4,MAX(0,MIN(D90,Queue_Intervals!C4)-MAX(C90+90,Queue_Intervals!B4)),0)+IF(B90=Queue_Intervals!A5,MAX(0,MIN(D90,Queue_Intervals!C5)-MAX(C90+90,Queue_Intervals!B5)),0)</f>
        <v>6</v>
      </c>
      <c r="J90" s="7">
        <f t="shared" si="7"/>
        <v>0</v>
      </c>
      <c r="K90" s="7">
        <f>IF(B90=Queue_Intervals!A2,MAX(0,MIN(D90,Queue_Intervals!C2)-MAX(C90+120,Queue_Intervals!B2)),0)+IF(B90=Queue_Intervals!A3,MAX(0,MIN(D90,Queue_Intervals!C3)-MAX(C90+120,Queue_Intervals!B3)),0)+IF(B90=Queue_Intervals!A4,MAX(0,MIN(D90,Queue_Intervals!C4)-MAX(C90+120,Queue_Intervals!B4)),0)+IF(B90=Queue_Intervals!A5,MAX(0,MIN(D90,Queue_Intervals!C5)-MAX(C90+120,Queue_Intervals!B5)),0)</f>
        <v>0</v>
      </c>
      <c r="L90" s="7">
        <f t="shared" si="8"/>
        <v>0</v>
      </c>
      <c r="M90" s="7">
        <f>IF(B90=Queue_Intervals!A2,MAX(0,MIN(D90,Queue_Intervals!C2)-MAX(C90+150,Queue_Intervals!B2)),0)+IF(B90=Queue_Intervals!A3,MAX(0,MIN(D90,Queue_Intervals!C3)-MAX(C90+150,Queue_Intervals!B3)),0)+IF(B90=Queue_Intervals!A4,MAX(0,MIN(D90,Queue_Intervals!C4)-MAX(C90+150,Queue_Intervals!B4)),0)+IF(B90=Queue_Intervals!A5,MAX(0,MIN(D90,Queue_Intervals!C5)-MAX(C90+150,Queue_Intervals!B5)),0)</f>
        <v>0</v>
      </c>
    </row>
    <row r="91" spans="1:13" ht="24.95" customHeight="1">
      <c r="A91" s="7" t="s">
        <v>170</v>
      </c>
      <c r="B91" s="8" t="s">
        <v>160</v>
      </c>
      <c r="C91" s="8">
        <v>480</v>
      </c>
      <c r="D91" s="8">
        <v>646</v>
      </c>
      <c r="E91" s="8" t="s">
        <v>79</v>
      </c>
      <c r="F91" s="8">
        <v>166</v>
      </c>
      <c r="G91" s="8">
        <v>1</v>
      </c>
      <c r="H91" s="7">
        <f t="shared" si="6"/>
        <v>76</v>
      </c>
      <c r="I91" s="7">
        <f>IF(B91=Queue_Intervals!A2,MAX(0,MIN(D91,Queue_Intervals!C2)-MAX(C91+90,Queue_Intervals!B2)),0)+IF(B91=Queue_Intervals!A3,MAX(0,MIN(D91,Queue_Intervals!C3)-MAX(C91+90,Queue_Intervals!B3)),0)+IF(B91=Queue_Intervals!A4,MAX(0,MIN(D91,Queue_Intervals!C4)-MAX(C91+90,Queue_Intervals!B4)),0)+IF(B91=Queue_Intervals!A5,MAX(0,MIN(D91,Queue_Intervals!C5)-MAX(C91+90,Queue_Intervals!B5)),0)</f>
        <v>76</v>
      </c>
      <c r="J91" s="7">
        <f t="shared" si="7"/>
        <v>46</v>
      </c>
      <c r="K91" s="7">
        <f>IF(B91=Queue_Intervals!A2,MAX(0,MIN(D91,Queue_Intervals!C2)-MAX(C91+120,Queue_Intervals!B2)),0)+IF(B91=Queue_Intervals!A3,MAX(0,MIN(D91,Queue_Intervals!C3)-MAX(C91+120,Queue_Intervals!B3)),0)+IF(B91=Queue_Intervals!A4,MAX(0,MIN(D91,Queue_Intervals!C4)-MAX(C91+120,Queue_Intervals!B4)),0)+IF(B91=Queue_Intervals!A5,MAX(0,MIN(D91,Queue_Intervals!C5)-MAX(C91+120,Queue_Intervals!B5)),0)</f>
        <v>46</v>
      </c>
      <c r="L91" s="7">
        <f t="shared" si="8"/>
        <v>16</v>
      </c>
      <c r="M91" s="7">
        <f>IF(B91=Queue_Intervals!A2,MAX(0,MIN(D91,Queue_Intervals!C2)-MAX(C91+150,Queue_Intervals!B2)),0)+IF(B91=Queue_Intervals!A3,MAX(0,MIN(D91,Queue_Intervals!C3)-MAX(C91+150,Queue_Intervals!B3)),0)+IF(B91=Queue_Intervals!A4,MAX(0,MIN(D91,Queue_Intervals!C4)-MAX(C91+150,Queue_Intervals!B4)),0)+IF(B91=Queue_Intervals!A5,MAX(0,MIN(D91,Queue_Intervals!C5)-MAX(C91+150,Queue_Intervals!B5)),0)</f>
        <v>16</v>
      </c>
    </row>
    <row r="92" spans="1:13" ht="24.95" customHeight="1">
      <c r="A92" s="7" t="s">
        <v>171</v>
      </c>
      <c r="B92" s="8" t="s">
        <v>160</v>
      </c>
      <c r="C92" s="8">
        <v>482</v>
      </c>
      <c r="D92" s="8">
        <v>560</v>
      </c>
      <c r="E92" s="8" t="s">
        <v>79</v>
      </c>
      <c r="F92" s="8">
        <v>78</v>
      </c>
      <c r="G92" s="8">
        <v>1</v>
      </c>
      <c r="H92" s="7">
        <f t="shared" si="6"/>
        <v>0</v>
      </c>
      <c r="I92" s="7">
        <f>IF(B92=Queue_Intervals!A2,MAX(0,MIN(D92,Queue_Intervals!C2)-MAX(C92+90,Queue_Intervals!B2)),0)+IF(B92=Queue_Intervals!A3,MAX(0,MIN(D92,Queue_Intervals!C3)-MAX(C92+90,Queue_Intervals!B3)),0)+IF(B92=Queue_Intervals!A4,MAX(0,MIN(D92,Queue_Intervals!C4)-MAX(C92+90,Queue_Intervals!B4)),0)+IF(B92=Queue_Intervals!A5,MAX(0,MIN(D92,Queue_Intervals!C5)-MAX(C92+90,Queue_Intervals!B5)),0)</f>
        <v>0</v>
      </c>
      <c r="J92" s="7">
        <f t="shared" si="7"/>
        <v>0</v>
      </c>
      <c r="K92" s="7">
        <f>IF(B92=Queue_Intervals!A2,MAX(0,MIN(D92,Queue_Intervals!C2)-MAX(C92+120,Queue_Intervals!B2)),0)+IF(B92=Queue_Intervals!A3,MAX(0,MIN(D92,Queue_Intervals!C3)-MAX(C92+120,Queue_Intervals!B3)),0)+IF(B92=Queue_Intervals!A4,MAX(0,MIN(D92,Queue_Intervals!C4)-MAX(C92+120,Queue_Intervals!B4)),0)+IF(B92=Queue_Intervals!A5,MAX(0,MIN(D92,Queue_Intervals!C5)-MAX(C92+120,Queue_Intervals!B5)),0)</f>
        <v>0</v>
      </c>
      <c r="L92" s="7">
        <f t="shared" si="8"/>
        <v>0</v>
      </c>
      <c r="M92" s="7">
        <f>IF(B92=Queue_Intervals!A2,MAX(0,MIN(D92,Queue_Intervals!C2)-MAX(C92+150,Queue_Intervals!B2)),0)+IF(B92=Queue_Intervals!A3,MAX(0,MIN(D92,Queue_Intervals!C3)-MAX(C92+150,Queue_Intervals!B3)),0)+IF(B92=Queue_Intervals!A4,MAX(0,MIN(D92,Queue_Intervals!C4)-MAX(C92+150,Queue_Intervals!B4)),0)+IF(B92=Queue_Intervals!A5,MAX(0,MIN(D92,Queue_Intervals!C5)-MAX(C92+150,Queue_Intervals!B5)),0)</f>
        <v>0</v>
      </c>
    </row>
    <row r="93" spans="1:13" ht="24.95" customHeight="1">
      <c r="A93" s="7" t="s">
        <v>172</v>
      </c>
      <c r="B93" s="8" t="s">
        <v>160</v>
      </c>
      <c r="C93" s="8">
        <v>483</v>
      </c>
      <c r="D93" s="8">
        <v>562</v>
      </c>
      <c r="E93" s="8" t="s">
        <v>79</v>
      </c>
      <c r="F93" s="8">
        <v>79</v>
      </c>
      <c r="G93" s="8">
        <v>1</v>
      </c>
      <c r="H93" s="7">
        <f t="shared" si="6"/>
        <v>0</v>
      </c>
      <c r="I93" s="7">
        <f>IF(B93=Queue_Intervals!A2,MAX(0,MIN(D93,Queue_Intervals!C2)-MAX(C93+90,Queue_Intervals!B2)),0)+IF(B93=Queue_Intervals!A3,MAX(0,MIN(D93,Queue_Intervals!C3)-MAX(C93+90,Queue_Intervals!B3)),0)+IF(B93=Queue_Intervals!A4,MAX(0,MIN(D93,Queue_Intervals!C4)-MAX(C93+90,Queue_Intervals!B4)),0)+IF(B93=Queue_Intervals!A5,MAX(0,MIN(D93,Queue_Intervals!C5)-MAX(C93+90,Queue_Intervals!B5)),0)</f>
        <v>0</v>
      </c>
      <c r="J93" s="7">
        <f t="shared" si="7"/>
        <v>0</v>
      </c>
      <c r="K93" s="7">
        <f>IF(B93=Queue_Intervals!A2,MAX(0,MIN(D93,Queue_Intervals!C2)-MAX(C93+120,Queue_Intervals!B2)),0)+IF(B93=Queue_Intervals!A3,MAX(0,MIN(D93,Queue_Intervals!C3)-MAX(C93+120,Queue_Intervals!B3)),0)+IF(B93=Queue_Intervals!A4,MAX(0,MIN(D93,Queue_Intervals!C4)-MAX(C93+120,Queue_Intervals!B4)),0)+IF(B93=Queue_Intervals!A5,MAX(0,MIN(D93,Queue_Intervals!C5)-MAX(C93+120,Queue_Intervals!B5)),0)</f>
        <v>0</v>
      </c>
      <c r="L93" s="7">
        <f t="shared" si="8"/>
        <v>0</v>
      </c>
      <c r="M93" s="7">
        <f>IF(B93=Queue_Intervals!A2,MAX(0,MIN(D93,Queue_Intervals!C2)-MAX(C93+150,Queue_Intervals!B2)),0)+IF(B93=Queue_Intervals!A3,MAX(0,MIN(D93,Queue_Intervals!C3)-MAX(C93+150,Queue_Intervals!B3)),0)+IF(B93=Queue_Intervals!A4,MAX(0,MIN(D93,Queue_Intervals!C4)-MAX(C93+150,Queue_Intervals!B4)),0)+IF(B93=Queue_Intervals!A5,MAX(0,MIN(D93,Queue_Intervals!C5)-MAX(C93+150,Queue_Intervals!B5)),0)</f>
        <v>0</v>
      </c>
    </row>
    <row r="94" spans="1:13" ht="24.95" customHeight="1">
      <c r="A94" s="7" t="s">
        <v>173</v>
      </c>
      <c r="B94" s="8" t="s">
        <v>160</v>
      </c>
      <c r="C94" s="8">
        <v>484</v>
      </c>
      <c r="D94" s="8">
        <v>564</v>
      </c>
      <c r="E94" s="8" t="s">
        <v>79</v>
      </c>
      <c r="F94" s="8">
        <v>80</v>
      </c>
      <c r="G94" s="8">
        <v>1</v>
      </c>
      <c r="H94" s="7">
        <f t="shared" si="6"/>
        <v>0</v>
      </c>
      <c r="I94" s="7">
        <f>IF(B94=Queue_Intervals!A2,MAX(0,MIN(D94,Queue_Intervals!C2)-MAX(C94+90,Queue_Intervals!B2)),0)+IF(B94=Queue_Intervals!A3,MAX(0,MIN(D94,Queue_Intervals!C3)-MAX(C94+90,Queue_Intervals!B3)),0)+IF(B94=Queue_Intervals!A4,MAX(0,MIN(D94,Queue_Intervals!C4)-MAX(C94+90,Queue_Intervals!B4)),0)+IF(B94=Queue_Intervals!A5,MAX(0,MIN(D94,Queue_Intervals!C5)-MAX(C94+90,Queue_Intervals!B5)),0)</f>
        <v>0</v>
      </c>
      <c r="J94" s="7">
        <f t="shared" si="7"/>
        <v>0</v>
      </c>
      <c r="K94" s="7">
        <f>IF(B94=Queue_Intervals!A2,MAX(0,MIN(D94,Queue_Intervals!C2)-MAX(C94+120,Queue_Intervals!B2)),0)+IF(B94=Queue_Intervals!A3,MAX(0,MIN(D94,Queue_Intervals!C3)-MAX(C94+120,Queue_Intervals!B3)),0)+IF(B94=Queue_Intervals!A4,MAX(0,MIN(D94,Queue_Intervals!C4)-MAX(C94+120,Queue_Intervals!B4)),0)+IF(B94=Queue_Intervals!A5,MAX(0,MIN(D94,Queue_Intervals!C5)-MAX(C94+120,Queue_Intervals!B5)),0)</f>
        <v>0</v>
      </c>
      <c r="L94" s="7">
        <f t="shared" si="8"/>
        <v>0</v>
      </c>
      <c r="M94" s="7">
        <f>IF(B94=Queue_Intervals!A2,MAX(0,MIN(D94,Queue_Intervals!C2)-MAX(C94+150,Queue_Intervals!B2)),0)+IF(B94=Queue_Intervals!A3,MAX(0,MIN(D94,Queue_Intervals!C3)-MAX(C94+150,Queue_Intervals!B3)),0)+IF(B94=Queue_Intervals!A4,MAX(0,MIN(D94,Queue_Intervals!C4)-MAX(C94+150,Queue_Intervals!B4)),0)+IF(B94=Queue_Intervals!A5,MAX(0,MIN(D94,Queue_Intervals!C5)-MAX(C94+150,Queue_Intervals!B5)),0)</f>
        <v>0</v>
      </c>
    </row>
    <row r="95" spans="1:13" ht="24.95" customHeight="1">
      <c r="A95" s="7" t="s">
        <v>174</v>
      </c>
      <c r="B95" s="8" t="s">
        <v>160</v>
      </c>
      <c r="C95" s="8">
        <v>490</v>
      </c>
      <c r="D95" s="8">
        <v>630</v>
      </c>
      <c r="E95" s="8" t="s">
        <v>79</v>
      </c>
      <c r="F95" s="8">
        <v>140</v>
      </c>
      <c r="G95" s="8">
        <v>1</v>
      </c>
      <c r="H95" s="7">
        <f t="shared" si="6"/>
        <v>50</v>
      </c>
      <c r="I95" s="7">
        <f>IF(B95=Queue_Intervals!A2,MAX(0,MIN(D95,Queue_Intervals!C2)-MAX(C95+90,Queue_Intervals!B2)),0)+IF(B95=Queue_Intervals!A3,MAX(0,MIN(D95,Queue_Intervals!C3)-MAX(C95+90,Queue_Intervals!B3)),0)+IF(B95=Queue_Intervals!A4,MAX(0,MIN(D95,Queue_Intervals!C4)-MAX(C95+90,Queue_Intervals!B4)),0)+IF(B95=Queue_Intervals!A5,MAX(0,MIN(D95,Queue_Intervals!C5)-MAX(C95+90,Queue_Intervals!B5)),0)</f>
        <v>50</v>
      </c>
      <c r="J95" s="7">
        <f t="shared" si="7"/>
        <v>20</v>
      </c>
      <c r="K95" s="7">
        <f>IF(B95=Queue_Intervals!A2,MAX(0,MIN(D95,Queue_Intervals!C2)-MAX(C95+120,Queue_Intervals!B2)),0)+IF(B95=Queue_Intervals!A3,MAX(0,MIN(D95,Queue_Intervals!C3)-MAX(C95+120,Queue_Intervals!B3)),0)+IF(B95=Queue_Intervals!A4,MAX(0,MIN(D95,Queue_Intervals!C4)-MAX(C95+120,Queue_Intervals!B4)),0)+IF(B95=Queue_Intervals!A5,MAX(0,MIN(D95,Queue_Intervals!C5)-MAX(C95+120,Queue_Intervals!B5)),0)</f>
        <v>20</v>
      </c>
      <c r="L95" s="7">
        <f t="shared" si="8"/>
        <v>0</v>
      </c>
      <c r="M95" s="7">
        <f>IF(B95=Queue_Intervals!A2,MAX(0,MIN(D95,Queue_Intervals!C2)-MAX(C95+150,Queue_Intervals!B2)),0)+IF(B95=Queue_Intervals!A3,MAX(0,MIN(D95,Queue_Intervals!C3)-MAX(C95+150,Queue_Intervals!B3)),0)+IF(B95=Queue_Intervals!A4,MAX(0,MIN(D95,Queue_Intervals!C4)-MAX(C95+150,Queue_Intervals!B4)),0)+IF(B95=Queue_Intervals!A5,MAX(0,MIN(D95,Queue_Intervals!C5)-MAX(C95+150,Queue_Intervals!B5)),0)</f>
        <v>0</v>
      </c>
    </row>
    <row r="96" spans="1:13" ht="24.95" customHeight="1">
      <c r="A96" s="7" t="s">
        <v>175</v>
      </c>
      <c r="B96" s="8" t="s">
        <v>160</v>
      </c>
      <c r="C96" s="8">
        <v>490</v>
      </c>
      <c r="D96" s="8">
        <v>594</v>
      </c>
      <c r="E96" s="8" t="s">
        <v>79</v>
      </c>
      <c r="F96" s="8">
        <v>104</v>
      </c>
      <c r="G96" s="8">
        <v>1</v>
      </c>
      <c r="H96" s="7">
        <f t="shared" si="6"/>
        <v>14</v>
      </c>
      <c r="I96" s="7">
        <f>IF(B96=Queue_Intervals!A2,MAX(0,MIN(D96,Queue_Intervals!C2)-MAX(C96+90,Queue_Intervals!B2)),0)+IF(B96=Queue_Intervals!A3,MAX(0,MIN(D96,Queue_Intervals!C3)-MAX(C96+90,Queue_Intervals!B3)),0)+IF(B96=Queue_Intervals!A4,MAX(0,MIN(D96,Queue_Intervals!C4)-MAX(C96+90,Queue_Intervals!B4)),0)+IF(B96=Queue_Intervals!A5,MAX(0,MIN(D96,Queue_Intervals!C5)-MAX(C96+90,Queue_Intervals!B5)),0)</f>
        <v>14</v>
      </c>
      <c r="J96" s="7">
        <f t="shared" si="7"/>
        <v>0</v>
      </c>
      <c r="K96" s="7">
        <f>IF(B96=Queue_Intervals!A2,MAX(0,MIN(D96,Queue_Intervals!C2)-MAX(C96+120,Queue_Intervals!B2)),0)+IF(B96=Queue_Intervals!A3,MAX(0,MIN(D96,Queue_Intervals!C3)-MAX(C96+120,Queue_Intervals!B3)),0)+IF(B96=Queue_Intervals!A4,MAX(0,MIN(D96,Queue_Intervals!C4)-MAX(C96+120,Queue_Intervals!B4)),0)+IF(B96=Queue_Intervals!A5,MAX(0,MIN(D96,Queue_Intervals!C5)-MAX(C96+120,Queue_Intervals!B5)),0)</f>
        <v>0</v>
      </c>
      <c r="L96" s="7">
        <f t="shared" si="8"/>
        <v>0</v>
      </c>
      <c r="M96" s="7">
        <f>IF(B96=Queue_Intervals!A2,MAX(0,MIN(D96,Queue_Intervals!C2)-MAX(C96+150,Queue_Intervals!B2)),0)+IF(B96=Queue_Intervals!A3,MAX(0,MIN(D96,Queue_Intervals!C3)-MAX(C96+150,Queue_Intervals!B3)),0)+IF(B96=Queue_Intervals!A4,MAX(0,MIN(D96,Queue_Intervals!C4)-MAX(C96+150,Queue_Intervals!B4)),0)+IF(B96=Queue_Intervals!A5,MAX(0,MIN(D96,Queue_Intervals!C5)-MAX(C96+150,Queue_Intervals!B5)),0)</f>
        <v>0</v>
      </c>
    </row>
    <row r="97" spans="1:13" ht="24.95" customHeight="1">
      <c r="A97" s="7" t="s">
        <v>176</v>
      </c>
      <c r="B97" s="8" t="s">
        <v>160</v>
      </c>
      <c r="C97" s="8">
        <v>553</v>
      </c>
      <c r="D97" s="8">
        <v>582</v>
      </c>
      <c r="E97" s="8" t="s">
        <v>79</v>
      </c>
      <c r="F97" s="8">
        <v>29</v>
      </c>
      <c r="G97" s="8">
        <v>1</v>
      </c>
      <c r="H97" s="7">
        <f t="shared" si="6"/>
        <v>0</v>
      </c>
      <c r="I97" s="7">
        <f>IF(B97=Queue_Intervals!A2,MAX(0,MIN(D97,Queue_Intervals!C2)-MAX(C97+90,Queue_Intervals!B2)),0)+IF(B97=Queue_Intervals!A3,MAX(0,MIN(D97,Queue_Intervals!C3)-MAX(C97+90,Queue_Intervals!B3)),0)+IF(B97=Queue_Intervals!A4,MAX(0,MIN(D97,Queue_Intervals!C4)-MAX(C97+90,Queue_Intervals!B4)),0)+IF(B97=Queue_Intervals!A5,MAX(0,MIN(D97,Queue_Intervals!C5)-MAX(C97+90,Queue_Intervals!B5)),0)</f>
        <v>0</v>
      </c>
      <c r="J97" s="7">
        <f t="shared" si="7"/>
        <v>0</v>
      </c>
      <c r="K97" s="7">
        <f>IF(B97=Queue_Intervals!A2,MAX(0,MIN(D97,Queue_Intervals!C2)-MAX(C97+120,Queue_Intervals!B2)),0)+IF(B97=Queue_Intervals!A3,MAX(0,MIN(D97,Queue_Intervals!C3)-MAX(C97+120,Queue_Intervals!B3)),0)+IF(B97=Queue_Intervals!A4,MAX(0,MIN(D97,Queue_Intervals!C4)-MAX(C97+120,Queue_Intervals!B4)),0)+IF(B97=Queue_Intervals!A5,MAX(0,MIN(D97,Queue_Intervals!C5)-MAX(C97+120,Queue_Intervals!B5)),0)</f>
        <v>0</v>
      </c>
      <c r="L97" s="7">
        <f t="shared" si="8"/>
        <v>0</v>
      </c>
      <c r="M97" s="7">
        <f>IF(B97=Queue_Intervals!A2,MAX(0,MIN(D97,Queue_Intervals!C2)-MAX(C97+150,Queue_Intervals!B2)),0)+IF(B97=Queue_Intervals!A3,MAX(0,MIN(D97,Queue_Intervals!C3)-MAX(C97+150,Queue_Intervals!B3)),0)+IF(B97=Queue_Intervals!A4,MAX(0,MIN(D97,Queue_Intervals!C4)-MAX(C97+150,Queue_Intervals!B4)),0)+IF(B97=Queue_Intervals!A5,MAX(0,MIN(D97,Queue_Intervals!C5)-MAX(C97+150,Queue_Intervals!B5)),0)</f>
        <v>0</v>
      </c>
    </row>
    <row r="98" spans="1:13" ht="24.95" customHeight="1">
      <c r="A98" s="7" t="s">
        <v>177</v>
      </c>
      <c r="B98" s="8" t="s">
        <v>160</v>
      </c>
      <c r="C98" s="8">
        <v>494</v>
      </c>
      <c r="D98" s="8">
        <v>615</v>
      </c>
      <c r="E98" s="8" t="s">
        <v>79</v>
      </c>
      <c r="F98" s="8">
        <v>121</v>
      </c>
      <c r="G98" s="8">
        <v>1</v>
      </c>
      <c r="H98" s="7">
        <f t="shared" ref="H98:H129" si="9">MAX(0,F98-90)</f>
        <v>31</v>
      </c>
      <c r="I98" s="7">
        <f>IF(B98=Queue_Intervals!A2,MAX(0,MIN(D98,Queue_Intervals!C2)-MAX(C98+90,Queue_Intervals!B2)),0)+IF(B98=Queue_Intervals!A3,MAX(0,MIN(D98,Queue_Intervals!C3)-MAX(C98+90,Queue_Intervals!B3)),0)+IF(B98=Queue_Intervals!A4,MAX(0,MIN(D98,Queue_Intervals!C4)-MAX(C98+90,Queue_Intervals!B4)),0)+IF(B98=Queue_Intervals!A5,MAX(0,MIN(D98,Queue_Intervals!C5)-MAX(C98+90,Queue_Intervals!B5)),0)</f>
        <v>31</v>
      </c>
      <c r="J98" s="7">
        <f t="shared" ref="J98:J129" si="10">MAX(0,F98-120)</f>
        <v>1</v>
      </c>
      <c r="K98" s="7">
        <f>IF(B98=Queue_Intervals!A2,MAX(0,MIN(D98,Queue_Intervals!C2)-MAX(C98+120,Queue_Intervals!B2)),0)+IF(B98=Queue_Intervals!A3,MAX(0,MIN(D98,Queue_Intervals!C3)-MAX(C98+120,Queue_Intervals!B3)),0)+IF(B98=Queue_Intervals!A4,MAX(0,MIN(D98,Queue_Intervals!C4)-MAX(C98+120,Queue_Intervals!B4)),0)+IF(B98=Queue_Intervals!A5,MAX(0,MIN(D98,Queue_Intervals!C5)-MAX(C98+120,Queue_Intervals!B5)),0)</f>
        <v>1</v>
      </c>
      <c r="L98" s="7">
        <f t="shared" ref="L98:L129" si="11">MAX(0,F98-150)</f>
        <v>0</v>
      </c>
      <c r="M98" s="7">
        <f>IF(B98=Queue_Intervals!A2,MAX(0,MIN(D98,Queue_Intervals!C2)-MAX(C98+150,Queue_Intervals!B2)),0)+IF(B98=Queue_Intervals!A3,MAX(0,MIN(D98,Queue_Intervals!C3)-MAX(C98+150,Queue_Intervals!B3)),0)+IF(B98=Queue_Intervals!A4,MAX(0,MIN(D98,Queue_Intervals!C4)-MAX(C98+150,Queue_Intervals!B4)),0)+IF(B98=Queue_Intervals!A5,MAX(0,MIN(D98,Queue_Intervals!C5)-MAX(C98+150,Queue_Intervals!B5)),0)</f>
        <v>0</v>
      </c>
    </row>
    <row r="99" spans="1:13" ht="24.95" customHeight="1">
      <c r="A99" s="7" t="s">
        <v>178</v>
      </c>
      <c r="B99" s="8" t="s">
        <v>160</v>
      </c>
      <c r="C99" s="8">
        <v>495</v>
      </c>
      <c r="D99" s="8">
        <v>607</v>
      </c>
      <c r="E99" s="8" t="s">
        <v>79</v>
      </c>
      <c r="F99" s="8">
        <v>112</v>
      </c>
      <c r="G99" s="8">
        <v>1</v>
      </c>
      <c r="H99" s="7">
        <f t="shared" si="9"/>
        <v>22</v>
      </c>
      <c r="I99" s="7">
        <f>IF(B99=Queue_Intervals!A2,MAX(0,MIN(D99,Queue_Intervals!C2)-MAX(C99+90,Queue_Intervals!B2)),0)+IF(B99=Queue_Intervals!A3,MAX(0,MIN(D99,Queue_Intervals!C3)-MAX(C99+90,Queue_Intervals!B3)),0)+IF(B99=Queue_Intervals!A4,MAX(0,MIN(D99,Queue_Intervals!C4)-MAX(C99+90,Queue_Intervals!B4)),0)+IF(B99=Queue_Intervals!A5,MAX(0,MIN(D99,Queue_Intervals!C5)-MAX(C99+90,Queue_Intervals!B5)),0)</f>
        <v>22</v>
      </c>
      <c r="J99" s="7">
        <f t="shared" si="10"/>
        <v>0</v>
      </c>
      <c r="K99" s="7">
        <f>IF(B99=Queue_Intervals!A2,MAX(0,MIN(D99,Queue_Intervals!C2)-MAX(C99+120,Queue_Intervals!B2)),0)+IF(B99=Queue_Intervals!A3,MAX(0,MIN(D99,Queue_Intervals!C3)-MAX(C99+120,Queue_Intervals!B3)),0)+IF(B99=Queue_Intervals!A4,MAX(0,MIN(D99,Queue_Intervals!C4)-MAX(C99+120,Queue_Intervals!B4)),0)+IF(B99=Queue_Intervals!A5,MAX(0,MIN(D99,Queue_Intervals!C5)-MAX(C99+120,Queue_Intervals!B5)),0)</f>
        <v>0</v>
      </c>
      <c r="L99" s="7">
        <f t="shared" si="11"/>
        <v>0</v>
      </c>
      <c r="M99" s="7">
        <f>IF(B99=Queue_Intervals!A2,MAX(0,MIN(D99,Queue_Intervals!C2)-MAX(C99+150,Queue_Intervals!B2)),0)+IF(B99=Queue_Intervals!A3,MAX(0,MIN(D99,Queue_Intervals!C3)-MAX(C99+150,Queue_Intervals!B3)),0)+IF(B99=Queue_Intervals!A4,MAX(0,MIN(D99,Queue_Intervals!C4)-MAX(C99+150,Queue_Intervals!B4)),0)+IF(B99=Queue_Intervals!A5,MAX(0,MIN(D99,Queue_Intervals!C5)-MAX(C99+150,Queue_Intervals!B5)),0)</f>
        <v>0</v>
      </c>
    </row>
    <row r="100" spans="1:13" ht="24.95" customHeight="1">
      <c r="A100" s="7" t="s">
        <v>179</v>
      </c>
      <c r="B100" s="8" t="s">
        <v>160</v>
      </c>
      <c r="C100" s="8">
        <v>496</v>
      </c>
      <c r="D100" s="8">
        <v>573</v>
      </c>
      <c r="E100" s="8" t="s">
        <v>79</v>
      </c>
      <c r="F100" s="8">
        <v>77</v>
      </c>
      <c r="G100" s="8">
        <v>1</v>
      </c>
      <c r="H100" s="7">
        <f t="shared" si="9"/>
        <v>0</v>
      </c>
      <c r="I100" s="7">
        <f>IF(B100=Queue_Intervals!A2,MAX(0,MIN(D100,Queue_Intervals!C2)-MAX(C100+90,Queue_Intervals!B2)),0)+IF(B100=Queue_Intervals!A3,MAX(0,MIN(D100,Queue_Intervals!C3)-MAX(C100+90,Queue_Intervals!B3)),0)+IF(B100=Queue_Intervals!A4,MAX(0,MIN(D100,Queue_Intervals!C4)-MAX(C100+90,Queue_Intervals!B4)),0)+IF(B100=Queue_Intervals!A5,MAX(0,MIN(D100,Queue_Intervals!C5)-MAX(C100+90,Queue_Intervals!B5)),0)</f>
        <v>0</v>
      </c>
      <c r="J100" s="7">
        <f t="shared" si="10"/>
        <v>0</v>
      </c>
      <c r="K100" s="7">
        <f>IF(B100=Queue_Intervals!A2,MAX(0,MIN(D100,Queue_Intervals!C2)-MAX(C100+120,Queue_Intervals!B2)),0)+IF(B100=Queue_Intervals!A3,MAX(0,MIN(D100,Queue_Intervals!C3)-MAX(C100+120,Queue_Intervals!B3)),0)+IF(B100=Queue_Intervals!A4,MAX(0,MIN(D100,Queue_Intervals!C4)-MAX(C100+120,Queue_Intervals!B4)),0)+IF(B100=Queue_Intervals!A5,MAX(0,MIN(D100,Queue_Intervals!C5)-MAX(C100+120,Queue_Intervals!B5)),0)</f>
        <v>0</v>
      </c>
      <c r="L100" s="7">
        <f t="shared" si="11"/>
        <v>0</v>
      </c>
      <c r="M100" s="7">
        <f>IF(B100=Queue_Intervals!A2,MAX(0,MIN(D100,Queue_Intervals!C2)-MAX(C100+150,Queue_Intervals!B2)),0)+IF(B100=Queue_Intervals!A3,MAX(0,MIN(D100,Queue_Intervals!C3)-MAX(C100+150,Queue_Intervals!B3)),0)+IF(B100=Queue_Intervals!A4,MAX(0,MIN(D100,Queue_Intervals!C4)-MAX(C100+150,Queue_Intervals!B4)),0)+IF(B100=Queue_Intervals!A5,MAX(0,MIN(D100,Queue_Intervals!C5)-MAX(C100+150,Queue_Intervals!B5)),0)</f>
        <v>0</v>
      </c>
    </row>
    <row r="101" spans="1:13" ht="24.95" customHeight="1">
      <c r="A101" s="7" t="s">
        <v>180</v>
      </c>
      <c r="B101" s="8" t="s">
        <v>160</v>
      </c>
      <c r="C101" s="8">
        <v>496</v>
      </c>
      <c r="D101" s="8">
        <v>552</v>
      </c>
      <c r="E101" s="8" t="s">
        <v>79</v>
      </c>
      <c r="F101" s="8">
        <v>56</v>
      </c>
      <c r="G101" s="8">
        <v>1</v>
      </c>
      <c r="H101" s="7">
        <f t="shared" si="9"/>
        <v>0</v>
      </c>
      <c r="I101" s="7">
        <f>IF(B101=Queue_Intervals!A2,MAX(0,MIN(D101,Queue_Intervals!C2)-MAX(C101+90,Queue_Intervals!B2)),0)+IF(B101=Queue_Intervals!A3,MAX(0,MIN(D101,Queue_Intervals!C3)-MAX(C101+90,Queue_Intervals!B3)),0)+IF(B101=Queue_Intervals!A4,MAX(0,MIN(D101,Queue_Intervals!C4)-MAX(C101+90,Queue_Intervals!B4)),0)+IF(B101=Queue_Intervals!A5,MAX(0,MIN(D101,Queue_Intervals!C5)-MAX(C101+90,Queue_Intervals!B5)),0)</f>
        <v>0</v>
      </c>
      <c r="J101" s="7">
        <f t="shared" si="10"/>
        <v>0</v>
      </c>
      <c r="K101" s="7">
        <f>IF(B101=Queue_Intervals!A2,MAX(0,MIN(D101,Queue_Intervals!C2)-MAX(C101+120,Queue_Intervals!B2)),0)+IF(B101=Queue_Intervals!A3,MAX(0,MIN(D101,Queue_Intervals!C3)-MAX(C101+120,Queue_Intervals!B3)),0)+IF(B101=Queue_Intervals!A4,MAX(0,MIN(D101,Queue_Intervals!C4)-MAX(C101+120,Queue_Intervals!B4)),0)+IF(B101=Queue_Intervals!A5,MAX(0,MIN(D101,Queue_Intervals!C5)-MAX(C101+120,Queue_Intervals!B5)),0)</f>
        <v>0</v>
      </c>
      <c r="L101" s="7">
        <f t="shared" si="11"/>
        <v>0</v>
      </c>
      <c r="M101" s="7">
        <f>IF(B101=Queue_Intervals!A2,MAX(0,MIN(D101,Queue_Intervals!C2)-MAX(C101+150,Queue_Intervals!B2)),0)+IF(B101=Queue_Intervals!A3,MAX(0,MIN(D101,Queue_Intervals!C3)-MAX(C101+150,Queue_Intervals!B3)),0)+IF(B101=Queue_Intervals!A4,MAX(0,MIN(D101,Queue_Intervals!C4)-MAX(C101+150,Queue_Intervals!B4)),0)+IF(B101=Queue_Intervals!A5,MAX(0,MIN(D101,Queue_Intervals!C5)-MAX(C101+150,Queue_Intervals!B5)),0)</f>
        <v>0</v>
      </c>
    </row>
    <row r="102" spans="1:13" ht="24.95" customHeight="1">
      <c r="A102" s="7" t="s">
        <v>181</v>
      </c>
      <c r="B102" s="8" t="s">
        <v>160</v>
      </c>
      <c r="C102" s="8">
        <v>545</v>
      </c>
      <c r="D102" s="8">
        <v>695</v>
      </c>
      <c r="E102" s="8" t="s">
        <v>79</v>
      </c>
      <c r="F102" s="8">
        <v>150</v>
      </c>
      <c r="G102" s="8">
        <v>1</v>
      </c>
      <c r="H102" s="7">
        <f t="shared" si="9"/>
        <v>60</v>
      </c>
      <c r="I102" s="7">
        <f>IF(B102=Queue_Intervals!A2,MAX(0,MIN(D102,Queue_Intervals!C2)-MAX(C102+90,Queue_Intervals!B2)),0)+IF(B102=Queue_Intervals!A3,MAX(0,MIN(D102,Queue_Intervals!C3)-MAX(C102+90,Queue_Intervals!B3)),0)+IF(B102=Queue_Intervals!A4,MAX(0,MIN(D102,Queue_Intervals!C4)-MAX(C102+90,Queue_Intervals!B4)),0)+IF(B102=Queue_Intervals!A5,MAX(0,MIN(D102,Queue_Intervals!C5)-MAX(C102+90,Queue_Intervals!B5)),0)</f>
        <v>60</v>
      </c>
      <c r="J102" s="7">
        <f t="shared" si="10"/>
        <v>30</v>
      </c>
      <c r="K102" s="7">
        <f>IF(B102=Queue_Intervals!A2,MAX(0,MIN(D102,Queue_Intervals!C2)-MAX(C102+120,Queue_Intervals!B2)),0)+IF(B102=Queue_Intervals!A3,MAX(0,MIN(D102,Queue_Intervals!C3)-MAX(C102+120,Queue_Intervals!B3)),0)+IF(B102=Queue_Intervals!A4,MAX(0,MIN(D102,Queue_Intervals!C4)-MAX(C102+120,Queue_Intervals!B4)),0)+IF(B102=Queue_Intervals!A5,MAX(0,MIN(D102,Queue_Intervals!C5)-MAX(C102+120,Queue_Intervals!B5)),0)</f>
        <v>30</v>
      </c>
      <c r="L102" s="7">
        <f t="shared" si="11"/>
        <v>0</v>
      </c>
      <c r="M102" s="7">
        <f>IF(B102=Queue_Intervals!A2,MAX(0,MIN(D102,Queue_Intervals!C2)-MAX(C102+150,Queue_Intervals!B2)),0)+IF(B102=Queue_Intervals!A3,MAX(0,MIN(D102,Queue_Intervals!C3)-MAX(C102+150,Queue_Intervals!B3)),0)+IF(B102=Queue_Intervals!A4,MAX(0,MIN(D102,Queue_Intervals!C4)-MAX(C102+150,Queue_Intervals!B4)),0)+IF(B102=Queue_Intervals!A5,MAX(0,MIN(D102,Queue_Intervals!C5)-MAX(C102+150,Queue_Intervals!B5)),0)</f>
        <v>0</v>
      </c>
    </row>
    <row r="103" spans="1:13" ht="24.95" customHeight="1">
      <c r="A103" s="7" t="s">
        <v>182</v>
      </c>
      <c r="B103" s="8" t="s">
        <v>160</v>
      </c>
      <c r="C103" s="8">
        <v>550</v>
      </c>
      <c r="D103" s="8">
        <v>633</v>
      </c>
      <c r="E103" s="8" t="s">
        <v>79</v>
      </c>
      <c r="F103" s="8">
        <v>83</v>
      </c>
      <c r="G103" s="8">
        <v>1</v>
      </c>
      <c r="H103" s="7">
        <f t="shared" si="9"/>
        <v>0</v>
      </c>
      <c r="I103" s="7">
        <f>IF(B103=Queue_Intervals!A2,MAX(0,MIN(D103,Queue_Intervals!C2)-MAX(C103+90,Queue_Intervals!B2)),0)+IF(B103=Queue_Intervals!A3,MAX(0,MIN(D103,Queue_Intervals!C3)-MAX(C103+90,Queue_Intervals!B3)),0)+IF(B103=Queue_Intervals!A4,MAX(0,MIN(D103,Queue_Intervals!C4)-MAX(C103+90,Queue_Intervals!B4)),0)+IF(B103=Queue_Intervals!A5,MAX(0,MIN(D103,Queue_Intervals!C5)-MAX(C103+90,Queue_Intervals!B5)),0)</f>
        <v>0</v>
      </c>
      <c r="J103" s="7">
        <f t="shared" si="10"/>
        <v>0</v>
      </c>
      <c r="K103" s="7">
        <f>IF(B103=Queue_Intervals!A2,MAX(0,MIN(D103,Queue_Intervals!C2)-MAX(C103+120,Queue_Intervals!B2)),0)+IF(B103=Queue_Intervals!A3,MAX(0,MIN(D103,Queue_Intervals!C3)-MAX(C103+120,Queue_Intervals!B3)),0)+IF(B103=Queue_Intervals!A4,MAX(0,MIN(D103,Queue_Intervals!C4)-MAX(C103+120,Queue_Intervals!B4)),0)+IF(B103=Queue_Intervals!A5,MAX(0,MIN(D103,Queue_Intervals!C5)-MAX(C103+120,Queue_Intervals!B5)),0)</f>
        <v>0</v>
      </c>
      <c r="L103" s="7">
        <f t="shared" si="11"/>
        <v>0</v>
      </c>
      <c r="M103" s="7">
        <f>IF(B103=Queue_Intervals!A2,MAX(0,MIN(D103,Queue_Intervals!C2)-MAX(C103+150,Queue_Intervals!B2)),0)+IF(B103=Queue_Intervals!A3,MAX(0,MIN(D103,Queue_Intervals!C3)-MAX(C103+150,Queue_Intervals!B3)),0)+IF(B103=Queue_Intervals!A4,MAX(0,MIN(D103,Queue_Intervals!C4)-MAX(C103+150,Queue_Intervals!B4)),0)+IF(B103=Queue_Intervals!A5,MAX(0,MIN(D103,Queue_Intervals!C5)-MAX(C103+150,Queue_Intervals!B5)),0)</f>
        <v>0</v>
      </c>
    </row>
    <row r="104" spans="1:13" ht="24.95" customHeight="1">
      <c r="A104" s="7" t="s">
        <v>183</v>
      </c>
      <c r="B104" s="8" t="s">
        <v>160</v>
      </c>
      <c r="C104" s="8">
        <v>553</v>
      </c>
      <c r="D104" s="8">
        <v>620</v>
      </c>
      <c r="E104" s="8" t="s">
        <v>79</v>
      </c>
      <c r="F104" s="8">
        <v>67</v>
      </c>
      <c r="G104" s="8">
        <v>1</v>
      </c>
      <c r="H104" s="7">
        <f t="shared" si="9"/>
        <v>0</v>
      </c>
      <c r="I104" s="7">
        <f>IF(B104=Queue_Intervals!A2,MAX(0,MIN(D104,Queue_Intervals!C2)-MAX(C104+90,Queue_Intervals!B2)),0)+IF(B104=Queue_Intervals!A3,MAX(0,MIN(D104,Queue_Intervals!C3)-MAX(C104+90,Queue_Intervals!B3)),0)+IF(B104=Queue_Intervals!A4,MAX(0,MIN(D104,Queue_Intervals!C4)-MAX(C104+90,Queue_Intervals!B4)),0)+IF(B104=Queue_Intervals!A5,MAX(0,MIN(D104,Queue_Intervals!C5)-MAX(C104+90,Queue_Intervals!B5)),0)</f>
        <v>0</v>
      </c>
      <c r="J104" s="7">
        <f t="shared" si="10"/>
        <v>0</v>
      </c>
      <c r="K104" s="7">
        <f>IF(B104=Queue_Intervals!A2,MAX(0,MIN(D104,Queue_Intervals!C2)-MAX(C104+120,Queue_Intervals!B2)),0)+IF(B104=Queue_Intervals!A3,MAX(0,MIN(D104,Queue_Intervals!C3)-MAX(C104+120,Queue_Intervals!B3)),0)+IF(B104=Queue_Intervals!A4,MAX(0,MIN(D104,Queue_Intervals!C4)-MAX(C104+120,Queue_Intervals!B4)),0)+IF(B104=Queue_Intervals!A5,MAX(0,MIN(D104,Queue_Intervals!C5)-MAX(C104+120,Queue_Intervals!B5)),0)</f>
        <v>0</v>
      </c>
      <c r="L104" s="7">
        <f t="shared" si="11"/>
        <v>0</v>
      </c>
      <c r="M104" s="7">
        <f>IF(B104=Queue_Intervals!A2,MAX(0,MIN(D104,Queue_Intervals!C2)-MAX(C104+150,Queue_Intervals!B2)),0)+IF(B104=Queue_Intervals!A3,MAX(0,MIN(D104,Queue_Intervals!C3)-MAX(C104+150,Queue_Intervals!B3)),0)+IF(B104=Queue_Intervals!A4,MAX(0,MIN(D104,Queue_Intervals!C4)-MAX(C104+150,Queue_Intervals!B4)),0)+IF(B104=Queue_Intervals!A5,MAX(0,MIN(D104,Queue_Intervals!C5)-MAX(C104+150,Queue_Intervals!B5)),0)</f>
        <v>0</v>
      </c>
    </row>
    <row r="105" spans="1:13" ht="24.95" customHeight="1">
      <c r="A105" s="7" t="s">
        <v>184</v>
      </c>
      <c r="B105" s="8" t="s">
        <v>160</v>
      </c>
      <c r="C105" s="8">
        <v>555</v>
      </c>
      <c r="D105" s="8">
        <v>581</v>
      </c>
      <c r="E105" s="8" t="s">
        <v>79</v>
      </c>
      <c r="F105" s="8">
        <v>26</v>
      </c>
      <c r="G105" s="8">
        <v>1</v>
      </c>
      <c r="H105" s="7">
        <f t="shared" si="9"/>
        <v>0</v>
      </c>
      <c r="I105" s="7">
        <f>IF(B105=Queue_Intervals!A2,MAX(0,MIN(D105,Queue_Intervals!C2)-MAX(C105+90,Queue_Intervals!B2)),0)+IF(B105=Queue_Intervals!A3,MAX(0,MIN(D105,Queue_Intervals!C3)-MAX(C105+90,Queue_Intervals!B3)),0)+IF(B105=Queue_Intervals!A4,MAX(0,MIN(D105,Queue_Intervals!C4)-MAX(C105+90,Queue_Intervals!B4)),0)+IF(B105=Queue_Intervals!A5,MAX(0,MIN(D105,Queue_Intervals!C5)-MAX(C105+90,Queue_Intervals!B5)),0)</f>
        <v>0</v>
      </c>
      <c r="J105" s="7">
        <f t="shared" si="10"/>
        <v>0</v>
      </c>
      <c r="K105" s="7">
        <f>IF(B105=Queue_Intervals!A2,MAX(0,MIN(D105,Queue_Intervals!C2)-MAX(C105+120,Queue_Intervals!B2)),0)+IF(B105=Queue_Intervals!A3,MAX(0,MIN(D105,Queue_Intervals!C3)-MAX(C105+120,Queue_Intervals!B3)),0)+IF(B105=Queue_Intervals!A4,MAX(0,MIN(D105,Queue_Intervals!C4)-MAX(C105+120,Queue_Intervals!B4)),0)+IF(B105=Queue_Intervals!A5,MAX(0,MIN(D105,Queue_Intervals!C5)-MAX(C105+120,Queue_Intervals!B5)),0)</f>
        <v>0</v>
      </c>
      <c r="L105" s="7">
        <f t="shared" si="11"/>
        <v>0</v>
      </c>
      <c r="M105" s="7">
        <f>IF(B105=Queue_Intervals!A2,MAX(0,MIN(D105,Queue_Intervals!C2)-MAX(C105+150,Queue_Intervals!B2)),0)+IF(B105=Queue_Intervals!A3,MAX(0,MIN(D105,Queue_Intervals!C3)-MAX(C105+150,Queue_Intervals!B3)),0)+IF(B105=Queue_Intervals!A4,MAX(0,MIN(D105,Queue_Intervals!C4)-MAX(C105+150,Queue_Intervals!B4)),0)+IF(B105=Queue_Intervals!A5,MAX(0,MIN(D105,Queue_Intervals!C5)-MAX(C105+150,Queue_Intervals!B5)),0)</f>
        <v>0</v>
      </c>
    </row>
    <row r="106" spans="1:13" ht="24.95" customHeight="1">
      <c r="A106" s="7" t="s">
        <v>185</v>
      </c>
      <c r="B106" s="8" t="s">
        <v>160</v>
      </c>
      <c r="C106" s="8">
        <v>556</v>
      </c>
      <c r="D106" s="8">
        <v>603</v>
      </c>
      <c r="E106" s="8" t="s">
        <v>79</v>
      </c>
      <c r="F106" s="8">
        <v>47</v>
      </c>
      <c r="G106" s="8">
        <v>1</v>
      </c>
      <c r="H106" s="7">
        <f t="shared" si="9"/>
        <v>0</v>
      </c>
      <c r="I106" s="7">
        <f>IF(B106=Queue_Intervals!A2,MAX(0,MIN(D106,Queue_Intervals!C2)-MAX(C106+90,Queue_Intervals!B2)),0)+IF(B106=Queue_Intervals!A3,MAX(0,MIN(D106,Queue_Intervals!C3)-MAX(C106+90,Queue_Intervals!B3)),0)+IF(B106=Queue_Intervals!A4,MAX(0,MIN(D106,Queue_Intervals!C4)-MAX(C106+90,Queue_Intervals!B4)),0)+IF(B106=Queue_Intervals!A5,MAX(0,MIN(D106,Queue_Intervals!C5)-MAX(C106+90,Queue_Intervals!B5)),0)</f>
        <v>0</v>
      </c>
      <c r="J106" s="7">
        <f t="shared" si="10"/>
        <v>0</v>
      </c>
      <c r="K106" s="7">
        <f>IF(B106=Queue_Intervals!A2,MAX(0,MIN(D106,Queue_Intervals!C2)-MAX(C106+120,Queue_Intervals!B2)),0)+IF(B106=Queue_Intervals!A3,MAX(0,MIN(D106,Queue_Intervals!C3)-MAX(C106+120,Queue_Intervals!B3)),0)+IF(B106=Queue_Intervals!A4,MAX(0,MIN(D106,Queue_Intervals!C4)-MAX(C106+120,Queue_Intervals!B4)),0)+IF(B106=Queue_Intervals!A5,MAX(0,MIN(D106,Queue_Intervals!C5)-MAX(C106+120,Queue_Intervals!B5)),0)</f>
        <v>0</v>
      </c>
      <c r="L106" s="7">
        <f t="shared" si="11"/>
        <v>0</v>
      </c>
      <c r="M106" s="7">
        <f>IF(B106=Queue_Intervals!A2,MAX(0,MIN(D106,Queue_Intervals!C2)-MAX(C106+150,Queue_Intervals!B2)),0)+IF(B106=Queue_Intervals!A3,MAX(0,MIN(D106,Queue_Intervals!C3)-MAX(C106+150,Queue_Intervals!B3)),0)+IF(B106=Queue_Intervals!A4,MAX(0,MIN(D106,Queue_Intervals!C4)-MAX(C106+150,Queue_Intervals!B4)),0)+IF(B106=Queue_Intervals!A5,MAX(0,MIN(D106,Queue_Intervals!C5)-MAX(C106+150,Queue_Intervals!B5)),0)</f>
        <v>0</v>
      </c>
    </row>
    <row r="107" spans="1:13" ht="24.95" customHeight="1">
      <c r="A107" s="7" t="s">
        <v>186</v>
      </c>
      <c r="B107" s="8" t="s">
        <v>160</v>
      </c>
      <c r="C107" s="8">
        <v>567</v>
      </c>
      <c r="D107" s="8">
        <v>644</v>
      </c>
      <c r="E107" s="8" t="s">
        <v>79</v>
      </c>
      <c r="F107" s="8">
        <v>77</v>
      </c>
      <c r="G107" s="8">
        <v>1</v>
      </c>
      <c r="H107" s="7">
        <f t="shared" si="9"/>
        <v>0</v>
      </c>
      <c r="I107" s="7">
        <f>IF(B107=Queue_Intervals!A2,MAX(0,MIN(D107,Queue_Intervals!C2)-MAX(C107+90,Queue_Intervals!B2)),0)+IF(B107=Queue_Intervals!A3,MAX(0,MIN(D107,Queue_Intervals!C3)-MAX(C107+90,Queue_Intervals!B3)),0)+IF(B107=Queue_Intervals!A4,MAX(0,MIN(D107,Queue_Intervals!C4)-MAX(C107+90,Queue_Intervals!B4)),0)+IF(B107=Queue_Intervals!A5,MAX(0,MIN(D107,Queue_Intervals!C5)-MAX(C107+90,Queue_Intervals!B5)),0)</f>
        <v>0</v>
      </c>
      <c r="J107" s="7">
        <f t="shared" si="10"/>
        <v>0</v>
      </c>
      <c r="K107" s="7">
        <f>IF(B107=Queue_Intervals!A2,MAX(0,MIN(D107,Queue_Intervals!C2)-MAX(C107+120,Queue_Intervals!B2)),0)+IF(B107=Queue_Intervals!A3,MAX(0,MIN(D107,Queue_Intervals!C3)-MAX(C107+120,Queue_Intervals!B3)),0)+IF(B107=Queue_Intervals!A4,MAX(0,MIN(D107,Queue_Intervals!C4)-MAX(C107+120,Queue_Intervals!B4)),0)+IF(B107=Queue_Intervals!A5,MAX(0,MIN(D107,Queue_Intervals!C5)-MAX(C107+120,Queue_Intervals!B5)),0)</f>
        <v>0</v>
      </c>
      <c r="L107" s="7">
        <f t="shared" si="11"/>
        <v>0</v>
      </c>
      <c r="M107" s="7">
        <f>IF(B107=Queue_Intervals!A2,MAX(0,MIN(D107,Queue_Intervals!C2)-MAX(C107+150,Queue_Intervals!B2)),0)+IF(B107=Queue_Intervals!A3,MAX(0,MIN(D107,Queue_Intervals!C3)-MAX(C107+150,Queue_Intervals!B3)),0)+IF(B107=Queue_Intervals!A4,MAX(0,MIN(D107,Queue_Intervals!C4)-MAX(C107+150,Queue_Intervals!B4)),0)+IF(B107=Queue_Intervals!A5,MAX(0,MIN(D107,Queue_Intervals!C5)-MAX(C107+150,Queue_Intervals!B5)),0)</f>
        <v>0</v>
      </c>
    </row>
    <row r="108" spans="1:13" ht="24.95" customHeight="1">
      <c r="A108" s="7" t="s">
        <v>187</v>
      </c>
      <c r="B108" s="8" t="s">
        <v>160</v>
      </c>
      <c r="C108" s="8">
        <v>590</v>
      </c>
      <c r="D108" s="8">
        <v>720</v>
      </c>
      <c r="E108" s="8" t="s">
        <v>79</v>
      </c>
      <c r="F108" s="8">
        <v>130</v>
      </c>
      <c r="G108" s="8">
        <v>1</v>
      </c>
      <c r="H108" s="7">
        <f t="shared" si="9"/>
        <v>40</v>
      </c>
      <c r="I108" s="7">
        <f>IF(B108=Queue_Intervals!A2,MAX(0,MIN(D108,Queue_Intervals!C2)-MAX(C108+90,Queue_Intervals!B2)),0)+IF(B108=Queue_Intervals!A3,MAX(0,MIN(D108,Queue_Intervals!C3)-MAX(C108+90,Queue_Intervals!B3)),0)+IF(B108=Queue_Intervals!A4,MAX(0,MIN(D108,Queue_Intervals!C4)-MAX(C108+90,Queue_Intervals!B4)),0)+IF(B108=Queue_Intervals!A5,MAX(0,MIN(D108,Queue_Intervals!C5)-MAX(C108+90,Queue_Intervals!B5)),0)</f>
        <v>20</v>
      </c>
      <c r="J108" s="7">
        <f t="shared" si="10"/>
        <v>10</v>
      </c>
      <c r="K108" s="7">
        <f>IF(B108=Queue_Intervals!A2,MAX(0,MIN(D108,Queue_Intervals!C2)-MAX(C108+120,Queue_Intervals!B2)),0)+IF(B108=Queue_Intervals!A3,MAX(0,MIN(D108,Queue_Intervals!C3)-MAX(C108+120,Queue_Intervals!B3)),0)+IF(B108=Queue_Intervals!A4,MAX(0,MIN(D108,Queue_Intervals!C4)-MAX(C108+120,Queue_Intervals!B4)),0)+IF(B108=Queue_Intervals!A5,MAX(0,MIN(D108,Queue_Intervals!C5)-MAX(C108+120,Queue_Intervals!B5)),0)</f>
        <v>0</v>
      </c>
      <c r="L108" s="7">
        <f t="shared" si="11"/>
        <v>0</v>
      </c>
      <c r="M108" s="7">
        <f>IF(B108=Queue_Intervals!A2,MAX(0,MIN(D108,Queue_Intervals!C2)-MAX(C108+150,Queue_Intervals!B2)),0)+IF(B108=Queue_Intervals!A3,MAX(0,MIN(D108,Queue_Intervals!C3)-MAX(C108+150,Queue_Intervals!B3)),0)+IF(B108=Queue_Intervals!A4,MAX(0,MIN(D108,Queue_Intervals!C4)-MAX(C108+150,Queue_Intervals!B4)),0)+IF(B108=Queue_Intervals!A5,MAX(0,MIN(D108,Queue_Intervals!C5)-MAX(C108+150,Queue_Intervals!B5)),0)</f>
        <v>0</v>
      </c>
    </row>
    <row r="109" spans="1:13" ht="24.95" customHeight="1">
      <c r="A109" s="7" t="s">
        <v>188</v>
      </c>
      <c r="B109" s="8" t="s">
        <v>160</v>
      </c>
      <c r="C109" s="8">
        <v>540</v>
      </c>
      <c r="D109" s="8">
        <v>652</v>
      </c>
      <c r="E109" s="8" t="s">
        <v>79</v>
      </c>
      <c r="F109" s="8">
        <v>112</v>
      </c>
      <c r="G109" s="8">
        <v>1</v>
      </c>
      <c r="H109" s="7">
        <f t="shared" si="9"/>
        <v>22</v>
      </c>
      <c r="I109" s="7">
        <f>IF(B109=Queue_Intervals!A2,MAX(0,MIN(D109,Queue_Intervals!C2)-MAX(C109+90,Queue_Intervals!B2)),0)+IF(B109=Queue_Intervals!A3,MAX(0,MIN(D109,Queue_Intervals!C3)-MAX(C109+90,Queue_Intervals!B3)),0)+IF(B109=Queue_Intervals!A4,MAX(0,MIN(D109,Queue_Intervals!C4)-MAX(C109+90,Queue_Intervals!B4)),0)+IF(B109=Queue_Intervals!A5,MAX(0,MIN(D109,Queue_Intervals!C5)-MAX(C109+90,Queue_Intervals!B5)),0)</f>
        <v>22</v>
      </c>
      <c r="J109" s="7">
        <f t="shared" si="10"/>
        <v>0</v>
      </c>
      <c r="K109" s="7">
        <f>IF(B109=Queue_Intervals!A2,MAX(0,MIN(D109,Queue_Intervals!C2)-MAX(C109+120,Queue_Intervals!B2)),0)+IF(B109=Queue_Intervals!A3,MAX(0,MIN(D109,Queue_Intervals!C3)-MAX(C109+120,Queue_Intervals!B3)),0)+IF(B109=Queue_Intervals!A4,MAX(0,MIN(D109,Queue_Intervals!C4)-MAX(C109+120,Queue_Intervals!B4)),0)+IF(B109=Queue_Intervals!A5,MAX(0,MIN(D109,Queue_Intervals!C5)-MAX(C109+120,Queue_Intervals!B5)),0)</f>
        <v>0</v>
      </c>
      <c r="L109" s="7">
        <f t="shared" si="11"/>
        <v>0</v>
      </c>
      <c r="M109" s="7">
        <f>IF(B109=Queue_Intervals!A2,MAX(0,MIN(D109,Queue_Intervals!C2)-MAX(C109+150,Queue_Intervals!B2)),0)+IF(B109=Queue_Intervals!A3,MAX(0,MIN(D109,Queue_Intervals!C3)-MAX(C109+150,Queue_Intervals!B3)),0)+IF(B109=Queue_Intervals!A4,MAX(0,MIN(D109,Queue_Intervals!C4)-MAX(C109+150,Queue_Intervals!B4)),0)+IF(B109=Queue_Intervals!A5,MAX(0,MIN(D109,Queue_Intervals!C5)-MAX(C109+150,Queue_Intervals!B5)),0)</f>
        <v>0</v>
      </c>
    </row>
    <row r="110" spans="1:13" ht="24.95" customHeight="1">
      <c r="A110" s="7" t="s">
        <v>189</v>
      </c>
      <c r="B110" s="8" t="s">
        <v>160</v>
      </c>
      <c r="C110" s="8">
        <v>565</v>
      </c>
      <c r="D110" s="8">
        <v>601</v>
      </c>
      <c r="E110" s="8" t="s">
        <v>79</v>
      </c>
      <c r="F110" s="8">
        <v>36</v>
      </c>
      <c r="G110" s="8">
        <v>1</v>
      </c>
      <c r="H110" s="7">
        <f t="shared" si="9"/>
        <v>0</v>
      </c>
      <c r="I110" s="7">
        <f>IF(B110=Queue_Intervals!A2,MAX(0,MIN(D110,Queue_Intervals!C2)-MAX(C110+90,Queue_Intervals!B2)),0)+IF(B110=Queue_Intervals!A3,MAX(0,MIN(D110,Queue_Intervals!C3)-MAX(C110+90,Queue_Intervals!B3)),0)+IF(B110=Queue_Intervals!A4,MAX(0,MIN(D110,Queue_Intervals!C4)-MAX(C110+90,Queue_Intervals!B4)),0)+IF(B110=Queue_Intervals!A5,MAX(0,MIN(D110,Queue_Intervals!C5)-MAX(C110+90,Queue_Intervals!B5)),0)</f>
        <v>0</v>
      </c>
      <c r="J110" s="7">
        <f t="shared" si="10"/>
        <v>0</v>
      </c>
      <c r="K110" s="7">
        <f>IF(B110=Queue_Intervals!A2,MAX(0,MIN(D110,Queue_Intervals!C2)-MAX(C110+120,Queue_Intervals!B2)),0)+IF(B110=Queue_Intervals!A3,MAX(0,MIN(D110,Queue_Intervals!C3)-MAX(C110+120,Queue_Intervals!B3)),0)+IF(B110=Queue_Intervals!A4,MAX(0,MIN(D110,Queue_Intervals!C4)-MAX(C110+120,Queue_Intervals!B4)),0)+IF(B110=Queue_Intervals!A5,MAX(0,MIN(D110,Queue_Intervals!C5)-MAX(C110+120,Queue_Intervals!B5)),0)</f>
        <v>0</v>
      </c>
      <c r="L110" s="7">
        <f t="shared" si="11"/>
        <v>0</v>
      </c>
      <c r="M110" s="7">
        <f>IF(B110=Queue_Intervals!A2,MAX(0,MIN(D110,Queue_Intervals!C2)-MAX(C110+150,Queue_Intervals!B2)),0)+IF(B110=Queue_Intervals!A3,MAX(0,MIN(D110,Queue_Intervals!C3)-MAX(C110+150,Queue_Intervals!B3)),0)+IF(B110=Queue_Intervals!A4,MAX(0,MIN(D110,Queue_Intervals!C4)-MAX(C110+150,Queue_Intervals!B4)),0)+IF(B110=Queue_Intervals!A5,MAX(0,MIN(D110,Queue_Intervals!C5)-MAX(C110+150,Queue_Intervals!B5)),0)</f>
        <v>0</v>
      </c>
    </row>
    <row r="111" spans="1:13" ht="24.95" customHeight="1">
      <c r="A111" s="7" t="s">
        <v>190</v>
      </c>
      <c r="B111" s="8" t="s">
        <v>160</v>
      </c>
      <c r="C111" s="8">
        <v>565</v>
      </c>
      <c r="D111" s="8">
        <v>701</v>
      </c>
      <c r="E111" s="8" t="s">
        <v>79</v>
      </c>
      <c r="F111" s="8">
        <v>136</v>
      </c>
      <c r="G111" s="8">
        <v>1</v>
      </c>
      <c r="H111" s="7">
        <f t="shared" si="9"/>
        <v>46</v>
      </c>
      <c r="I111" s="7">
        <f>IF(B111=Queue_Intervals!A2,MAX(0,MIN(D111,Queue_Intervals!C2)-MAX(C111+90,Queue_Intervals!B2)),0)+IF(B111=Queue_Intervals!A3,MAX(0,MIN(D111,Queue_Intervals!C3)-MAX(C111+90,Queue_Intervals!B3)),0)+IF(B111=Queue_Intervals!A4,MAX(0,MIN(D111,Queue_Intervals!C4)-MAX(C111+90,Queue_Intervals!B4)),0)+IF(B111=Queue_Intervals!A5,MAX(0,MIN(D111,Queue_Intervals!C5)-MAX(C111+90,Queue_Intervals!B5)),0)</f>
        <v>45</v>
      </c>
      <c r="J111" s="7">
        <f t="shared" si="10"/>
        <v>16</v>
      </c>
      <c r="K111" s="7">
        <f>IF(B111=Queue_Intervals!A2,MAX(0,MIN(D111,Queue_Intervals!C2)-MAX(C111+120,Queue_Intervals!B2)),0)+IF(B111=Queue_Intervals!A3,MAX(0,MIN(D111,Queue_Intervals!C3)-MAX(C111+120,Queue_Intervals!B3)),0)+IF(B111=Queue_Intervals!A4,MAX(0,MIN(D111,Queue_Intervals!C4)-MAX(C111+120,Queue_Intervals!B4)),0)+IF(B111=Queue_Intervals!A5,MAX(0,MIN(D111,Queue_Intervals!C5)-MAX(C111+120,Queue_Intervals!B5)),0)</f>
        <v>15</v>
      </c>
      <c r="L111" s="7">
        <f t="shared" si="11"/>
        <v>0</v>
      </c>
      <c r="M111" s="7">
        <f>IF(B111=Queue_Intervals!A2,MAX(0,MIN(D111,Queue_Intervals!C2)-MAX(C111+150,Queue_Intervals!B2)),0)+IF(B111=Queue_Intervals!A3,MAX(0,MIN(D111,Queue_Intervals!C3)-MAX(C111+150,Queue_Intervals!B3)),0)+IF(B111=Queue_Intervals!A4,MAX(0,MIN(D111,Queue_Intervals!C4)-MAX(C111+150,Queue_Intervals!B4)),0)+IF(B111=Queue_Intervals!A5,MAX(0,MIN(D111,Queue_Intervals!C5)-MAX(C111+150,Queue_Intervals!B5)),0)</f>
        <v>0</v>
      </c>
    </row>
    <row r="112" spans="1:13" ht="24.95" customHeight="1">
      <c r="A112" s="7" t="s">
        <v>191</v>
      </c>
      <c r="B112" s="8" t="s">
        <v>160</v>
      </c>
      <c r="C112" s="8">
        <v>573</v>
      </c>
      <c r="D112" s="8">
        <v>644</v>
      </c>
      <c r="E112" s="8" t="s">
        <v>79</v>
      </c>
      <c r="F112" s="8">
        <v>71</v>
      </c>
      <c r="G112" s="8">
        <v>1</v>
      </c>
      <c r="H112" s="7">
        <f t="shared" si="9"/>
        <v>0</v>
      </c>
      <c r="I112" s="7">
        <f>IF(B112=Queue_Intervals!A2,MAX(0,MIN(D112,Queue_Intervals!C2)-MAX(C112+90,Queue_Intervals!B2)),0)+IF(B112=Queue_Intervals!A3,MAX(0,MIN(D112,Queue_Intervals!C3)-MAX(C112+90,Queue_Intervals!B3)),0)+IF(B112=Queue_Intervals!A4,MAX(0,MIN(D112,Queue_Intervals!C4)-MAX(C112+90,Queue_Intervals!B4)),0)+IF(B112=Queue_Intervals!A5,MAX(0,MIN(D112,Queue_Intervals!C5)-MAX(C112+90,Queue_Intervals!B5)),0)</f>
        <v>0</v>
      </c>
      <c r="J112" s="7">
        <f t="shared" si="10"/>
        <v>0</v>
      </c>
      <c r="K112" s="7">
        <f>IF(B112=Queue_Intervals!A2,MAX(0,MIN(D112,Queue_Intervals!C2)-MAX(C112+120,Queue_Intervals!B2)),0)+IF(B112=Queue_Intervals!A3,MAX(0,MIN(D112,Queue_Intervals!C3)-MAX(C112+120,Queue_Intervals!B3)),0)+IF(B112=Queue_Intervals!A4,MAX(0,MIN(D112,Queue_Intervals!C4)-MAX(C112+120,Queue_Intervals!B4)),0)+IF(B112=Queue_Intervals!A5,MAX(0,MIN(D112,Queue_Intervals!C5)-MAX(C112+120,Queue_Intervals!B5)),0)</f>
        <v>0</v>
      </c>
      <c r="L112" s="7">
        <f t="shared" si="11"/>
        <v>0</v>
      </c>
      <c r="M112" s="7">
        <f>IF(B112=Queue_Intervals!A2,MAX(0,MIN(D112,Queue_Intervals!C2)-MAX(C112+150,Queue_Intervals!B2)),0)+IF(B112=Queue_Intervals!A3,MAX(0,MIN(D112,Queue_Intervals!C3)-MAX(C112+150,Queue_Intervals!B3)),0)+IF(B112=Queue_Intervals!A4,MAX(0,MIN(D112,Queue_Intervals!C4)-MAX(C112+150,Queue_Intervals!B4)),0)+IF(B112=Queue_Intervals!A5,MAX(0,MIN(D112,Queue_Intervals!C5)-MAX(C112+150,Queue_Intervals!B5)),0)</f>
        <v>0</v>
      </c>
    </row>
    <row r="113" spans="1:13" ht="24.95" customHeight="1">
      <c r="A113" s="7" t="s">
        <v>192</v>
      </c>
      <c r="B113" s="8" t="s">
        <v>160</v>
      </c>
      <c r="C113" s="8">
        <v>547</v>
      </c>
      <c r="D113" s="8">
        <v>587</v>
      </c>
      <c r="E113" s="8" t="s">
        <v>79</v>
      </c>
      <c r="F113" s="8">
        <v>40</v>
      </c>
      <c r="G113" s="8">
        <v>1</v>
      </c>
      <c r="H113" s="7">
        <f t="shared" si="9"/>
        <v>0</v>
      </c>
      <c r="I113" s="7">
        <f>IF(B113=Queue_Intervals!A2,MAX(0,MIN(D113,Queue_Intervals!C2)-MAX(C113+90,Queue_Intervals!B2)),0)+IF(B113=Queue_Intervals!A3,MAX(0,MIN(D113,Queue_Intervals!C3)-MAX(C113+90,Queue_Intervals!B3)),0)+IF(B113=Queue_Intervals!A4,MAX(0,MIN(D113,Queue_Intervals!C4)-MAX(C113+90,Queue_Intervals!B4)),0)+IF(B113=Queue_Intervals!A5,MAX(0,MIN(D113,Queue_Intervals!C5)-MAX(C113+90,Queue_Intervals!B5)),0)</f>
        <v>0</v>
      </c>
      <c r="J113" s="7">
        <f t="shared" si="10"/>
        <v>0</v>
      </c>
      <c r="K113" s="7">
        <f>IF(B113=Queue_Intervals!A2,MAX(0,MIN(D113,Queue_Intervals!C2)-MAX(C113+120,Queue_Intervals!B2)),0)+IF(B113=Queue_Intervals!A3,MAX(0,MIN(D113,Queue_Intervals!C3)-MAX(C113+120,Queue_Intervals!B3)),0)+IF(B113=Queue_Intervals!A4,MAX(0,MIN(D113,Queue_Intervals!C4)-MAX(C113+120,Queue_Intervals!B4)),0)+IF(B113=Queue_Intervals!A5,MAX(0,MIN(D113,Queue_Intervals!C5)-MAX(C113+120,Queue_Intervals!B5)),0)</f>
        <v>0</v>
      </c>
      <c r="L113" s="7">
        <f t="shared" si="11"/>
        <v>0</v>
      </c>
      <c r="M113" s="7">
        <f>IF(B113=Queue_Intervals!A2,MAX(0,MIN(D113,Queue_Intervals!C2)-MAX(C113+150,Queue_Intervals!B2)),0)+IF(B113=Queue_Intervals!A3,MAX(0,MIN(D113,Queue_Intervals!C3)-MAX(C113+150,Queue_Intervals!B3)),0)+IF(B113=Queue_Intervals!A4,MAX(0,MIN(D113,Queue_Intervals!C4)-MAX(C113+150,Queue_Intervals!B4)),0)+IF(B113=Queue_Intervals!A5,MAX(0,MIN(D113,Queue_Intervals!C5)-MAX(C113+150,Queue_Intervals!B5)),0)</f>
        <v>0</v>
      </c>
    </row>
    <row r="114" spans="1:13" ht="24.95" customHeight="1">
      <c r="A114" s="7" t="s">
        <v>193</v>
      </c>
      <c r="B114" s="8" t="s">
        <v>160</v>
      </c>
      <c r="C114" s="8">
        <v>605</v>
      </c>
      <c r="D114" s="8">
        <v>720</v>
      </c>
      <c r="E114" s="8" t="s">
        <v>79</v>
      </c>
      <c r="F114" s="8">
        <v>115</v>
      </c>
      <c r="G114" s="8">
        <v>1</v>
      </c>
      <c r="H114" s="7">
        <f t="shared" si="9"/>
        <v>25</v>
      </c>
      <c r="I114" s="7">
        <f>IF(B114=Queue_Intervals!A2,MAX(0,MIN(D114,Queue_Intervals!C2)-MAX(C114+90,Queue_Intervals!B2)),0)+IF(B114=Queue_Intervals!A3,MAX(0,MIN(D114,Queue_Intervals!C3)-MAX(C114+90,Queue_Intervals!B3)),0)+IF(B114=Queue_Intervals!A4,MAX(0,MIN(D114,Queue_Intervals!C4)-MAX(C114+90,Queue_Intervals!B4)),0)+IF(B114=Queue_Intervals!A5,MAX(0,MIN(D114,Queue_Intervals!C5)-MAX(C114+90,Queue_Intervals!B5)),0)</f>
        <v>5</v>
      </c>
      <c r="J114" s="7">
        <f t="shared" si="10"/>
        <v>0</v>
      </c>
      <c r="K114" s="7">
        <f>IF(B114=Queue_Intervals!A2,MAX(0,MIN(D114,Queue_Intervals!C2)-MAX(C114+120,Queue_Intervals!B2)),0)+IF(B114=Queue_Intervals!A3,MAX(0,MIN(D114,Queue_Intervals!C3)-MAX(C114+120,Queue_Intervals!B3)),0)+IF(B114=Queue_Intervals!A4,MAX(0,MIN(D114,Queue_Intervals!C4)-MAX(C114+120,Queue_Intervals!B4)),0)+IF(B114=Queue_Intervals!A5,MAX(0,MIN(D114,Queue_Intervals!C5)-MAX(C114+120,Queue_Intervals!B5)),0)</f>
        <v>0</v>
      </c>
      <c r="L114" s="7">
        <f t="shared" si="11"/>
        <v>0</v>
      </c>
      <c r="M114" s="7">
        <f>IF(B114=Queue_Intervals!A2,MAX(0,MIN(D114,Queue_Intervals!C2)-MAX(C114+150,Queue_Intervals!B2)),0)+IF(B114=Queue_Intervals!A3,MAX(0,MIN(D114,Queue_Intervals!C3)-MAX(C114+150,Queue_Intervals!B3)),0)+IF(B114=Queue_Intervals!A4,MAX(0,MIN(D114,Queue_Intervals!C4)-MAX(C114+150,Queue_Intervals!B4)),0)+IF(B114=Queue_Intervals!A5,MAX(0,MIN(D114,Queue_Intervals!C5)-MAX(C114+150,Queue_Intervals!B5)),0)</f>
        <v>0</v>
      </c>
    </row>
    <row r="115" spans="1:13" ht="24.95" customHeight="1">
      <c r="A115" s="7" t="s">
        <v>194</v>
      </c>
      <c r="B115" s="8" t="s">
        <v>160</v>
      </c>
      <c r="C115" s="8">
        <v>595</v>
      </c>
      <c r="D115" s="8">
        <v>685</v>
      </c>
      <c r="E115" s="8" t="s">
        <v>79</v>
      </c>
      <c r="F115" s="8">
        <v>90</v>
      </c>
      <c r="G115" s="8">
        <v>1</v>
      </c>
      <c r="H115" s="7">
        <f t="shared" si="9"/>
        <v>0</v>
      </c>
      <c r="I115" s="7">
        <f>IF(B115=Queue_Intervals!A2,MAX(0,MIN(D115,Queue_Intervals!C2)-MAX(C115+90,Queue_Intervals!B2)),0)+IF(B115=Queue_Intervals!A3,MAX(0,MIN(D115,Queue_Intervals!C3)-MAX(C115+90,Queue_Intervals!B3)),0)+IF(B115=Queue_Intervals!A4,MAX(0,MIN(D115,Queue_Intervals!C4)-MAX(C115+90,Queue_Intervals!B4)),0)+IF(B115=Queue_Intervals!A5,MAX(0,MIN(D115,Queue_Intervals!C5)-MAX(C115+90,Queue_Intervals!B5)),0)</f>
        <v>0</v>
      </c>
      <c r="J115" s="7">
        <f t="shared" si="10"/>
        <v>0</v>
      </c>
      <c r="K115" s="7">
        <f>IF(B115=Queue_Intervals!A2,MAX(0,MIN(D115,Queue_Intervals!C2)-MAX(C115+120,Queue_Intervals!B2)),0)+IF(B115=Queue_Intervals!A3,MAX(0,MIN(D115,Queue_Intervals!C3)-MAX(C115+120,Queue_Intervals!B3)),0)+IF(B115=Queue_Intervals!A4,MAX(0,MIN(D115,Queue_Intervals!C4)-MAX(C115+120,Queue_Intervals!B4)),0)+IF(B115=Queue_Intervals!A5,MAX(0,MIN(D115,Queue_Intervals!C5)-MAX(C115+120,Queue_Intervals!B5)),0)</f>
        <v>0</v>
      </c>
      <c r="L115" s="7">
        <f t="shared" si="11"/>
        <v>0</v>
      </c>
      <c r="M115" s="7">
        <f>IF(B115=Queue_Intervals!A2,MAX(0,MIN(D115,Queue_Intervals!C2)-MAX(C115+150,Queue_Intervals!B2)),0)+IF(B115=Queue_Intervals!A3,MAX(0,MIN(D115,Queue_Intervals!C3)-MAX(C115+150,Queue_Intervals!B3)),0)+IF(B115=Queue_Intervals!A4,MAX(0,MIN(D115,Queue_Intervals!C4)-MAX(C115+150,Queue_Intervals!B4)),0)+IF(B115=Queue_Intervals!A5,MAX(0,MIN(D115,Queue_Intervals!C5)-MAX(C115+150,Queue_Intervals!B5)),0)</f>
        <v>0</v>
      </c>
    </row>
    <row r="116" spans="1:13" ht="24.95" customHeight="1">
      <c r="A116" s="7" t="s">
        <v>195</v>
      </c>
      <c r="B116" s="8" t="s">
        <v>160</v>
      </c>
      <c r="C116" s="8">
        <v>609</v>
      </c>
      <c r="D116" s="8">
        <v>680</v>
      </c>
      <c r="E116" s="8" t="s">
        <v>79</v>
      </c>
      <c r="F116" s="8">
        <v>71</v>
      </c>
      <c r="G116" s="8">
        <v>1</v>
      </c>
      <c r="H116" s="7">
        <f t="shared" si="9"/>
        <v>0</v>
      </c>
      <c r="I116" s="7">
        <f>IF(B116=Queue_Intervals!A2,MAX(0,MIN(D116,Queue_Intervals!C2)-MAX(C116+90,Queue_Intervals!B2)),0)+IF(B116=Queue_Intervals!A3,MAX(0,MIN(D116,Queue_Intervals!C3)-MAX(C116+90,Queue_Intervals!B3)),0)+IF(B116=Queue_Intervals!A4,MAX(0,MIN(D116,Queue_Intervals!C4)-MAX(C116+90,Queue_Intervals!B4)),0)+IF(B116=Queue_Intervals!A5,MAX(0,MIN(D116,Queue_Intervals!C5)-MAX(C116+90,Queue_Intervals!B5)),0)</f>
        <v>0</v>
      </c>
      <c r="J116" s="7">
        <f t="shared" si="10"/>
        <v>0</v>
      </c>
      <c r="K116" s="7">
        <f>IF(B116=Queue_Intervals!A2,MAX(0,MIN(D116,Queue_Intervals!C2)-MAX(C116+120,Queue_Intervals!B2)),0)+IF(B116=Queue_Intervals!A3,MAX(0,MIN(D116,Queue_Intervals!C3)-MAX(C116+120,Queue_Intervals!B3)),0)+IF(B116=Queue_Intervals!A4,MAX(0,MIN(D116,Queue_Intervals!C4)-MAX(C116+120,Queue_Intervals!B4)),0)+IF(B116=Queue_Intervals!A5,MAX(0,MIN(D116,Queue_Intervals!C5)-MAX(C116+120,Queue_Intervals!B5)),0)</f>
        <v>0</v>
      </c>
      <c r="L116" s="7">
        <f t="shared" si="11"/>
        <v>0</v>
      </c>
      <c r="M116" s="7">
        <f>IF(B116=Queue_Intervals!A2,MAX(0,MIN(D116,Queue_Intervals!C2)-MAX(C116+150,Queue_Intervals!B2)),0)+IF(B116=Queue_Intervals!A3,MAX(0,MIN(D116,Queue_Intervals!C3)-MAX(C116+150,Queue_Intervals!B3)),0)+IF(B116=Queue_Intervals!A4,MAX(0,MIN(D116,Queue_Intervals!C4)-MAX(C116+150,Queue_Intervals!B4)),0)+IF(B116=Queue_Intervals!A5,MAX(0,MIN(D116,Queue_Intervals!C5)-MAX(C116+150,Queue_Intervals!B5)),0)</f>
        <v>0</v>
      </c>
    </row>
    <row r="117" spans="1:13" ht="24.95" customHeight="1">
      <c r="A117" s="7" t="s">
        <v>196</v>
      </c>
      <c r="B117" s="8" t="s">
        <v>160</v>
      </c>
      <c r="C117" s="8">
        <v>611</v>
      </c>
      <c r="D117" s="8">
        <v>695</v>
      </c>
      <c r="E117" s="8" t="s">
        <v>79</v>
      </c>
      <c r="F117" s="8">
        <v>84</v>
      </c>
      <c r="G117" s="8">
        <v>1</v>
      </c>
      <c r="H117" s="7">
        <f t="shared" si="9"/>
        <v>0</v>
      </c>
      <c r="I117" s="7">
        <f>IF(B117=Queue_Intervals!A2,MAX(0,MIN(D117,Queue_Intervals!C2)-MAX(C117+90,Queue_Intervals!B2)),0)+IF(B117=Queue_Intervals!A3,MAX(0,MIN(D117,Queue_Intervals!C3)-MAX(C117+90,Queue_Intervals!B3)),0)+IF(B117=Queue_Intervals!A4,MAX(0,MIN(D117,Queue_Intervals!C4)-MAX(C117+90,Queue_Intervals!B4)),0)+IF(B117=Queue_Intervals!A5,MAX(0,MIN(D117,Queue_Intervals!C5)-MAX(C117+90,Queue_Intervals!B5)),0)</f>
        <v>0</v>
      </c>
      <c r="J117" s="7">
        <f t="shared" si="10"/>
        <v>0</v>
      </c>
      <c r="K117" s="7">
        <f>IF(B117=Queue_Intervals!A2,MAX(0,MIN(D117,Queue_Intervals!C2)-MAX(C117+120,Queue_Intervals!B2)),0)+IF(B117=Queue_Intervals!A3,MAX(0,MIN(D117,Queue_Intervals!C3)-MAX(C117+120,Queue_Intervals!B3)),0)+IF(B117=Queue_Intervals!A4,MAX(0,MIN(D117,Queue_Intervals!C4)-MAX(C117+120,Queue_Intervals!B4)),0)+IF(B117=Queue_Intervals!A5,MAX(0,MIN(D117,Queue_Intervals!C5)-MAX(C117+120,Queue_Intervals!B5)),0)</f>
        <v>0</v>
      </c>
      <c r="L117" s="7">
        <f t="shared" si="11"/>
        <v>0</v>
      </c>
      <c r="M117" s="7">
        <f>IF(B117=Queue_Intervals!A2,MAX(0,MIN(D117,Queue_Intervals!C2)-MAX(C117+150,Queue_Intervals!B2)),0)+IF(B117=Queue_Intervals!A3,MAX(0,MIN(D117,Queue_Intervals!C3)-MAX(C117+150,Queue_Intervals!B3)),0)+IF(B117=Queue_Intervals!A4,MAX(0,MIN(D117,Queue_Intervals!C4)-MAX(C117+150,Queue_Intervals!B4)),0)+IF(B117=Queue_Intervals!A5,MAX(0,MIN(D117,Queue_Intervals!C5)-MAX(C117+150,Queue_Intervals!B5)),0)</f>
        <v>0</v>
      </c>
    </row>
    <row r="118" spans="1:13" ht="24.95" customHeight="1">
      <c r="A118" s="7" t="s">
        <v>197</v>
      </c>
      <c r="B118" s="8" t="s">
        <v>160</v>
      </c>
      <c r="C118" s="8">
        <v>635</v>
      </c>
      <c r="D118" s="8">
        <v>670</v>
      </c>
      <c r="E118" s="8" t="s">
        <v>79</v>
      </c>
      <c r="F118" s="8">
        <v>35</v>
      </c>
      <c r="G118" s="8">
        <v>1</v>
      </c>
      <c r="H118" s="7">
        <f t="shared" si="9"/>
        <v>0</v>
      </c>
      <c r="I118" s="7">
        <f>IF(B118=Queue_Intervals!A2,MAX(0,MIN(D118,Queue_Intervals!C2)-MAX(C118+90,Queue_Intervals!B2)),0)+IF(B118=Queue_Intervals!A3,MAX(0,MIN(D118,Queue_Intervals!C3)-MAX(C118+90,Queue_Intervals!B3)),0)+IF(B118=Queue_Intervals!A4,MAX(0,MIN(D118,Queue_Intervals!C4)-MAX(C118+90,Queue_Intervals!B4)),0)+IF(B118=Queue_Intervals!A5,MAX(0,MIN(D118,Queue_Intervals!C5)-MAX(C118+90,Queue_Intervals!B5)),0)</f>
        <v>0</v>
      </c>
      <c r="J118" s="7">
        <f t="shared" si="10"/>
        <v>0</v>
      </c>
      <c r="K118" s="7">
        <f>IF(B118=Queue_Intervals!A2,MAX(0,MIN(D118,Queue_Intervals!C2)-MAX(C118+120,Queue_Intervals!B2)),0)+IF(B118=Queue_Intervals!A3,MAX(0,MIN(D118,Queue_Intervals!C3)-MAX(C118+120,Queue_Intervals!B3)),0)+IF(B118=Queue_Intervals!A4,MAX(0,MIN(D118,Queue_Intervals!C4)-MAX(C118+120,Queue_Intervals!B4)),0)+IF(B118=Queue_Intervals!A5,MAX(0,MIN(D118,Queue_Intervals!C5)-MAX(C118+120,Queue_Intervals!B5)),0)</f>
        <v>0</v>
      </c>
      <c r="L118" s="7">
        <f t="shared" si="11"/>
        <v>0</v>
      </c>
      <c r="M118" s="7">
        <f>IF(B118=Queue_Intervals!A2,MAX(0,MIN(D118,Queue_Intervals!C2)-MAX(C118+150,Queue_Intervals!B2)),0)+IF(B118=Queue_Intervals!A3,MAX(0,MIN(D118,Queue_Intervals!C3)-MAX(C118+150,Queue_Intervals!B3)),0)+IF(B118=Queue_Intervals!A4,MAX(0,MIN(D118,Queue_Intervals!C4)-MAX(C118+150,Queue_Intervals!B4)),0)+IF(B118=Queue_Intervals!A5,MAX(0,MIN(D118,Queue_Intervals!C5)-MAX(C118+150,Queue_Intervals!B5)),0)</f>
        <v>0</v>
      </c>
    </row>
    <row r="119" spans="1:13" ht="24.95" customHeight="1">
      <c r="A119" s="7" t="s">
        <v>198</v>
      </c>
      <c r="B119" s="8" t="s">
        <v>160</v>
      </c>
      <c r="C119" s="8">
        <v>645</v>
      </c>
      <c r="D119" s="8">
        <v>675</v>
      </c>
      <c r="E119" s="8" t="s">
        <v>79</v>
      </c>
      <c r="F119" s="8">
        <v>30</v>
      </c>
      <c r="G119" s="8">
        <v>1</v>
      </c>
      <c r="H119" s="7">
        <f t="shared" si="9"/>
        <v>0</v>
      </c>
      <c r="I119" s="7">
        <f>IF(B119=Queue_Intervals!A2,MAX(0,MIN(D119,Queue_Intervals!C2)-MAX(C119+90,Queue_Intervals!B2)),0)+IF(B119=Queue_Intervals!A3,MAX(0,MIN(D119,Queue_Intervals!C3)-MAX(C119+90,Queue_Intervals!B3)),0)+IF(B119=Queue_Intervals!A4,MAX(0,MIN(D119,Queue_Intervals!C4)-MAX(C119+90,Queue_Intervals!B4)),0)+IF(B119=Queue_Intervals!A5,MAX(0,MIN(D119,Queue_Intervals!C5)-MAX(C119+90,Queue_Intervals!B5)),0)</f>
        <v>0</v>
      </c>
      <c r="J119" s="7">
        <f t="shared" si="10"/>
        <v>0</v>
      </c>
      <c r="K119" s="7">
        <f>IF(B119=Queue_Intervals!A2,MAX(0,MIN(D119,Queue_Intervals!C2)-MAX(C119+120,Queue_Intervals!B2)),0)+IF(B119=Queue_Intervals!A3,MAX(0,MIN(D119,Queue_Intervals!C3)-MAX(C119+120,Queue_Intervals!B3)),0)+IF(B119=Queue_Intervals!A4,MAX(0,MIN(D119,Queue_Intervals!C4)-MAX(C119+120,Queue_Intervals!B4)),0)+IF(B119=Queue_Intervals!A5,MAX(0,MIN(D119,Queue_Intervals!C5)-MAX(C119+120,Queue_Intervals!B5)),0)</f>
        <v>0</v>
      </c>
      <c r="L119" s="7">
        <f t="shared" si="11"/>
        <v>0</v>
      </c>
      <c r="M119" s="7">
        <f>IF(B119=Queue_Intervals!A2,MAX(0,MIN(D119,Queue_Intervals!C2)-MAX(C119+150,Queue_Intervals!B2)),0)+IF(B119=Queue_Intervals!A3,MAX(0,MIN(D119,Queue_Intervals!C3)-MAX(C119+150,Queue_Intervals!B3)),0)+IF(B119=Queue_Intervals!A4,MAX(0,MIN(D119,Queue_Intervals!C4)-MAX(C119+150,Queue_Intervals!B4)),0)+IF(B119=Queue_Intervals!A5,MAX(0,MIN(D119,Queue_Intervals!C5)-MAX(C119+150,Queue_Intervals!B5)),0)</f>
        <v>0</v>
      </c>
    </row>
    <row r="120" spans="1:13" ht="24.95" customHeight="1">
      <c r="A120" s="7" t="s">
        <v>199</v>
      </c>
      <c r="B120" s="8" t="s">
        <v>160</v>
      </c>
      <c r="C120" s="8">
        <v>650</v>
      </c>
      <c r="D120" s="8">
        <v>715</v>
      </c>
      <c r="E120" s="8" t="s">
        <v>79</v>
      </c>
      <c r="F120" s="8">
        <v>65</v>
      </c>
      <c r="G120" s="8">
        <v>1</v>
      </c>
      <c r="H120" s="7">
        <f t="shared" si="9"/>
        <v>0</v>
      </c>
      <c r="I120" s="7">
        <f>IF(B120=Queue_Intervals!A2,MAX(0,MIN(D120,Queue_Intervals!C2)-MAX(C120+90,Queue_Intervals!B2)),0)+IF(B120=Queue_Intervals!A3,MAX(0,MIN(D120,Queue_Intervals!C3)-MAX(C120+90,Queue_Intervals!B3)),0)+IF(B120=Queue_Intervals!A4,MAX(0,MIN(D120,Queue_Intervals!C4)-MAX(C120+90,Queue_Intervals!B4)),0)+IF(B120=Queue_Intervals!A5,MAX(0,MIN(D120,Queue_Intervals!C5)-MAX(C120+90,Queue_Intervals!B5)),0)</f>
        <v>0</v>
      </c>
      <c r="J120" s="7">
        <f t="shared" si="10"/>
        <v>0</v>
      </c>
      <c r="K120" s="7">
        <f>IF(B120=Queue_Intervals!A2,MAX(0,MIN(D120,Queue_Intervals!C2)-MAX(C120+120,Queue_Intervals!B2)),0)+IF(B120=Queue_Intervals!A3,MAX(0,MIN(D120,Queue_Intervals!C3)-MAX(C120+120,Queue_Intervals!B3)),0)+IF(B120=Queue_Intervals!A4,MAX(0,MIN(D120,Queue_Intervals!C4)-MAX(C120+120,Queue_Intervals!B4)),0)+IF(B120=Queue_Intervals!A5,MAX(0,MIN(D120,Queue_Intervals!C5)-MAX(C120+120,Queue_Intervals!B5)),0)</f>
        <v>0</v>
      </c>
      <c r="L120" s="7">
        <f t="shared" si="11"/>
        <v>0</v>
      </c>
      <c r="M120" s="7">
        <f>IF(B120=Queue_Intervals!A2,MAX(0,MIN(D120,Queue_Intervals!C2)-MAX(C120+150,Queue_Intervals!B2)),0)+IF(B120=Queue_Intervals!A3,MAX(0,MIN(D120,Queue_Intervals!C3)-MAX(C120+150,Queue_Intervals!B3)),0)+IF(B120=Queue_Intervals!A4,MAX(0,MIN(D120,Queue_Intervals!C4)-MAX(C120+150,Queue_Intervals!B4)),0)+IF(B120=Queue_Intervals!A5,MAX(0,MIN(D120,Queue_Intervals!C5)-MAX(C120+150,Queue_Intervals!B5)),0)</f>
        <v>0</v>
      </c>
    </row>
    <row r="121" spans="1:13" ht="24.95" customHeight="1">
      <c r="A121" s="7" t="s">
        <v>200</v>
      </c>
      <c r="B121" s="8" t="s">
        <v>160</v>
      </c>
      <c r="C121" s="8">
        <v>650</v>
      </c>
      <c r="D121" s="8">
        <v>686</v>
      </c>
      <c r="E121" s="8" t="s">
        <v>79</v>
      </c>
      <c r="F121" s="8">
        <v>36</v>
      </c>
      <c r="G121" s="8">
        <v>1</v>
      </c>
      <c r="H121" s="7">
        <f t="shared" si="9"/>
        <v>0</v>
      </c>
      <c r="I121" s="7">
        <f>IF(B121=Queue_Intervals!A2,MAX(0,MIN(D121,Queue_Intervals!C2)-MAX(C121+90,Queue_Intervals!B2)),0)+IF(B121=Queue_Intervals!A3,MAX(0,MIN(D121,Queue_Intervals!C3)-MAX(C121+90,Queue_Intervals!B3)),0)+IF(B121=Queue_Intervals!A4,MAX(0,MIN(D121,Queue_Intervals!C4)-MAX(C121+90,Queue_Intervals!B4)),0)+IF(B121=Queue_Intervals!A5,MAX(0,MIN(D121,Queue_Intervals!C5)-MAX(C121+90,Queue_Intervals!B5)),0)</f>
        <v>0</v>
      </c>
      <c r="J121" s="7">
        <f t="shared" si="10"/>
        <v>0</v>
      </c>
      <c r="K121" s="7">
        <f>IF(B121=Queue_Intervals!A2,MAX(0,MIN(D121,Queue_Intervals!C2)-MAX(C121+120,Queue_Intervals!B2)),0)+IF(B121=Queue_Intervals!A3,MAX(0,MIN(D121,Queue_Intervals!C3)-MAX(C121+120,Queue_Intervals!B3)),0)+IF(B121=Queue_Intervals!A4,MAX(0,MIN(D121,Queue_Intervals!C4)-MAX(C121+120,Queue_Intervals!B4)),0)+IF(B121=Queue_Intervals!A5,MAX(0,MIN(D121,Queue_Intervals!C5)-MAX(C121+120,Queue_Intervals!B5)),0)</f>
        <v>0</v>
      </c>
      <c r="L121" s="7">
        <f t="shared" si="11"/>
        <v>0</v>
      </c>
      <c r="M121" s="7">
        <f>IF(B121=Queue_Intervals!A2,MAX(0,MIN(D121,Queue_Intervals!C2)-MAX(C121+150,Queue_Intervals!B2)),0)+IF(B121=Queue_Intervals!A3,MAX(0,MIN(D121,Queue_Intervals!C3)-MAX(C121+150,Queue_Intervals!B3)),0)+IF(B121=Queue_Intervals!A4,MAX(0,MIN(D121,Queue_Intervals!C4)-MAX(C121+150,Queue_Intervals!B4)),0)+IF(B121=Queue_Intervals!A5,MAX(0,MIN(D121,Queue_Intervals!C5)-MAX(C121+150,Queue_Intervals!B5)),0)</f>
        <v>0</v>
      </c>
    </row>
    <row r="122" spans="1:13" ht="24.95" customHeight="1">
      <c r="A122" s="7" t="s">
        <v>201</v>
      </c>
      <c r="B122" s="8" t="s">
        <v>160</v>
      </c>
      <c r="C122" s="8">
        <v>663</v>
      </c>
      <c r="D122" s="8">
        <v>703</v>
      </c>
      <c r="E122" s="8" t="s">
        <v>79</v>
      </c>
      <c r="F122" s="8">
        <v>40</v>
      </c>
      <c r="G122" s="8">
        <v>1</v>
      </c>
      <c r="H122" s="7">
        <f t="shared" si="9"/>
        <v>0</v>
      </c>
      <c r="I122" s="7">
        <f>IF(B122=Queue_Intervals!A2,MAX(0,MIN(D122,Queue_Intervals!C2)-MAX(C122+90,Queue_Intervals!B2)),0)+IF(B122=Queue_Intervals!A3,MAX(0,MIN(D122,Queue_Intervals!C3)-MAX(C122+90,Queue_Intervals!B3)),0)+IF(B122=Queue_Intervals!A4,MAX(0,MIN(D122,Queue_Intervals!C4)-MAX(C122+90,Queue_Intervals!B4)),0)+IF(B122=Queue_Intervals!A5,MAX(0,MIN(D122,Queue_Intervals!C5)-MAX(C122+90,Queue_Intervals!B5)),0)</f>
        <v>0</v>
      </c>
      <c r="J122" s="7">
        <f t="shared" si="10"/>
        <v>0</v>
      </c>
      <c r="K122" s="7">
        <f>IF(B122=Queue_Intervals!A2,MAX(0,MIN(D122,Queue_Intervals!C2)-MAX(C122+120,Queue_Intervals!B2)),0)+IF(B122=Queue_Intervals!A3,MAX(0,MIN(D122,Queue_Intervals!C3)-MAX(C122+120,Queue_Intervals!B3)),0)+IF(B122=Queue_Intervals!A4,MAX(0,MIN(D122,Queue_Intervals!C4)-MAX(C122+120,Queue_Intervals!B4)),0)+IF(B122=Queue_Intervals!A5,MAX(0,MIN(D122,Queue_Intervals!C5)-MAX(C122+120,Queue_Intervals!B5)),0)</f>
        <v>0</v>
      </c>
      <c r="L122" s="7">
        <f t="shared" si="11"/>
        <v>0</v>
      </c>
      <c r="M122" s="7">
        <f>IF(B122=Queue_Intervals!A2,MAX(0,MIN(D122,Queue_Intervals!C2)-MAX(C122+150,Queue_Intervals!B2)),0)+IF(B122=Queue_Intervals!A3,MAX(0,MIN(D122,Queue_Intervals!C3)-MAX(C122+150,Queue_Intervals!B3)),0)+IF(B122=Queue_Intervals!A4,MAX(0,MIN(D122,Queue_Intervals!C4)-MAX(C122+150,Queue_Intervals!B4)),0)+IF(B122=Queue_Intervals!A5,MAX(0,MIN(D122,Queue_Intervals!C5)-MAX(C122+150,Queue_Intervals!B5)),0)</f>
        <v>0</v>
      </c>
    </row>
    <row r="123" spans="1:13" ht="24.95" customHeight="1">
      <c r="A123" s="7" t="s">
        <v>202</v>
      </c>
      <c r="B123" s="8" t="s">
        <v>160</v>
      </c>
      <c r="C123" s="8">
        <v>665</v>
      </c>
      <c r="D123" s="8">
        <v>745</v>
      </c>
      <c r="E123" s="8" t="s">
        <v>79</v>
      </c>
      <c r="F123" s="8">
        <v>80</v>
      </c>
      <c r="G123" s="8">
        <v>1</v>
      </c>
      <c r="H123" s="7">
        <f t="shared" si="9"/>
        <v>0</v>
      </c>
      <c r="I123" s="7">
        <f>IF(B123=Queue_Intervals!A2,MAX(0,MIN(D123,Queue_Intervals!C2)-MAX(C123+90,Queue_Intervals!B2)),0)+IF(B123=Queue_Intervals!A3,MAX(0,MIN(D123,Queue_Intervals!C3)-MAX(C123+90,Queue_Intervals!B3)),0)+IF(B123=Queue_Intervals!A4,MAX(0,MIN(D123,Queue_Intervals!C4)-MAX(C123+90,Queue_Intervals!B4)),0)+IF(B123=Queue_Intervals!A5,MAX(0,MIN(D123,Queue_Intervals!C5)-MAX(C123+90,Queue_Intervals!B5)),0)</f>
        <v>0</v>
      </c>
      <c r="J123" s="7">
        <f t="shared" si="10"/>
        <v>0</v>
      </c>
      <c r="K123" s="7">
        <f>IF(B123=Queue_Intervals!A2,MAX(0,MIN(D123,Queue_Intervals!C2)-MAX(C123+120,Queue_Intervals!B2)),0)+IF(B123=Queue_Intervals!A3,MAX(0,MIN(D123,Queue_Intervals!C3)-MAX(C123+120,Queue_Intervals!B3)),0)+IF(B123=Queue_Intervals!A4,MAX(0,MIN(D123,Queue_Intervals!C4)-MAX(C123+120,Queue_Intervals!B4)),0)+IF(B123=Queue_Intervals!A5,MAX(0,MIN(D123,Queue_Intervals!C5)-MAX(C123+120,Queue_Intervals!B5)),0)</f>
        <v>0</v>
      </c>
      <c r="L123" s="7">
        <f t="shared" si="11"/>
        <v>0</v>
      </c>
      <c r="M123" s="7">
        <f>IF(B123=Queue_Intervals!A2,MAX(0,MIN(D123,Queue_Intervals!C2)-MAX(C123+150,Queue_Intervals!B2)),0)+IF(B123=Queue_Intervals!A3,MAX(0,MIN(D123,Queue_Intervals!C3)-MAX(C123+150,Queue_Intervals!B3)),0)+IF(B123=Queue_Intervals!A4,MAX(0,MIN(D123,Queue_Intervals!C4)-MAX(C123+150,Queue_Intervals!B4)),0)+IF(B123=Queue_Intervals!A5,MAX(0,MIN(D123,Queue_Intervals!C5)-MAX(C123+150,Queue_Intervals!B5)),0)</f>
        <v>0</v>
      </c>
    </row>
    <row r="124" spans="1:13" ht="24.95" customHeight="1">
      <c r="A124" s="7" t="s">
        <v>203</v>
      </c>
      <c r="B124" s="8" t="s">
        <v>160</v>
      </c>
      <c r="C124" s="8">
        <v>630</v>
      </c>
      <c r="D124" s="8">
        <v>730</v>
      </c>
      <c r="E124" s="8" t="s">
        <v>79</v>
      </c>
      <c r="F124" s="8">
        <v>100</v>
      </c>
      <c r="G124" s="8">
        <v>1</v>
      </c>
      <c r="H124" s="7">
        <f t="shared" si="9"/>
        <v>10</v>
      </c>
      <c r="I124" s="7">
        <f>IF(B124=Queue_Intervals!A2,MAX(0,MIN(D124,Queue_Intervals!C2)-MAX(C124+90,Queue_Intervals!B2)),0)+IF(B124=Queue_Intervals!A3,MAX(0,MIN(D124,Queue_Intervals!C3)-MAX(C124+90,Queue_Intervals!B3)),0)+IF(B124=Queue_Intervals!A4,MAX(0,MIN(D124,Queue_Intervals!C4)-MAX(C124+90,Queue_Intervals!B4)),0)+IF(B124=Queue_Intervals!A5,MAX(0,MIN(D124,Queue_Intervals!C5)-MAX(C124+90,Queue_Intervals!B5)),0)</f>
        <v>0</v>
      </c>
      <c r="J124" s="7">
        <f t="shared" si="10"/>
        <v>0</v>
      </c>
      <c r="K124" s="7">
        <f>IF(B124=Queue_Intervals!A2,MAX(0,MIN(D124,Queue_Intervals!C2)-MAX(C124+120,Queue_Intervals!B2)),0)+IF(B124=Queue_Intervals!A3,MAX(0,MIN(D124,Queue_Intervals!C3)-MAX(C124+120,Queue_Intervals!B3)),0)+IF(B124=Queue_Intervals!A4,MAX(0,MIN(D124,Queue_Intervals!C4)-MAX(C124+120,Queue_Intervals!B4)),0)+IF(B124=Queue_Intervals!A5,MAX(0,MIN(D124,Queue_Intervals!C5)-MAX(C124+120,Queue_Intervals!B5)),0)</f>
        <v>0</v>
      </c>
      <c r="L124" s="7">
        <f t="shared" si="11"/>
        <v>0</v>
      </c>
      <c r="M124" s="7">
        <f>IF(B124=Queue_Intervals!A2,MAX(0,MIN(D124,Queue_Intervals!C2)-MAX(C124+150,Queue_Intervals!B2)),0)+IF(B124=Queue_Intervals!A3,MAX(0,MIN(D124,Queue_Intervals!C3)-MAX(C124+150,Queue_Intervals!B3)),0)+IF(B124=Queue_Intervals!A4,MAX(0,MIN(D124,Queue_Intervals!C4)-MAX(C124+150,Queue_Intervals!B4)),0)+IF(B124=Queue_Intervals!A5,MAX(0,MIN(D124,Queue_Intervals!C5)-MAX(C124+150,Queue_Intervals!B5)),0)</f>
        <v>0</v>
      </c>
    </row>
    <row r="125" spans="1:13" ht="24.95" customHeight="1">
      <c r="A125" s="7" t="s">
        <v>204</v>
      </c>
      <c r="B125" s="8" t="s">
        <v>160</v>
      </c>
      <c r="C125" s="8">
        <v>669</v>
      </c>
      <c r="D125" s="8">
        <v>740</v>
      </c>
      <c r="E125" s="8" t="s">
        <v>79</v>
      </c>
      <c r="F125" s="8">
        <v>71</v>
      </c>
      <c r="G125" s="8">
        <v>1</v>
      </c>
      <c r="H125" s="7">
        <f t="shared" si="9"/>
        <v>0</v>
      </c>
      <c r="I125" s="7">
        <f>IF(B125=Queue_Intervals!A2,MAX(0,MIN(D125,Queue_Intervals!C2)-MAX(C125+90,Queue_Intervals!B2)),0)+IF(B125=Queue_Intervals!A3,MAX(0,MIN(D125,Queue_Intervals!C3)-MAX(C125+90,Queue_Intervals!B3)),0)+IF(B125=Queue_Intervals!A4,MAX(0,MIN(D125,Queue_Intervals!C4)-MAX(C125+90,Queue_Intervals!B4)),0)+IF(B125=Queue_Intervals!A5,MAX(0,MIN(D125,Queue_Intervals!C5)-MAX(C125+90,Queue_Intervals!B5)),0)</f>
        <v>0</v>
      </c>
      <c r="J125" s="7">
        <f t="shared" si="10"/>
        <v>0</v>
      </c>
      <c r="K125" s="7">
        <f>IF(B125=Queue_Intervals!A2,MAX(0,MIN(D125,Queue_Intervals!C2)-MAX(C125+120,Queue_Intervals!B2)),0)+IF(B125=Queue_Intervals!A3,MAX(0,MIN(D125,Queue_Intervals!C3)-MAX(C125+120,Queue_Intervals!B3)),0)+IF(B125=Queue_Intervals!A4,MAX(0,MIN(D125,Queue_Intervals!C4)-MAX(C125+120,Queue_Intervals!B4)),0)+IF(B125=Queue_Intervals!A5,MAX(0,MIN(D125,Queue_Intervals!C5)-MAX(C125+120,Queue_Intervals!B5)),0)</f>
        <v>0</v>
      </c>
      <c r="L125" s="7">
        <f t="shared" si="11"/>
        <v>0</v>
      </c>
      <c r="M125" s="7">
        <f>IF(B125=Queue_Intervals!A2,MAX(0,MIN(D125,Queue_Intervals!C2)-MAX(C125+150,Queue_Intervals!B2)),0)+IF(B125=Queue_Intervals!A3,MAX(0,MIN(D125,Queue_Intervals!C3)-MAX(C125+150,Queue_Intervals!B3)),0)+IF(B125=Queue_Intervals!A4,MAX(0,MIN(D125,Queue_Intervals!C4)-MAX(C125+150,Queue_Intervals!B4)),0)+IF(B125=Queue_Intervals!A5,MAX(0,MIN(D125,Queue_Intervals!C5)-MAX(C125+150,Queue_Intervals!B5)),0)</f>
        <v>0</v>
      </c>
    </row>
    <row r="126" spans="1:13" ht="24.95" customHeight="1">
      <c r="A126" s="7" t="s">
        <v>205</v>
      </c>
      <c r="B126" s="8" t="s">
        <v>160</v>
      </c>
      <c r="C126" s="8">
        <v>669</v>
      </c>
      <c r="D126" s="8">
        <v>730</v>
      </c>
      <c r="E126" s="8" t="s">
        <v>79</v>
      </c>
      <c r="F126" s="8">
        <v>61</v>
      </c>
      <c r="G126" s="8">
        <v>1</v>
      </c>
      <c r="H126" s="7">
        <f t="shared" si="9"/>
        <v>0</v>
      </c>
      <c r="I126" s="7">
        <f>IF(B126=Queue_Intervals!A2,MAX(0,MIN(D126,Queue_Intervals!C2)-MAX(C126+90,Queue_Intervals!B2)),0)+IF(B126=Queue_Intervals!A3,MAX(0,MIN(D126,Queue_Intervals!C3)-MAX(C126+90,Queue_Intervals!B3)),0)+IF(B126=Queue_Intervals!A4,MAX(0,MIN(D126,Queue_Intervals!C4)-MAX(C126+90,Queue_Intervals!B4)),0)+IF(B126=Queue_Intervals!A5,MAX(0,MIN(D126,Queue_Intervals!C5)-MAX(C126+90,Queue_Intervals!B5)),0)</f>
        <v>0</v>
      </c>
      <c r="J126" s="7">
        <f t="shared" si="10"/>
        <v>0</v>
      </c>
      <c r="K126" s="7">
        <f>IF(B126=Queue_Intervals!A2,MAX(0,MIN(D126,Queue_Intervals!C2)-MAX(C126+120,Queue_Intervals!B2)),0)+IF(B126=Queue_Intervals!A3,MAX(0,MIN(D126,Queue_Intervals!C3)-MAX(C126+120,Queue_Intervals!B3)),0)+IF(B126=Queue_Intervals!A4,MAX(0,MIN(D126,Queue_Intervals!C4)-MAX(C126+120,Queue_Intervals!B4)),0)+IF(B126=Queue_Intervals!A5,MAX(0,MIN(D126,Queue_Intervals!C5)-MAX(C126+120,Queue_Intervals!B5)),0)</f>
        <v>0</v>
      </c>
      <c r="L126" s="7">
        <f t="shared" si="11"/>
        <v>0</v>
      </c>
      <c r="M126" s="7">
        <f>IF(B126=Queue_Intervals!A2,MAX(0,MIN(D126,Queue_Intervals!C2)-MAX(C126+150,Queue_Intervals!B2)),0)+IF(B126=Queue_Intervals!A3,MAX(0,MIN(D126,Queue_Intervals!C3)-MAX(C126+150,Queue_Intervals!B3)),0)+IF(B126=Queue_Intervals!A4,MAX(0,MIN(D126,Queue_Intervals!C4)-MAX(C126+150,Queue_Intervals!B4)),0)+IF(B126=Queue_Intervals!A5,MAX(0,MIN(D126,Queue_Intervals!C5)-MAX(C126+150,Queue_Intervals!B5)),0)</f>
        <v>0</v>
      </c>
    </row>
    <row r="127" spans="1:13" ht="24.95" customHeight="1">
      <c r="A127" s="7" t="s">
        <v>206</v>
      </c>
      <c r="B127" s="8" t="s">
        <v>160</v>
      </c>
      <c r="C127" s="8">
        <v>670</v>
      </c>
      <c r="D127" s="8">
        <v>710</v>
      </c>
      <c r="E127" s="8" t="s">
        <v>79</v>
      </c>
      <c r="F127" s="8">
        <v>40</v>
      </c>
      <c r="G127" s="8">
        <v>1</v>
      </c>
      <c r="H127" s="7">
        <f t="shared" si="9"/>
        <v>0</v>
      </c>
      <c r="I127" s="7">
        <f>IF(B127=Queue_Intervals!A2,MAX(0,MIN(D127,Queue_Intervals!C2)-MAX(C127+90,Queue_Intervals!B2)),0)+IF(B127=Queue_Intervals!A3,MAX(0,MIN(D127,Queue_Intervals!C3)-MAX(C127+90,Queue_Intervals!B3)),0)+IF(B127=Queue_Intervals!A4,MAX(0,MIN(D127,Queue_Intervals!C4)-MAX(C127+90,Queue_Intervals!B4)),0)+IF(B127=Queue_Intervals!A5,MAX(0,MIN(D127,Queue_Intervals!C5)-MAX(C127+90,Queue_Intervals!B5)),0)</f>
        <v>0</v>
      </c>
      <c r="J127" s="7">
        <f t="shared" si="10"/>
        <v>0</v>
      </c>
      <c r="K127" s="7">
        <f>IF(B127=Queue_Intervals!A2,MAX(0,MIN(D127,Queue_Intervals!C2)-MAX(C127+120,Queue_Intervals!B2)),0)+IF(B127=Queue_Intervals!A3,MAX(0,MIN(D127,Queue_Intervals!C3)-MAX(C127+120,Queue_Intervals!B3)),0)+IF(B127=Queue_Intervals!A4,MAX(0,MIN(D127,Queue_Intervals!C4)-MAX(C127+120,Queue_Intervals!B4)),0)+IF(B127=Queue_Intervals!A5,MAX(0,MIN(D127,Queue_Intervals!C5)-MAX(C127+120,Queue_Intervals!B5)),0)</f>
        <v>0</v>
      </c>
      <c r="L127" s="7">
        <f t="shared" si="11"/>
        <v>0</v>
      </c>
      <c r="M127" s="7">
        <f>IF(B127=Queue_Intervals!A2,MAX(0,MIN(D127,Queue_Intervals!C2)-MAX(C127+150,Queue_Intervals!B2)),0)+IF(B127=Queue_Intervals!A3,MAX(0,MIN(D127,Queue_Intervals!C3)-MAX(C127+150,Queue_Intervals!B3)),0)+IF(B127=Queue_Intervals!A4,MAX(0,MIN(D127,Queue_Intervals!C4)-MAX(C127+150,Queue_Intervals!B4)),0)+IF(B127=Queue_Intervals!A5,MAX(0,MIN(D127,Queue_Intervals!C5)-MAX(C127+150,Queue_Intervals!B5)),0)</f>
        <v>0</v>
      </c>
    </row>
    <row r="128" spans="1:13" ht="24.95" customHeight="1">
      <c r="A128" s="7" t="s">
        <v>207</v>
      </c>
      <c r="B128" s="8" t="s">
        <v>160</v>
      </c>
      <c r="C128" s="8">
        <v>672</v>
      </c>
      <c r="D128" s="8">
        <v>703</v>
      </c>
      <c r="E128" s="8" t="s">
        <v>79</v>
      </c>
      <c r="F128" s="8">
        <v>31</v>
      </c>
      <c r="G128" s="8">
        <v>1</v>
      </c>
      <c r="H128" s="7">
        <f t="shared" si="9"/>
        <v>0</v>
      </c>
      <c r="I128" s="7">
        <f>IF(B128=Queue_Intervals!A2,MAX(0,MIN(D128,Queue_Intervals!C2)-MAX(C128+90,Queue_Intervals!B2)),0)+IF(B128=Queue_Intervals!A3,MAX(0,MIN(D128,Queue_Intervals!C3)-MAX(C128+90,Queue_Intervals!B3)),0)+IF(B128=Queue_Intervals!A4,MAX(0,MIN(D128,Queue_Intervals!C4)-MAX(C128+90,Queue_Intervals!B4)),0)+IF(B128=Queue_Intervals!A5,MAX(0,MIN(D128,Queue_Intervals!C5)-MAX(C128+90,Queue_Intervals!B5)),0)</f>
        <v>0</v>
      </c>
      <c r="J128" s="7">
        <f t="shared" si="10"/>
        <v>0</v>
      </c>
      <c r="K128" s="7">
        <f>IF(B128=Queue_Intervals!A2,MAX(0,MIN(D128,Queue_Intervals!C2)-MAX(C128+120,Queue_Intervals!B2)),0)+IF(B128=Queue_Intervals!A3,MAX(0,MIN(D128,Queue_Intervals!C3)-MAX(C128+120,Queue_Intervals!B3)),0)+IF(B128=Queue_Intervals!A4,MAX(0,MIN(D128,Queue_Intervals!C4)-MAX(C128+120,Queue_Intervals!B4)),0)+IF(B128=Queue_Intervals!A5,MAX(0,MIN(D128,Queue_Intervals!C5)-MAX(C128+120,Queue_Intervals!B5)),0)</f>
        <v>0</v>
      </c>
      <c r="L128" s="7">
        <f t="shared" si="11"/>
        <v>0</v>
      </c>
      <c r="M128" s="7">
        <f>IF(B128=Queue_Intervals!A2,MAX(0,MIN(D128,Queue_Intervals!C2)-MAX(C128+150,Queue_Intervals!B2)),0)+IF(B128=Queue_Intervals!A3,MAX(0,MIN(D128,Queue_Intervals!C3)-MAX(C128+150,Queue_Intervals!B3)),0)+IF(B128=Queue_Intervals!A4,MAX(0,MIN(D128,Queue_Intervals!C4)-MAX(C128+150,Queue_Intervals!B4)),0)+IF(B128=Queue_Intervals!A5,MAX(0,MIN(D128,Queue_Intervals!C5)-MAX(C128+150,Queue_Intervals!B5)),0)</f>
        <v>0</v>
      </c>
    </row>
    <row r="129" spans="1:13" ht="24.95" customHeight="1">
      <c r="A129" s="7" t="s">
        <v>208</v>
      </c>
      <c r="B129" s="8" t="s">
        <v>160</v>
      </c>
      <c r="C129" s="8">
        <v>700</v>
      </c>
      <c r="D129" s="8">
        <v>750</v>
      </c>
      <c r="E129" s="8" t="s">
        <v>79</v>
      </c>
      <c r="F129" s="8">
        <v>50</v>
      </c>
      <c r="G129" s="8">
        <v>1</v>
      </c>
      <c r="H129" s="7">
        <f t="shared" si="9"/>
        <v>0</v>
      </c>
      <c r="I129" s="7">
        <f>IF(B129=Queue_Intervals!A2,MAX(0,MIN(D129,Queue_Intervals!C2)-MAX(C129+90,Queue_Intervals!B2)),0)+IF(B129=Queue_Intervals!A3,MAX(0,MIN(D129,Queue_Intervals!C3)-MAX(C129+90,Queue_Intervals!B3)),0)+IF(B129=Queue_Intervals!A4,MAX(0,MIN(D129,Queue_Intervals!C4)-MAX(C129+90,Queue_Intervals!B4)),0)+IF(B129=Queue_Intervals!A5,MAX(0,MIN(D129,Queue_Intervals!C5)-MAX(C129+90,Queue_Intervals!B5)),0)</f>
        <v>0</v>
      </c>
      <c r="J129" s="7">
        <f t="shared" si="10"/>
        <v>0</v>
      </c>
      <c r="K129" s="7">
        <f>IF(B129=Queue_Intervals!A2,MAX(0,MIN(D129,Queue_Intervals!C2)-MAX(C129+120,Queue_Intervals!B2)),0)+IF(B129=Queue_Intervals!A3,MAX(0,MIN(D129,Queue_Intervals!C3)-MAX(C129+120,Queue_Intervals!B3)),0)+IF(B129=Queue_Intervals!A4,MAX(0,MIN(D129,Queue_Intervals!C4)-MAX(C129+120,Queue_Intervals!B4)),0)+IF(B129=Queue_Intervals!A5,MAX(0,MIN(D129,Queue_Intervals!C5)-MAX(C129+120,Queue_Intervals!B5)),0)</f>
        <v>0</v>
      </c>
      <c r="L129" s="7">
        <f t="shared" si="11"/>
        <v>0</v>
      </c>
      <c r="M129" s="7">
        <f>IF(B129=Queue_Intervals!A2,MAX(0,MIN(D129,Queue_Intervals!C2)-MAX(C129+150,Queue_Intervals!B2)),0)+IF(B129=Queue_Intervals!A3,MAX(0,MIN(D129,Queue_Intervals!C3)-MAX(C129+150,Queue_Intervals!B3)),0)+IF(B129=Queue_Intervals!A4,MAX(0,MIN(D129,Queue_Intervals!C4)-MAX(C129+150,Queue_Intervals!B4)),0)+IF(B129=Queue_Intervals!A5,MAX(0,MIN(D129,Queue_Intervals!C5)-MAX(C129+150,Queue_Intervals!B5)),0)</f>
        <v>0</v>
      </c>
    </row>
    <row r="130" spans="1:13" ht="24.95" customHeight="1">
      <c r="A130" s="7" t="s">
        <v>209</v>
      </c>
      <c r="B130" s="8" t="s">
        <v>210</v>
      </c>
      <c r="C130" s="8">
        <v>396</v>
      </c>
      <c r="D130" s="8">
        <v>558</v>
      </c>
      <c r="E130" s="8" t="s">
        <v>79</v>
      </c>
      <c r="F130" s="8">
        <v>162</v>
      </c>
      <c r="G130" s="8">
        <v>0</v>
      </c>
      <c r="H130" s="7">
        <f t="shared" ref="H130:H161" si="12">MAX(0,F130-90)</f>
        <v>72</v>
      </c>
      <c r="I130" s="7">
        <f>IF(B130=Queue_Intervals!A2,MAX(0,MIN(D130,Queue_Intervals!C2)-MAX(C130+90,Queue_Intervals!B2)),0)+IF(B130=Queue_Intervals!A3,MAX(0,MIN(D130,Queue_Intervals!C3)-MAX(C130+90,Queue_Intervals!B3)),0)+IF(B130=Queue_Intervals!A4,MAX(0,MIN(D130,Queue_Intervals!C4)-MAX(C130+90,Queue_Intervals!B4)),0)+IF(B130=Queue_Intervals!A5,MAX(0,MIN(D130,Queue_Intervals!C5)-MAX(C130+90,Queue_Intervals!B5)),0)</f>
        <v>0</v>
      </c>
      <c r="J130" s="7">
        <f t="shared" ref="J130:J161" si="13">MAX(0,F130-120)</f>
        <v>42</v>
      </c>
      <c r="K130" s="7">
        <f>IF(B130=Queue_Intervals!A2,MAX(0,MIN(D130,Queue_Intervals!C2)-MAX(C130+120,Queue_Intervals!B2)),0)+IF(B130=Queue_Intervals!A3,MAX(0,MIN(D130,Queue_Intervals!C3)-MAX(C130+120,Queue_Intervals!B3)),0)+IF(B130=Queue_Intervals!A4,MAX(0,MIN(D130,Queue_Intervals!C4)-MAX(C130+120,Queue_Intervals!B4)),0)+IF(B130=Queue_Intervals!A5,MAX(0,MIN(D130,Queue_Intervals!C5)-MAX(C130+120,Queue_Intervals!B5)),0)</f>
        <v>0</v>
      </c>
      <c r="L130" s="7">
        <f t="shared" ref="L130:L161" si="14">MAX(0,F130-150)</f>
        <v>12</v>
      </c>
      <c r="M130" s="7">
        <f>IF(B130=Queue_Intervals!A2,MAX(0,MIN(D130,Queue_Intervals!C2)-MAX(C130+150,Queue_Intervals!B2)),0)+IF(B130=Queue_Intervals!A3,MAX(0,MIN(D130,Queue_Intervals!C3)-MAX(C130+150,Queue_Intervals!B3)),0)+IF(B130=Queue_Intervals!A4,MAX(0,MIN(D130,Queue_Intervals!C4)-MAX(C130+150,Queue_Intervals!B4)),0)+IF(B130=Queue_Intervals!A5,MAX(0,MIN(D130,Queue_Intervals!C5)-MAX(C130+150,Queue_Intervals!B5)),0)</f>
        <v>0</v>
      </c>
    </row>
    <row r="131" spans="1:13" ht="24.95" customHeight="1">
      <c r="A131" s="7" t="s">
        <v>211</v>
      </c>
      <c r="B131" s="8" t="s">
        <v>210</v>
      </c>
      <c r="C131" s="8">
        <v>397</v>
      </c>
      <c r="D131" s="8">
        <v>467</v>
      </c>
      <c r="E131" s="8" t="s">
        <v>79</v>
      </c>
      <c r="F131" s="8">
        <v>70</v>
      </c>
      <c r="G131" s="8">
        <v>0</v>
      </c>
      <c r="H131" s="7">
        <f t="shared" si="12"/>
        <v>0</v>
      </c>
      <c r="I131" s="7">
        <f>IF(B131=Queue_Intervals!A2,MAX(0,MIN(D131,Queue_Intervals!C2)-MAX(C131+90,Queue_Intervals!B2)),0)+IF(B131=Queue_Intervals!A3,MAX(0,MIN(D131,Queue_Intervals!C3)-MAX(C131+90,Queue_Intervals!B3)),0)+IF(B131=Queue_Intervals!A4,MAX(0,MIN(D131,Queue_Intervals!C4)-MAX(C131+90,Queue_Intervals!B4)),0)+IF(B131=Queue_Intervals!A5,MAX(0,MIN(D131,Queue_Intervals!C5)-MAX(C131+90,Queue_Intervals!B5)),0)</f>
        <v>0</v>
      </c>
      <c r="J131" s="7">
        <f t="shared" si="13"/>
        <v>0</v>
      </c>
      <c r="K131" s="7">
        <f>IF(B131=Queue_Intervals!A2,MAX(0,MIN(D131,Queue_Intervals!C2)-MAX(C131+120,Queue_Intervals!B2)),0)+IF(B131=Queue_Intervals!A3,MAX(0,MIN(D131,Queue_Intervals!C3)-MAX(C131+120,Queue_Intervals!B3)),0)+IF(B131=Queue_Intervals!A4,MAX(0,MIN(D131,Queue_Intervals!C4)-MAX(C131+120,Queue_Intervals!B4)),0)+IF(B131=Queue_Intervals!A5,MAX(0,MIN(D131,Queue_Intervals!C5)-MAX(C131+120,Queue_Intervals!B5)),0)</f>
        <v>0</v>
      </c>
      <c r="L131" s="7">
        <f t="shared" si="14"/>
        <v>0</v>
      </c>
      <c r="M131" s="7">
        <f>IF(B131=Queue_Intervals!A2,MAX(0,MIN(D131,Queue_Intervals!C2)-MAX(C131+150,Queue_Intervals!B2)),0)+IF(B131=Queue_Intervals!A3,MAX(0,MIN(D131,Queue_Intervals!C3)-MAX(C131+150,Queue_Intervals!B3)),0)+IF(B131=Queue_Intervals!A4,MAX(0,MIN(D131,Queue_Intervals!C4)-MAX(C131+150,Queue_Intervals!B4)),0)+IF(B131=Queue_Intervals!A5,MAX(0,MIN(D131,Queue_Intervals!C5)-MAX(C131+150,Queue_Intervals!B5)),0)</f>
        <v>0</v>
      </c>
    </row>
    <row r="132" spans="1:13" ht="24.95" customHeight="1">
      <c r="A132" s="7" t="s">
        <v>212</v>
      </c>
      <c r="B132" s="8" t="s">
        <v>210</v>
      </c>
      <c r="C132" s="8">
        <v>400</v>
      </c>
      <c r="D132" s="8">
        <v>540</v>
      </c>
      <c r="E132" s="8" t="s">
        <v>79</v>
      </c>
      <c r="F132" s="8">
        <v>140</v>
      </c>
      <c r="G132" s="8">
        <v>0</v>
      </c>
      <c r="H132" s="7">
        <f t="shared" si="12"/>
        <v>50</v>
      </c>
      <c r="I132" s="7">
        <f>IF(B132=Queue_Intervals!A2,MAX(0,MIN(D132,Queue_Intervals!C2)-MAX(C132+90,Queue_Intervals!B2)),0)+IF(B132=Queue_Intervals!A3,MAX(0,MIN(D132,Queue_Intervals!C3)-MAX(C132+90,Queue_Intervals!B3)),0)+IF(B132=Queue_Intervals!A4,MAX(0,MIN(D132,Queue_Intervals!C4)-MAX(C132+90,Queue_Intervals!B4)),0)+IF(B132=Queue_Intervals!A5,MAX(0,MIN(D132,Queue_Intervals!C5)-MAX(C132+90,Queue_Intervals!B5)),0)</f>
        <v>0</v>
      </c>
      <c r="J132" s="7">
        <f t="shared" si="13"/>
        <v>20</v>
      </c>
      <c r="K132" s="7">
        <f>IF(B132=Queue_Intervals!A2,MAX(0,MIN(D132,Queue_Intervals!C2)-MAX(C132+120,Queue_Intervals!B2)),0)+IF(B132=Queue_Intervals!A3,MAX(0,MIN(D132,Queue_Intervals!C3)-MAX(C132+120,Queue_Intervals!B3)),0)+IF(B132=Queue_Intervals!A4,MAX(0,MIN(D132,Queue_Intervals!C4)-MAX(C132+120,Queue_Intervals!B4)),0)+IF(B132=Queue_Intervals!A5,MAX(0,MIN(D132,Queue_Intervals!C5)-MAX(C132+120,Queue_Intervals!B5)),0)</f>
        <v>0</v>
      </c>
      <c r="L132" s="7">
        <f t="shared" si="14"/>
        <v>0</v>
      </c>
      <c r="M132" s="7">
        <f>IF(B132=Queue_Intervals!A2,MAX(0,MIN(D132,Queue_Intervals!C2)-MAX(C132+150,Queue_Intervals!B2)),0)+IF(B132=Queue_Intervals!A3,MAX(0,MIN(D132,Queue_Intervals!C3)-MAX(C132+150,Queue_Intervals!B3)),0)+IF(B132=Queue_Intervals!A4,MAX(0,MIN(D132,Queue_Intervals!C4)-MAX(C132+150,Queue_Intervals!B4)),0)+IF(B132=Queue_Intervals!A5,MAX(0,MIN(D132,Queue_Intervals!C5)-MAX(C132+150,Queue_Intervals!B5)),0)</f>
        <v>0</v>
      </c>
    </row>
    <row r="133" spans="1:13" ht="24.95" customHeight="1">
      <c r="A133" s="7" t="s">
        <v>213</v>
      </c>
      <c r="B133" s="8" t="s">
        <v>210</v>
      </c>
      <c r="C133" s="8">
        <v>412</v>
      </c>
      <c r="D133" s="8">
        <v>474</v>
      </c>
      <c r="E133" s="8" t="s">
        <v>79</v>
      </c>
      <c r="F133" s="8">
        <v>62</v>
      </c>
      <c r="G133" s="8">
        <v>0</v>
      </c>
      <c r="H133" s="7">
        <f t="shared" si="12"/>
        <v>0</v>
      </c>
      <c r="I133" s="7">
        <f>IF(B133=Queue_Intervals!A2,MAX(0,MIN(D133,Queue_Intervals!C2)-MAX(C133+90,Queue_Intervals!B2)),0)+IF(B133=Queue_Intervals!A3,MAX(0,MIN(D133,Queue_Intervals!C3)-MAX(C133+90,Queue_Intervals!B3)),0)+IF(B133=Queue_Intervals!A4,MAX(0,MIN(D133,Queue_Intervals!C4)-MAX(C133+90,Queue_Intervals!B4)),0)+IF(B133=Queue_Intervals!A5,MAX(0,MIN(D133,Queue_Intervals!C5)-MAX(C133+90,Queue_Intervals!B5)),0)</f>
        <v>0</v>
      </c>
      <c r="J133" s="7">
        <f t="shared" si="13"/>
        <v>0</v>
      </c>
      <c r="K133" s="7">
        <f>IF(B133=Queue_Intervals!A2,MAX(0,MIN(D133,Queue_Intervals!C2)-MAX(C133+120,Queue_Intervals!B2)),0)+IF(B133=Queue_Intervals!A3,MAX(0,MIN(D133,Queue_Intervals!C3)-MAX(C133+120,Queue_Intervals!B3)),0)+IF(B133=Queue_Intervals!A4,MAX(0,MIN(D133,Queue_Intervals!C4)-MAX(C133+120,Queue_Intervals!B4)),0)+IF(B133=Queue_Intervals!A5,MAX(0,MIN(D133,Queue_Intervals!C5)-MAX(C133+120,Queue_Intervals!B5)),0)</f>
        <v>0</v>
      </c>
      <c r="L133" s="7">
        <f t="shared" si="14"/>
        <v>0</v>
      </c>
      <c r="M133" s="7">
        <f>IF(B133=Queue_Intervals!A2,MAX(0,MIN(D133,Queue_Intervals!C2)-MAX(C133+150,Queue_Intervals!B2)),0)+IF(B133=Queue_Intervals!A3,MAX(0,MIN(D133,Queue_Intervals!C3)-MAX(C133+150,Queue_Intervals!B3)),0)+IF(B133=Queue_Intervals!A4,MAX(0,MIN(D133,Queue_Intervals!C4)-MAX(C133+150,Queue_Intervals!B4)),0)+IF(B133=Queue_Intervals!A5,MAX(0,MIN(D133,Queue_Intervals!C5)-MAX(C133+150,Queue_Intervals!B5)),0)</f>
        <v>0</v>
      </c>
    </row>
    <row r="134" spans="1:13" ht="24.95" customHeight="1">
      <c r="A134" s="7" t="s">
        <v>214</v>
      </c>
      <c r="B134" s="8" t="s">
        <v>210</v>
      </c>
      <c r="C134" s="8">
        <v>418</v>
      </c>
      <c r="D134" s="8">
        <v>474</v>
      </c>
      <c r="E134" s="8" t="s">
        <v>79</v>
      </c>
      <c r="F134" s="8">
        <v>56</v>
      </c>
      <c r="G134" s="8">
        <v>0</v>
      </c>
      <c r="H134" s="7">
        <f t="shared" si="12"/>
        <v>0</v>
      </c>
      <c r="I134" s="7">
        <f>IF(B134=Queue_Intervals!A2,MAX(0,MIN(D134,Queue_Intervals!C2)-MAX(C134+90,Queue_Intervals!B2)),0)+IF(B134=Queue_Intervals!A3,MAX(0,MIN(D134,Queue_Intervals!C3)-MAX(C134+90,Queue_Intervals!B3)),0)+IF(B134=Queue_Intervals!A4,MAX(0,MIN(D134,Queue_Intervals!C4)-MAX(C134+90,Queue_Intervals!B4)),0)+IF(B134=Queue_Intervals!A5,MAX(0,MIN(D134,Queue_Intervals!C5)-MAX(C134+90,Queue_Intervals!B5)),0)</f>
        <v>0</v>
      </c>
      <c r="J134" s="7">
        <f t="shared" si="13"/>
        <v>0</v>
      </c>
      <c r="K134" s="7">
        <f>IF(B134=Queue_Intervals!A2,MAX(0,MIN(D134,Queue_Intervals!C2)-MAX(C134+120,Queue_Intervals!B2)),0)+IF(B134=Queue_Intervals!A3,MAX(0,MIN(D134,Queue_Intervals!C3)-MAX(C134+120,Queue_Intervals!B3)),0)+IF(B134=Queue_Intervals!A4,MAX(0,MIN(D134,Queue_Intervals!C4)-MAX(C134+120,Queue_Intervals!B4)),0)+IF(B134=Queue_Intervals!A5,MAX(0,MIN(D134,Queue_Intervals!C5)-MAX(C134+120,Queue_Intervals!B5)),0)</f>
        <v>0</v>
      </c>
      <c r="L134" s="7">
        <f t="shared" si="14"/>
        <v>0</v>
      </c>
      <c r="M134" s="7">
        <f>IF(B134=Queue_Intervals!A2,MAX(0,MIN(D134,Queue_Intervals!C2)-MAX(C134+150,Queue_Intervals!B2)),0)+IF(B134=Queue_Intervals!A3,MAX(0,MIN(D134,Queue_Intervals!C3)-MAX(C134+150,Queue_Intervals!B3)),0)+IF(B134=Queue_Intervals!A4,MAX(0,MIN(D134,Queue_Intervals!C4)-MAX(C134+150,Queue_Intervals!B4)),0)+IF(B134=Queue_Intervals!A5,MAX(0,MIN(D134,Queue_Intervals!C5)-MAX(C134+150,Queue_Intervals!B5)),0)</f>
        <v>0</v>
      </c>
    </row>
    <row r="135" spans="1:13" ht="24.95" customHeight="1">
      <c r="A135" s="7" t="s">
        <v>215</v>
      </c>
      <c r="B135" s="8" t="s">
        <v>210</v>
      </c>
      <c r="C135" s="8">
        <v>450</v>
      </c>
      <c r="D135" s="8">
        <v>515</v>
      </c>
      <c r="E135" s="8" t="s">
        <v>79</v>
      </c>
      <c r="F135" s="8">
        <v>65</v>
      </c>
      <c r="G135" s="8">
        <v>0</v>
      </c>
      <c r="H135" s="7">
        <f t="shared" si="12"/>
        <v>0</v>
      </c>
      <c r="I135" s="7">
        <f>IF(B135=Queue_Intervals!A2,MAX(0,MIN(D135,Queue_Intervals!C2)-MAX(C135+90,Queue_Intervals!B2)),0)+IF(B135=Queue_Intervals!A3,MAX(0,MIN(D135,Queue_Intervals!C3)-MAX(C135+90,Queue_Intervals!B3)),0)+IF(B135=Queue_Intervals!A4,MAX(0,MIN(D135,Queue_Intervals!C4)-MAX(C135+90,Queue_Intervals!B4)),0)+IF(B135=Queue_Intervals!A5,MAX(0,MIN(D135,Queue_Intervals!C5)-MAX(C135+90,Queue_Intervals!B5)),0)</f>
        <v>0</v>
      </c>
      <c r="J135" s="7">
        <f t="shared" si="13"/>
        <v>0</v>
      </c>
      <c r="K135" s="7">
        <f>IF(B135=Queue_Intervals!A2,MAX(0,MIN(D135,Queue_Intervals!C2)-MAX(C135+120,Queue_Intervals!B2)),0)+IF(B135=Queue_Intervals!A3,MAX(0,MIN(D135,Queue_Intervals!C3)-MAX(C135+120,Queue_Intervals!B3)),0)+IF(B135=Queue_Intervals!A4,MAX(0,MIN(D135,Queue_Intervals!C4)-MAX(C135+120,Queue_Intervals!B4)),0)+IF(B135=Queue_Intervals!A5,MAX(0,MIN(D135,Queue_Intervals!C5)-MAX(C135+120,Queue_Intervals!B5)),0)</f>
        <v>0</v>
      </c>
      <c r="L135" s="7">
        <f t="shared" si="14"/>
        <v>0</v>
      </c>
      <c r="M135" s="7">
        <f>IF(B135=Queue_Intervals!A2,MAX(0,MIN(D135,Queue_Intervals!C2)-MAX(C135+150,Queue_Intervals!B2)),0)+IF(B135=Queue_Intervals!A3,MAX(0,MIN(D135,Queue_Intervals!C3)-MAX(C135+150,Queue_Intervals!B3)),0)+IF(B135=Queue_Intervals!A4,MAX(0,MIN(D135,Queue_Intervals!C4)-MAX(C135+150,Queue_Intervals!B4)),0)+IF(B135=Queue_Intervals!A5,MAX(0,MIN(D135,Queue_Intervals!C5)-MAX(C135+150,Queue_Intervals!B5)),0)</f>
        <v>0</v>
      </c>
    </row>
    <row r="136" spans="1:13" ht="24.95" customHeight="1">
      <c r="A136" s="7" t="s">
        <v>216</v>
      </c>
      <c r="B136" s="8" t="s">
        <v>210</v>
      </c>
      <c r="C136" s="8">
        <v>456</v>
      </c>
      <c r="D136" s="8">
        <v>476</v>
      </c>
      <c r="E136" s="8" t="s">
        <v>79</v>
      </c>
      <c r="F136" s="8">
        <v>20</v>
      </c>
      <c r="G136" s="8">
        <v>0</v>
      </c>
      <c r="H136" s="7">
        <f t="shared" si="12"/>
        <v>0</v>
      </c>
      <c r="I136" s="7">
        <f>IF(B136=Queue_Intervals!A2,MAX(0,MIN(D136,Queue_Intervals!C2)-MAX(C136+90,Queue_Intervals!B2)),0)+IF(B136=Queue_Intervals!A3,MAX(0,MIN(D136,Queue_Intervals!C3)-MAX(C136+90,Queue_Intervals!B3)),0)+IF(B136=Queue_Intervals!A4,MAX(0,MIN(D136,Queue_Intervals!C4)-MAX(C136+90,Queue_Intervals!B4)),0)+IF(B136=Queue_Intervals!A5,MAX(0,MIN(D136,Queue_Intervals!C5)-MAX(C136+90,Queue_Intervals!B5)),0)</f>
        <v>0</v>
      </c>
      <c r="J136" s="7">
        <f t="shared" si="13"/>
        <v>0</v>
      </c>
      <c r="K136" s="7">
        <f>IF(B136=Queue_Intervals!A2,MAX(0,MIN(D136,Queue_Intervals!C2)-MAX(C136+120,Queue_Intervals!B2)),0)+IF(B136=Queue_Intervals!A3,MAX(0,MIN(D136,Queue_Intervals!C3)-MAX(C136+120,Queue_Intervals!B3)),0)+IF(B136=Queue_Intervals!A4,MAX(0,MIN(D136,Queue_Intervals!C4)-MAX(C136+120,Queue_Intervals!B4)),0)+IF(B136=Queue_Intervals!A5,MAX(0,MIN(D136,Queue_Intervals!C5)-MAX(C136+120,Queue_Intervals!B5)),0)</f>
        <v>0</v>
      </c>
      <c r="L136" s="7">
        <f t="shared" si="14"/>
        <v>0</v>
      </c>
      <c r="M136" s="7">
        <f>IF(B136=Queue_Intervals!A2,MAX(0,MIN(D136,Queue_Intervals!C2)-MAX(C136+150,Queue_Intervals!B2)),0)+IF(B136=Queue_Intervals!A3,MAX(0,MIN(D136,Queue_Intervals!C3)-MAX(C136+150,Queue_Intervals!B3)),0)+IF(B136=Queue_Intervals!A4,MAX(0,MIN(D136,Queue_Intervals!C4)-MAX(C136+150,Queue_Intervals!B4)),0)+IF(B136=Queue_Intervals!A5,MAX(0,MIN(D136,Queue_Intervals!C5)-MAX(C136+150,Queue_Intervals!B5)),0)</f>
        <v>0</v>
      </c>
    </row>
    <row r="137" spans="1:13" ht="24.95" customHeight="1">
      <c r="A137" s="7" t="s">
        <v>217</v>
      </c>
      <c r="B137" s="8" t="s">
        <v>210</v>
      </c>
      <c r="C137" s="8">
        <v>457</v>
      </c>
      <c r="D137" s="8">
        <v>530</v>
      </c>
      <c r="E137" s="8" t="s">
        <v>79</v>
      </c>
      <c r="F137" s="8">
        <v>73</v>
      </c>
      <c r="G137" s="8">
        <v>0</v>
      </c>
      <c r="H137" s="7">
        <f t="shared" si="12"/>
        <v>0</v>
      </c>
      <c r="I137" s="7">
        <f>IF(B137=Queue_Intervals!A2,MAX(0,MIN(D137,Queue_Intervals!C2)-MAX(C137+90,Queue_Intervals!B2)),0)+IF(B137=Queue_Intervals!A3,MAX(0,MIN(D137,Queue_Intervals!C3)-MAX(C137+90,Queue_Intervals!B3)),0)+IF(B137=Queue_Intervals!A4,MAX(0,MIN(D137,Queue_Intervals!C4)-MAX(C137+90,Queue_Intervals!B4)),0)+IF(B137=Queue_Intervals!A5,MAX(0,MIN(D137,Queue_Intervals!C5)-MAX(C137+90,Queue_Intervals!B5)),0)</f>
        <v>0</v>
      </c>
      <c r="J137" s="7">
        <f t="shared" si="13"/>
        <v>0</v>
      </c>
      <c r="K137" s="7">
        <f>IF(B137=Queue_Intervals!A2,MAX(0,MIN(D137,Queue_Intervals!C2)-MAX(C137+120,Queue_Intervals!B2)),0)+IF(B137=Queue_Intervals!A3,MAX(0,MIN(D137,Queue_Intervals!C3)-MAX(C137+120,Queue_Intervals!B3)),0)+IF(B137=Queue_Intervals!A4,MAX(0,MIN(D137,Queue_Intervals!C4)-MAX(C137+120,Queue_Intervals!B4)),0)+IF(B137=Queue_Intervals!A5,MAX(0,MIN(D137,Queue_Intervals!C5)-MAX(C137+120,Queue_Intervals!B5)),0)</f>
        <v>0</v>
      </c>
      <c r="L137" s="7">
        <f t="shared" si="14"/>
        <v>0</v>
      </c>
      <c r="M137" s="7">
        <f>IF(B137=Queue_Intervals!A2,MAX(0,MIN(D137,Queue_Intervals!C2)-MAX(C137+150,Queue_Intervals!B2)),0)+IF(B137=Queue_Intervals!A3,MAX(0,MIN(D137,Queue_Intervals!C3)-MAX(C137+150,Queue_Intervals!B3)),0)+IF(B137=Queue_Intervals!A4,MAX(0,MIN(D137,Queue_Intervals!C4)-MAX(C137+150,Queue_Intervals!B4)),0)+IF(B137=Queue_Intervals!A5,MAX(0,MIN(D137,Queue_Intervals!C5)-MAX(C137+150,Queue_Intervals!B5)),0)</f>
        <v>0</v>
      </c>
    </row>
    <row r="138" spans="1:13" ht="24.95" customHeight="1">
      <c r="A138" s="7" t="s">
        <v>218</v>
      </c>
      <c r="B138" s="8" t="s">
        <v>210</v>
      </c>
      <c r="C138" s="8">
        <v>460</v>
      </c>
      <c r="D138" s="8">
        <v>680</v>
      </c>
      <c r="E138" s="8" t="s">
        <v>79</v>
      </c>
      <c r="F138" s="8">
        <v>220</v>
      </c>
      <c r="G138" s="8">
        <v>0</v>
      </c>
      <c r="H138" s="7">
        <f t="shared" si="12"/>
        <v>130</v>
      </c>
      <c r="I138" s="7">
        <f>IF(B138=Queue_Intervals!A2,MAX(0,MIN(D138,Queue_Intervals!C2)-MAX(C138+90,Queue_Intervals!B2)),0)+IF(B138=Queue_Intervals!A3,MAX(0,MIN(D138,Queue_Intervals!C3)-MAX(C138+90,Queue_Intervals!B3)),0)+IF(B138=Queue_Intervals!A4,MAX(0,MIN(D138,Queue_Intervals!C4)-MAX(C138+90,Queue_Intervals!B4)),0)+IF(B138=Queue_Intervals!A5,MAX(0,MIN(D138,Queue_Intervals!C5)-MAX(C138+90,Queue_Intervals!B5)),0)</f>
        <v>0</v>
      </c>
      <c r="J138" s="7">
        <f t="shared" si="13"/>
        <v>100</v>
      </c>
      <c r="K138" s="7">
        <f>IF(B138=Queue_Intervals!A2,MAX(0,MIN(D138,Queue_Intervals!C2)-MAX(C138+120,Queue_Intervals!B2)),0)+IF(B138=Queue_Intervals!A3,MAX(0,MIN(D138,Queue_Intervals!C3)-MAX(C138+120,Queue_Intervals!B3)),0)+IF(B138=Queue_Intervals!A4,MAX(0,MIN(D138,Queue_Intervals!C4)-MAX(C138+120,Queue_Intervals!B4)),0)+IF(B138=Queue_Intervals!A5,MAX(0,MIN(D138,Queue_Intervals!C5)-MAX(C138+120,Queue_Intervals!B5)),0)</f>
        <v>0</v>
      </c>
      <c r="L138" s="7">
        <f t="shared" si="14"/>
        <v>70</v>
      </c>
      <c r="M138" s="7">
        <f>IF(B138=Queue_Intervals!A2,MAX(0,MIN(D138,Queue_Intervals!C2)-MAX(C138+150,Queue_Intervals!B2)),0)+IF(B138=Queue_Intervals!A3,MAX(0,MIN(D138,Queue_Intervals!C3)-MAX(C138+150,Queue_Intervals!B3)),0)+IF(B138=Queue_Intervals!A4,MAX(0,MIN(D138,Queue_Intervals!C4)-MAX(C138+150,Queue_Intervals!B4)),0)+IF(B138=Queue_Intervals!A5,MAX(0,MIN(D138,Queue_Intervals!C5)-MAX(C138+150,Queue_Intervals!B5)),0)</f>
        <v>0</v>
      </c>
    </row>
    <row r="139" spans="1:13" ht="24.95" customHeight="1">
      <c r="A139" s="7" t="s">
        <v>219</v>
      </c>
      <c r="B139" s="8" t="s">
        <v>210</v>
      </c>
      <c r="C139" s="8">
        <v>460</v>
      </c>
      <c r="D139" s="8">
        <v>565</v>
      </c>
      <c r="E139" s="8" t="s">
        <v>79</v>
      </c>
      <c r="F139" s="8">
        <v>105</v>
      </c>
      <c r="G139" s="8">
        <v>0</v>
      </c>
      <c r="H139" s="7">
        <f t="shared" si="12"/>
        <v>15</v>
      </c>
      <c r="I139" s="7">
        <f>IF(B139=Queue_Intervals!A2,MAX(0,MIN(D139,Queue_Intervals!C2)-MAX(C139+90,Queue_Intervals!B2)),0)+IF(B139=Queue_Intervals!A3,MAX(0,MIN(D139,Queue_Intervals!C3)-MAX(C139+90,Queue_Intervals!B3)),0)+IF(B139=Queue_Intervals!A4,MAX(0,MIN(D139,Queue_Intervals!C4)-MAX(C139+90,Queue_Intervals!B4)),0)+IF(B139=Queue_Intervals!A5,MAX(0,MIN(D139,Queue_Intervals!C5)-MAX(C139+90,Queue_Intervals!B5)),0)</f>
        <v>0</v>
      </c>
      <c r="J139" s="7">
        <f t="shared" si="13"/>
        <v>0</v>
      </c>
      <c r="K139" s="7">
        <f>IF(B139=Queue_Intervals!A2,MAX(0,MIN(D139,Queue_Intervals!C2)-MAX(C139+120,Queue_Intervals!B2)),0)+IF(B139=Queue_Intervals!A3,MAX(0,MIN(D139,Queue_Intervals!C3)-MAX(C139+120,Queue_Intervals!B3)),0)+IF(B139=Queue_Intervals!A4,MAX(0,MIN(D139,Queue_Intervals!C4)-MAX(C139+120,Queue_Intervals!B4)),0)+IF(B139=Queue_Intervals!A5,MAX(0,MIN(D139,Queue_Intervals!C5)-MAX(C139+120,Queue_Intervals!B5)),0)</f>
        <v>0</v>
      </c>
      <c r="L139" s="7">
        <f t="shared" si="14"/>
        <v>0</v>
      </c>
      <c r="M139" s="7">
        <f>IF(B139=Queue_Intervals!A2,MAX(0,MIN(D139,Queue_Intervals!C2)-MAX(C139+150,Queue_Intervals!B2)),0)+IF(B139=Queue_Intervals!A3,MAX(0,MIN(D139,Queue_Intervals!C3)-MAX(C139+150,Queue_Intervals!B3)),0)+IF(B139=Queue_Intervals!A4,MAX(0,MIN(D139,Queue_Intervals!C4)-MAX(C139+150,Queue_Intervals!B4)),0)+IF(B139=Queue_Intervals!A5,MAX(0,MIN(D139,Queue_Intervals!C5)-MAX(C139+150,Queue_Intervals!B5)),0)</f>
        <v>0</v>
      </c>
    </row>
    <row r="140" spans="1:13" ht="24.95" customHeight="1">
      <c r="A140" s="7" t="s">
        <v>220</v>
      </c>
      <c r="B140" s="8" t="s">
        <v>210</v>
      </c>
      <c r="C140" s="8">
        <v>471</v>
      </c>
      <c r="D140" s="8">
        <v>501</v>
      </c>
      <c r="E140" s="8" t="s">
        <v>79</v>
      </c>
      <c r="F140" s="8">
        <v>30</v>
      </c>
      <c r="G140" s="8">
        <v>0</v>
      </c>
      <c r="H140" s="7">
        <f t="shared" si="12"/>
        <v>0</v>
      </c>
      <c r="I140" s="7">
        <f>IF(B140=Queue_Intervals!A2,MAX(0,MIN(D140,Queue_Intervals!C2)-MAX(C140+90,Queue_Intervals!B2)),0)+IF(B140=Queue_Intervals!A3,MAX(0,MIN(D140,Queue_Intervals!C3)-MAX(C140+90,Queue_Intervals!B3)),0)+IF(B140=Queue_Intervals!A4,MAX(0,MIN(D140,Queue_Intervals!C4)-MAX(C140+90,Queue_Intervals!B4)),0)+IF(B140=Queue_Intervals!A5,MAX(0,MIN(D140,Queue_Intervals!C5)-MAX(C140+90,Queue_Intervals!B5)),0)</f>
        <v>0</v>
      </c>
      <c r="J140" s="7">
        <f t="shared" si="13"/>
        <v>0</v>
      </c>
      <c r="K140" s="7">
        <f>IF(B140=Queue_Intervals!A2,MAX(0,MIN(D140,Queue_Intervals!C2)-MAX(C140+120,Queue_Intervals!B2)),0)+IF(B140=Queue_Intervals!A3,MAX(0,MIN(D140,Queue_Intervals!C3)-MAX(C140+120,Queue_Intervals!B3)),0)+IF(B140=Queue_Intervals!A4,MAX(0,MIN(D140,Queue_Intervals!C4)-MAX(C140+120,Queue_Intervals!B4)),0)+IF(B140=Queue_Intervals!A5,MAX(0,MIN(D140,Queue_Intervals!C5)-MAX(C140+120,Queue_Intervals!B5)),0)</f>
        <v>0</v>
      </c>
      <c r="L140" s="7">
        <f t="shared" si="14"/>
        <v>0</v>
      </c>
      <c r="M140" s="7">
        <f>IF(B140=Queue_Intervals!A2,MAX(0,MIN(D140,Queue_Intervals!C2)-MAX(C140+150,Queue_Intervals!B2)),0)+IF(B140=Queue_Intervals!A3,MAX(0,MIN(D140,Queue_Intervals!C3)-MAX(C140+150,Queue_Intervals!B3)),0)+IF(B140=Queue_Intervals!A4,MAX(0,MIN(D140,Queue_Intervals!C4)-MAX(C140+150,Queue_Intervals!B4)),0)+IF(B140=Queue_Intervals!A5,MAX(0,MIN(D140,Queue_Intervals!C5)-MAX(C140+150,Queue_Intervals!B5)),0)</f>
        <v>0</v>
      </c>
    </row>
    <row r="141" spans="1:13" ht="24.95" customHeight="1">
      <c r="A141" s="7" t="s">
        <v>221</v>
      </c>
      <c r="B141" s="8" t="s">
        <v>210</v>
      </c>
      <c r="C141" s="8">
        <v>476</v>
      </c>
      <c r="D141" s="8">
        <v>536</v>
      </c>
      <c r="E141" s="8" t="s">
        <v>79</v>
      </c>
      <c r="F141" s="8">
        <v>60</v>
      </c>
      <c r="G141" s="8">
        <v>0</v>
      </c>
      <c r="H141" s="7">
        <f t="shared" si="12"/>
        <v>0</v>
      </c>
      <c r="I141" s="7">
        <f>IF(B141=Queue_Intervals!A2,MAX(0,MIN(D141,Queue_Intervals!C2)-MAX(C141+90,Queue_Intervals!B2)),0)+IF(B141=Queue_Intervals!A3,MAX(0,MIN(D141,Queue_Intervals!C3)-MAX(C141+90,Queue_Intervals!B3)),0)+IF(B141=Queue_Intervals!A4,MAX(0,MIN(D141,Queue_Intervals!C4)-MAX(C141+90,Queue_Intervals!B4)),0)+IF(B141=Queue_Intervals!A5,MAX(0,MIN(D141,Queue_Intervals!C5)-MAX(C141+90,Queue_Intervals!B5)),0)</f>
        <v>0</v>
      </c>
      <c r="J141" s="7">
        <f t="shared" si="13"/>
        <v>0</v>
      </c>
      <c r="K141" s="7">
        <f>IF(B141=Queue_Intervals!A2,MAX(0,MIN(D141,Queue_Intervals!C2)-MAX(C141+120,Queue_Intervals!B2)),0)+IF(B141=Queue_Intervals!A3,MAX(0,MIN(D141,Queue_Intervals!C3)-MAX(C141+120,Queue_Intervals!B3)),0)+IF(B141=Queue_Intervals!A4,MAX(0,MIN(D141,Queue_Intervals!C4)-MAX(C141+120,Queue_Intervals!B4)),0)+IF(B141=Queue_Intervals!A5,MAX(0,MIN(D141,Queue_Intervals!C5)-MAX(C141+120,Queue_Intervals!B5)),0)</f>
        <v>0</v>
      </c>
      <c r="L141" s="7">
        <f t="shared" si="14"/>
        <v>0</v>
      </c>
      <c r="M141" s="7">
        <f>IF(B141=Queue_Intervals!A2,MAX(0,MIN(D141,Queue_Intervals!C2)-MAX(C141+150,Queue_Intervals!B2)),0)+IF(B141=Queue_Intervals!A3,MAX(0,MIN(D141,Queue_Intervals!C3)-MAX(C141+150,Queue_Intervals!B3)),0)+IF(B141=Queue_Intervals!A4,MAX(0,MIN(D141,Queue_Intervals!C4)-MAX(C141+150,Queue_Intervals!B4)),0)+IF(B141=Queue_Intervals!A5,MAX(0,MIN(D141,Queue_Intervals!C5)-MAX(C141+150,Queue_Intervals!B5)),0)</f>
        <v>0</v>
      </c>
    </row>
    <row r="142" spans="1:13" ht="24.95" customHeight="1">
      <c r="A142" s="7" t="s">
        <v>222</v>
      </c>
      <c r="B142" s="8" t="s">
        <v>210</v>
      </c>
      <c r="C142" s="8">
        <v>485</v>
      </c>
      <c r="D142" s="8">
        <v>544</v>
      </c>
      <c r="E142" s="8" t="s">
        <v>79</v>
      </c>
      <c r="F142" s="8">
        <v>59</v>
      </c>
      <c r="G142" s="8">
        <v>0</v>
      </c>
      <c r="H142" s="7">
        <f t="shared" si="12"/>
        <v>0</v>
      </c>
      <c r="I142" s="7">
        <f>IF(B142=Queue_Intervals!A2,MAX(0,MIN(D142,Queue_Intervals!C2)-MAX(C142+90,Queue_Intervals!B2)),0)+IF(B142=Queue_Intervals!A3,MAX(0,MIN(D142,Queue_Intervals!C3)-MAX(C142+90,Queue_Intervals!B3)),0)+IF(B142=Queue_Intervals!A4,MAX(0,MIN(D142,Queue_Intervals!C4)-MAX(C142+90,Queue_Intervals!B4)),0)+IF(B142=Queue_Intervals!A5,MAX(0,MIN(D142,Queue_Intervals!C5)-MAX(C142+90,Queue_Intervals!B5)),0)</f>
        <v>0</v>
      </c>
      <c r="J142" s="7">
        <f t="shared" si="13"/>
        <v>0</v>
      </c>
      <c r="K142" s="7">
        <f>IF(B142=Queue_Intervals!A2,MAX(0,MIN(D142,Queue_Intervals!C2)-MAX(C142+120,Queue_Intervals!B2)),0)+IF(B142=Queue_Intervals!A3,MAX(0,MIN(D142,Queue_Intervals!C3)-MAX(C142+120,Queue_Intervals!B3)),0)+IF(B142=Queue_Intervals!A4,MAX(0,MIN(D142,Queue_Intervals!C4)-MAX(C142+120,Queue_Intervals!B4)),0)+IF(B142=Queue_Intervals!A5,MAX(0,MIN(D142,Queue_Intervals!C5)-MAX(C142+120,Queue_Intervals!B5)),0)</f>
        <v>0</v>
      </c>
      <c r="L142" s="7">
        <f t="shared" si="14"/>
        <v>0</v>
      </c>
      <c r="M142" s="7">
        <f>IF(B142=Queue_Intervals!A2,MAX(0,MIN(D142,Queue_Intervals!C2)-MAX(C142+150,Queue_Intervals!B2)),0)+IF(B142=Queue_Intervals!A3,MAX(0,MIN(D142,Queue_Intervals!C3)-MAX(C142+150,Queue_Intervals!B3)),0)+IF(B142=Queue_Intervals!A4,MAX(0,MIN(D142,Queue_Intervals!C4)-MAX(C142+150,Queue_Intervals!B4)),0)+IF(B142=Queue_Intervals!A5,MAX(0,MIN(D142,Queue_Intervals!C5)-MAX(C142+150,Queue_Intervals!B5)),0)</f>
        <v>0</v>
      </c>
    </row>
    <row r="143" spans="1:13" ht="24.95" customHeight="1">
      <c r="A143" s="7" t="s">
        <v>223</v>
      </c>
      <c r="B143" s="8" t="s">
        <v>210</v>
      </c>
      <c r="C143" s="8">
        <v>486</v>
      </c>
      <c r="D143" s="8">
        <v>533</v>
      </c>
      <c r="E143" s="8" t="s">
        <v>79</v>
      </c>
      <c r="F143" s="8">
        <v>47</v>
      </c>
      <c r="G143" s="8">
        <v>0</v>
      </c>
      <c r="H143" s="7">
        <f t="shared" si="12"/>
        <v>0</v>
      </c>
      <c r="I143" s="7">
        <f>IF(B143=Queue_Intervals!A2,MAX(0,MIN(D143,Queue_Intervals!C2)-MAX(C143+90,Queue_Intervals!B2)),0)+IF(B143=Queue_Intervals!A3,MAX(0,MIN(D143,Queue_Intervals!C3)-MAX(C143+90,Queue_Intervals!B3)),0)+IF(B143=Queue_Intervals!A4,MAX(0,MIN(D143,Queue_Intervals!C4)-MAX(C143+90,Queue_Intervals!B4)),0)+IF(B143=Queue_Intervals!A5,MAX(0,MIN(D143,Queue_Intervals!C5)-MAX(C143+90,Queue_Intervals!B5)),0)</f>
        <v>0</v>
      </c>
      <c r="J143" s="7">
        <f t="shared" si="13"/>
        <v>0</v>
      </c>
      <c r="K143" s="7">
        <f>IF(B143=Queue_Intervals!A2,MAX(0,MIN(D143,Queue_Intervals!C2)-MAX(C143+120,Queue_Intervals!B2)),0)+IF(B143=Queue_Intervals!A3,MAX(0,MIN(D143,Queue_Intervals!C3)-MAX(C143+120,Queue_Intervals!B3)),0)+IF(B143=Queue_Intervals!A4,MAX(0,MIN(D143,Queue_Intervals!C4)-MAX(C143+120,Queue_Intervals!B4)),0)+IF(B143=Queue_Intervals!A5,MAX(0,MIN(D143,Queue_Intervals!C5)-MAX(C143+120,Queue_Intervals!B5)),0)</f>
        <v>0</v>
      </c>
      <c r="L143" s="7">
        <f t="shared" si="14"/>
        <v>0</v>
      </c>
      <c r="M143" s="7">
        <f>IF(B143=Queue_Intervals!A2,MAX(0,MIN(D143,Queue_Intervals!C2)-MAX(C143+150,Queue_Intervals!B2)),0)+IF(B143=Queue_Intervals!A3,MAX(0,MIN(D143,Queue_Intervals!C3)-MAX(C143+150,Queue_Intervals!B3)),0)+IF(B143=Queue_Intervals!A4,MAX(0,MIN(D143,Queue_Intervals!C4)-MAX(C143+150,Queue_Intervals!B4)),0)+IF(B143=Queue_Intervals!A5,MAX(0,MIN(D143,Queue_Intervals!C5)-MAX(C143+150,Queue_Intervals!B5)),0)</f>
        <v>0</v>
      </c>
    </row>
    <row r="144" spans="1:13" ht="24.95" customHeight="1">
      <c r="A144" s="7" t="s">
        <v>224</v>
      </c>
      <c r="B144" s="8" t="s">
        <v>210</v>
      </c>
      <c r="C144" s="8">
        <v>496</v>
      </c>
      <c r="D144" s="8">
        <v>569</v>
      </c>
      <c r="E144" s="8" t="s">
        <v>79</v>
      </c>
      <c r="F144" s="8">
        <v>73</v>
      </c>
      <c r="G144" s="8">
        <v>0</v>
      </c>
      <c r="H144" s="7">
        <f t="shared" si="12"/>
        <v>0</v>
      </c>
      <c r="I144" s="7">
        <f>IF(B144=Queue_Intervals!A2,MAX(0,MIN(D144,Queue_Intervals!C2)-MAX(C144+90,Queue_Intervals!B2)),0)+IF(B144=Queue_Intervals!A3,MAX(0,MIN(D144,Queue_Intervals!C3)-MAX(C144+90,Queue_Intervals!B3)),0)+IF(B144=Queue_Intervals!A4,MAX(0,MIN(D144,Queue_Intervals!C4)-MAX(C144+90,Queue_Intervals!B4)),0)+IF(B144=Queue_Intervals!A5,MAX(0,MIN(D144,Queue_Intervals!C5)-MAX(C144+90,Queue_Intervals!B5)),0)</f>
        <v>0</v>
      </c>
      <c r="J144" s="7">
        <f t="shared" si="13"/>
        <v>0</v>
      </c>
      <c r="K144" s="7">
        <f>IF(B144=Queue_Intervals!A2,MAX(0,MIN(D144,Queue_Intervals!C2)-MAX(C144+120,Queue_Intervals!B2)),0)+IF(B144=Queue_Intervals!A3,MAX(0,MIN(D144,Queue_Intervals!C3)-MAX(C144+120,Queue_Intervals!B3)),0)+IF(B144=Queue_Intervals!A4,MAX(0,MIN(D144,Queue_Intervals!C4)-MAX(C144+120,Queue_Intervals!B4)),0)+IF(B144=Queue_Intervals!A5,MAX(0,MIN(D144,Queue_Intervals!C5)-MAX(C144+120,Queue_Intervals!B5)),0)</f>
        <v>0</v>
      </c>
      <c r="L144" s="7">
        <f t="shared" si="14"/>
        <v>0</v>
      </c>
      <c r="M144" s="7">
        <f>IF(B144=Queue_Intervals!A2,MAX(0,MIN(D144,Queue_Intervals!C2)-MAX(C144+150,Queue_Intervals!B2)),0)+IF(B144=Queue_Intervals!A3,MAX(0,MIN(D144,Queue_Intervals!C3)-MAX(C144+150,Queue_Intervals!B3)),0)+IF(B144=Queue_Intervals!A4,MAX(0,MIN(D144,Queue_Intervals!C4)-MAX(C144+150,Queue_Intervals!B4)),0)+IF(B144=Queue_Intervals!A5,MAX(0,MIN(D144,Queue_Intervals!C5)-MAX(C144+150,Queue_Intervals!B5)),0)</f>
        <v>0</v>
      </c>
    </row>
    <row r="145" spans="1:13" ht="24.95" customHeight="1">
      <c r="A145" s="7" t="s">
        <v>225</v>
      </c>
      <c r="B145" s="8" t="s">
        <v>210</v>
      </c>
      <c r="C145" s="8">
        <v>504</v>
      </c>
      <c r="D145" s="8">
        <v>589</v>
      </c>
      <c r="E145" s="8" t="s">
        <v>79</v>
      </c>
      <c r="F145" s="8">
        <v>85</v>
      </c>
      <c r="G145" s="8">
        <v>0</v>
      </c>
      <c r="H145" s="7">
        <f t="shared" si="12"/>
        <v>0</v>
      </c>
      <c r="I145" s="7">
        <f>IF(B145=Queue_Intervals!A2,MAX(0,MIN(D145,Queue_Intervals!C2)-MAX(C145+90,Queue_Intervals!B2)),0)+IF(B145=Queue_Intervals!A3,MAX(0,MIN(D145,Queue_Intervals!C3)-MAX(C145+90,Queue_Intervals!B3)),0)+IF(B145=Queue_Intervals!A4,MAX(0,MIN(D145,Queue_Intervals!C4)-MAX(C145+90,Queue_Intervals!B4)),0)+IF(B145=Queue_Intervals!A5,MAX(0,MIN(D145,Queue_Intervals!C5)-MAX(C145+90,Queue_Intervals!B5)),0)</f>
        <v>0</v>
      </c>
      <c r="J145" s="7">
        <f t="shared" si="13"/>
        <v>0</v>
      </c>
      <c r="K145" s="7">
        <f>IF(B145=Queue_Intervals!A2,MAX(0,MIN(D145,Queue_Intervals!C2)-MAX(C145+120,Queue_Intervals!B2)),0)+IF(B145=Queue_Intervals!A3,MAX(0,MIN(D145,Queue_Intervals!C3)-MAX(C145+120,Queue_Intervals!B3)),0)+IF(B145=Queue_Intervals!A4,MAX(0,MIN(D145,Queue_Intervals!C4)-MAX(C145+120,Queue_Intervals!B4)),0)+IF(B145=Queue_Intervals!A5,MAX(0,MIN(D145,Queue_Intervals!C5)-MAX(C145+120,Queue_Intervals!B5)),0)</f>
        <v>0</v>
      </c>
      <c r="L145" s="7">
        <f t="shared" si="14"/>
        <v>0</v>
      </c>
      <c r="M145" s="7">
        <f>IF(B145=Queue_Intervals!A2,MAX(0,MIN(D145,Queue_Intervals!C2)-MAX(C145+150,Queue_Intervals!B2)),0)+IF(B145=Queue_Intervals!A3,MAX(0,MIN(D145,Queue_Intervals!C3)-MAX(C145+150,Queue_Intervals!B3)),0)+IF(B145=Queue_Intervals!A4,MAX(0,MIN(D145,Queue_Intervals!C4)-MAX(C145+150,Queue_Intervals!B4)),0)+IF(B145=Queue_Intervals!A5,MAX(0,MIN(D145,Queue_Intervals!C5)-MAX(C145+150,Queue_Intervals!B5)),0)</f>
        <v>0</v>
      </c>
    </row>
    <row r="146" spans="1:13" ht="24.95" customHeight="1">
      <c r="A146" s="7" t="s">
        <v>226</v>
      </c>
      <c r="B146" s="8" t="s">
        <v>210</v>
      </c>
      <c r="C146" s="8">
        <v>513</v>
      </c>
      <c r="D146" s="8">
        <v>553</v>
      </c>
      <c r="E146" s="8" t="s">
        <v>79</v>
      </c>
      <c r="F146" s="8">
        <v>40</v>
      </c>
      <c r="G146" s="8">
        <v>0</v>
      </c>
      <c r="H146" s="7">
        <f t="shared" si="12"/>
        <v>0</v>
      </c>
      <c r="I146" s="7">
        <f>IF(B146=Queue_Intervals!A2,MAX(0,MIN(D146,Queue_Intervals!C2)-MAX(C146+90,Queue_Intervals!B2)),0)+IF(B146=Queue_Intervals!A3,MAX(0,MIN(D146,Queue_Intervals!C3)-MAX(C146+90,Queue_Intervals!B3)),0)+IF(B146=Queue_Intervals!A4,MAX(0,MIN(D146,Queue_Intervals!C4)-MAX(C146+90,Queue_Intervals!B4)),0)+IF(B146=Queue_Intervals!A5,MAX(0,MIN(D146,Queue_Intervals!C5)-MAX(C146+90,Queue_Intervals!B5)),0)</f>
        <v>0</v>
      </c>
      <c r="J146" s="7">
        <f t="shared" si="13"/>
        <v>0</v>
      </c>
      <c r="K146" s="7">
        <f>IF(B146=Queue_Intervals!A2,MAX(0,MIN(D146,Queue_Intervals!C2)-MAX(C146+120,Queue_Intervals!B2)),0)+IF(B146=Queue_Intervals!A3,MAX(0,MIN(D146,Queue_Intervals!C3)-MAX(C146+120,Queue_Intervals!B3)),0)+IF(B146=Queue_Intervals!A4,MAX(0,MIN(D146,Queue_Intervals!C4)-MAX(C146+120,Queue_Intervals!B4)),0)+IF(B146=Queue_Intervals!A5,MAX(0,MIN(D146,Queue_Intervals!C5)-MAX(C146+120,Queue_Intervals!B5)),0)</f>
        <v>0</v>
      </c>
      <c r="L146" s="7">
        <f t="shared" si="14"/>
        <v>0</v>
      </c>
      <c r="M146" s="7">
        <f>IF(B146=Queue_Intervals!A2,MAX(0,MIN(D146,Queue_Intervals!C2)-MAX(C146+150,Queue_Intervals!B2)),0)+IF(B146=Queue_Intervals!A3,MAX(0,MIN(D146,Queue_Intervals!C3)-MAX(C146+150,Queue_Intervals!B3)),0)+IF(B146=Queue_Intervals!A4,MAX(0,MIN(D146,Queue_Intervals!C4)-MAX(C146+150,Queue_Intervals!B4)),0)+IF(B146=Queue_Intervals!A5,MAX(0,MIN(D146,Queue_Intervals!C5)-MAX(C146+150,Queue_Intervals!B5)),0)</f>
        <v>0</v>
      </c>
    </row>
    <row r="147" spans="1:13" ht="24.95" customHeight="1">
      <c r="A147" s="7" t="s">
        <v>227</v>
      </c>
      <c r="B147" s="8" t="s">
        <v>210</v>
      </c>
      <c r="C147" s="8">
        <v>521</v>
      </c>
      <c r="D147" s="8">
        <v>571</v>
      </c>
      <c r="E147" s="8" t="s">
        <v>79</v>
      </c>
      <c r="F147" s="8">
        <v>50</v>
      </c>
      <c r="G147" s="8">
        <v>0</v>
      </c>
      <c r="H147" s="7">
        <f t="shared" si="12"/>
        <v>0</v>
      </c>
      <c r="I147" s="7">
        <f>IF(B147=Queue_Intervals!A2,MAX(0,MIN(D147,Queue_Intervals!C2)-MAX(C147+90,Queue_Intervals!B2)),0)+IF(B147=Queue_Intervals!A3,MAX(0,MIN(D147,Queue_Intervals!C3)-MAX(C147+90,Queue_Intervals!B3)),0)+IF(B147=Queue_Intervals!A4,MAX(0,MIN(D147,Queue_Intervals!C4)-MAX(C147+90,Queue_Intervals!B4)),0)+IF(B147=Queue_Intervals!A5,MAX(0,MIN(D147,Queue_Intervals!C5)-MAX(C147+90,Queue_Intervals!B5)),0)</f>
        <v>0</v>
      </c>
      <c r="J147" s="7">
        <f t="shared" si="13"/>
        <v>0</v>
      </c>
      <c r="K147" s="7">
        <f>IF(B147=Queue_Intervals!A2,MAX(0,MIN(D147,Queue_Intervals!C2)-MAX(C147+120,Queue_Intervals!B2)),0)+IF(B147=Queue_Intervals!A3,MAX(0,MIN(D147,Queue_Intervals!C3)-MAX(C147+120,Queue_Intervals!B3)),0)+IF(B147=Queue_Intervals!A4,MAX(0,MIN(D147,Queue_Intervals!C4)-MAX(C147+120,Queue_Intervals!B4)),0)+IF(B147=Queue_Intervals!A5,MAX(0,MIN(D147,Queue_Intervals!C5)-MAX(C147+120,Queue_Intervals!B5)),0)</f>
        <v>0</v>
      </c>
      <c r="L147" s="7">
        <f t="shared" si="14"/>
        <v>0</v>
      </c>
      <c r="M147" s="7">
        <f>IF(B147=Queue_Intervals!A2,MAX(0,MIN(D147,Queue_Intervals!C2)-MAX(C147+150,Queue_Intervals!B2)),0)+IF(B147=Queue_Intervals!A3,MAX(0,MIN(D147,Queue_Intervals!C3)-MAX(C147+150,Queue_Intervals!B3)),0)+IF(B147=Queue_Intervals!A4,MAX(0,MIN(D147,Queue_Intervals!C4)-MAX(C147+150,Queue_Intervals!B4)),0)+IF(B147=Queue_Intervals!A5,MAX(0,MIN(D147,Queue_Intervals!C5)-MAX(C147+150,Queue_Intervals!B5)),0)</f>
        <v>0</v>
      </c>
    </row>
    <row r="148" spans="1:13" ht="24.95" customHeight="1">
      <c r="A148" s="7" t="s">
        <v>228</v>
      </c>
      <c r="B148" s="8" t="s">
        <v>210</v>
      </c>
      <c r="C148" s="8">
        <v>523</v>
      </c>
      <c r="D148" s="8">
        <v>560</v>
      </c>
      <c r="E148" s="8" t="s">
        <v>79</v>
      </c>
      <c r="F148" s="8">
        <v>37</v>
      </c>
      <c r="G148" s="8">
        <v>0</v>
      </c>
      <c r="H148" s="7">
        <f t="shared" si="12"/>
        <v>0</v>
      </c>
      <c r="I148" s="7">
        <f>IF(B148=Queue_Intervals!A2,MAX(0,MIN(D148,Queue_Intervals!C2)-MAX(C148+90,Queue_Intervals!B2)),0)+IF(B148=Queue_Intervals!A3,MAX(0,MIN(D148,Queue_Intervals!C3)-MAX(C148+90,Queue_Intervals!B3)),0)+IF(B148=Queue_Intervals!A4,MAX(0,MIN(D148,Queue_Intervals!C4)-MAX(C148+90,Queue_Intervals!B4)),0)+IF(B148=Queue_Intervals!A5,MAX(0,MIN(D148,Queue_Intervals!C5)-MAX(C148+90,Queue_Intervals!B5)),0)</f>
        <v>0</v>
      </c>
      <c r="J148" s="7">
        <f t="shared" si="13"/>
        <v>0</v>
      </c>
      <c r="K148" s="7">
        <f>IF(B148=Queue_Intervals!A2,MAX(0,MIN(D148,Queue_Intervals!C2)-MAX(C148+120,Queue_Intervals!B2)),0)+IF(B148=Queue_Intervals!A3,MAX(0,MIN(D148,Queue_Intervals!C3)-MAX(C148+120,Queue_Intervals!B3)),0)+IF(B148=Queue_Intervals!A4,MAX(0,MIN(D148,Queue_Intervals!C4)-MAX(C148+120,Queue_Intervals!B4)),0)+IF(B148=Queue_Intervals!A5,MAX(0,MIN(D148,Queue_Intervals!C5)-MAX(C148+120,Queue_Intervals!B5)),0)</f>
        <v>0</v>
      </c>
      <c r="L148" s="7">
        <f t="shared" si="14"/>
        <v>0</v>
      </c>
      <c r="M148" s="7">
        <f>IF(B148=Queue_Intervals!A2,MAX(0,MIN(D148,Queue_Intervals!C2)-MAX(C148+150,Queue_Intervals!B2)),0)+IF(B148=Queue_Intervals!A3,MAX(0,MIN(D148,Queue_Intervals!C3)-MAX(C148+150,Queue_Intervals!B3)),0)+IF(B148=Queue_Intervals!A4,MAX(0,MIN(D148,Queue_Intervals!C4)-MAX(C148+150,Queue_Intervals!B4)),0)+IF(B148=Queue_Intervals!A5,MAX(0,MIN(D148,Queue_Intervals!C5)-MAX(C148+150,Queue_Intervals!B5)),0)</f>
        <v>0</v>
      </c>
    </row>
    <row r="149" spans="1:13" ht="24.95" customHeight="1">
      <c r="A149" s="7" t="s">
        <v>229</v>
      </c>
      <c r="B149" s="8" t="s">
        <v>210</v>
      </c>
      <c r="C149" s="8">
        <v>545</v>
      </c>
      <c r="D149" s="8">
        <v>577</v>
      </c>
      <c r="E149" s="8" t="s">
        <v>79</v>
      </c>
      <c r="F149" s="8">
        <v>32</v>
      </c>
      <c r="G149" s="8">
        <v>0</v>
      </c>
      <c r="H149" s="7">
        <f t="shared" si="12"/>
        <v>0</v>
      </c>
      <c r="I149" s="7">
        <f>IF(B149=Queue_Intervals!A2,MAX(0,MIN(D149,Queue_Intervals!C2)-MAX(C149+90,Queue_Intervals!B2)),0)+IF(B149=Queue_Intervals!A3,MAX(0,MIN(D149,Queue_Intervals!C3)-MAX(C149+90,Queue_Intervals!B3)),0)+IF(B149=Queue_Intervals!A4,MAX(0,MIN(D149,Queue_Intervals!C4)-MAX(C149+90,Queue_Intervals!B4)),0)+IF(B149=Queue_Intervals!A5,MAX(0,MIN(D149,Queue_Intervals!C5)-MAX(C149+90,Queue_Intervals!B5)),0)</f>
        <v>0</v>
      </c>
      <c r="J149" s="7">
        <f t="shared" si="13"/>
        <v>0</v>
      </c>
      <c r="K149" s="7">
        <f>IF(B149=Queue_Intervals!A2,MAX(0,MIN(D149,Queue_Intervals!C2)-MAX(C149+120,Queue_Intervals!B2)),0)+IF(B149=Queue_Intervals!A3,MAX(0,MIN(D149,Queue_Intervals!C3)-MAX(C149+120,Queue_Intervals!B3)),0)+IF(B149=Queue_Intervals!A4,MAX(0,MIN(D149,Queue_Intervals!C4)-MAX(C149+120,Queue_Intervals!B4)),0)+IF(B149=Queue_Intervals!A5,MAX(0,MIN(D149,Queue_Intervals!C5)-MAX(C149+120,Queue_Intervals!B5)),0)</f>
        <v>0</v>
      </c>
      <c r="L149" s="7">
        <f t="shared" si="14"/>
        <v>0</v>
      </c>
      <c r="M149" s="7">
        <f>IF(B149=Queue_Intervals!A2,MAX(0,MIN(D149,Queue_Intervals!C2)-MAX(C149+150,Queue_Intervals!B2)),0)+IF(B149=Queue_Intervals!A3,MAX(0,MIN(D149,Queue_Intervals!C3)-MAX(C149+150,Queue_Intervals!B3)),0)+IF(B149=Queue_Intervals!A4,MAX(0,MIN(D149,Queue_Intervals!C4)-MAX(C149+150,Queue_Intervals!B4)),0)+IF(B149=Queue_Intervals!A5,MAX(0,MIN(D149,Queue_Intervals!C5)-MAX(C149+150,Queue_Intervals!B5)),0)</f>
        <v>0</v>
      </c>
    </row>
    <row r="150" spans="1:13" ht="24.95" customHeight="1">
      <c r="A150" s="7" t="s">
        <v>230</v>
      </c>
      <c r="B150" s="8" t="s">
        <v>210</v>
      </c>
      <c r="C150" s="8">
        <v>545</v>
      </c>
      <c r="D150" s="8">
        <v>675</v>
      </c>
      <c r="E150" s="8" t="s">
        <v>79</v>
      </c>
      <c r="F150" s="8">
        <v>130</v>
      </c>
      <c r="G150" s="8">
        <v>0</v>
      </c>
      <c r="H150" s="7">
        <f t="shared" si="12"/>
        <v>40</v>
      </c>
      <c r="I150" s="7">
        <f>IF(B150=Queue_Intervals!A2,MAX(0,MIN(D150,Queue_Intervals!C2)-MAX(C150+90,Queue_Intervals!B2)),0)+IF(B150=Queue_Intervals!A3,MAX(0,MIN(D150,Queue_Intervals!C3)-MAX(C150+90,Queue_Intervals!B3)),0)+IF(B150=Queue_Intervals!A4,MAX(0,MIN(D150,Queue_Intervals!C4)-MAX(C150+90,Queue_Intervals!B4)),0)+IF(B150=Queue_Intervals!A5,MAX(0,MIN(D150,Queue_Intervals!C5)-MAX(C150+90,Queue_Intervals!B5)),0)</f>
        <v>0</v>
      </c>
      <c r="J150" s="7">
        <f t="shared" si="13"/>
        <v>10</v>
      </c>
      <c r="K150" s="7">
        <f>IF(B150=Queue_Intervals!A2,MAX(0,MIN(D150,Queue_Intervals!C2)-MAX(C150+120,Queue_Intervals!B2)),0)+IF(B150=Queue_Intervals!A3,MAX(0,MIN(D150,Queue_Intervals!C3)-MAX(C150+120,Queue_Intervals!B3)),0)+IF(B150=Queue_Intervals!A4,MAX(0,MIN(D150,Queue_Intervals!C4)-MAX(C150+120,Queue_Intervals!B4)),0)+IF(B150=Queue_Intervals!A5,MAX(0,MIN(D150,Queue_Intervals!C5)-MAX(C150+120,Queue_Intervals!B5)),0)</f>
        <v>0</v>
      </c>
      <c r="L150" s="7">
        <f t="shared" si="14"/>
        <v>0</v>
      </c>
      <c r="M150" s="7">
        <f>IF(B150=Queue_Intervals!A2,MAX(0,MIN(D150,Queue_Intervals!C2)-MAX(C150+150,Queue_Intervals!B2)),0)+IF(B150=Queue_Intervals!A3,MAX(0,MIN(D150,Queue_Intervals!C3)-MAX(C150+150,Queue_Intervals!B3)),0)+IF(B150=Queue_Intervals!A4,MAX(0,MIN(D150,Queue_Intervals!C4)-MAX(C150+150,Queue_Intervals!B4)),0)+IF(B150=Queue_Intervals!A5,MAX(0,MIN(D150,Queue_Intervals!C5)-MAX(C150+150,Queue_Intervals!B5)),0)</f>
        <v>0</v>
      </c>
    </row>
    <row r="151" spans="1:13" ht="24.95" customHeight="1">
      <c r="A151" s="7" t="s">
        <v>231</v>
      </c>
      <c r="B151" s="8" t="s">
        <v>210</v>
      </c>
      <c r="C151" s="8">
        <v>554</v>
      </c>
      <c r="D151" s="8">
        <v>623</v>
      </c>
      <c r="E151" s="8" t="s">
        <v>79</v>
      </c>
      <c r="F151" s="8">
        <v>69</v>
      </c>
      <c r="G151" s="8">
        <v>0</v>
      </c>
      <c r="H151" s="7">
        <f t="shared" si="12"/>
        <v>0</v>
      </c>
      <c r="I151" s="7">
        <f>IF(B151=Queue_Intervals!A2,MAX(0,MIN(D151,Queue_Intervals!C2)-MAX(C151+90,Queue_Intervals!B2)),0)+IF(B151=Queue_Intervals!A3,MAX(0,MIN(D151,Queue_Intervals!C3)-MAX(C151+90,Queue_Intervals!B3)),0)+IF(B151=Queue_Intervals!A4,MAX(0,MIN(D151,Queue_Intervals!C4)-MAX(C151+90,Queue_Intervals!B4)),0)+IF(B151=Queue_Intervals!A5,MAX(0,MIN(D151,Queue_Intervals!C5)-MAX(C151+90,Queue_Intervals!B5)),0)</f>
        <v>0</v>
      </c>
      <c r="J151" s="7">
        <f t="shared" si="13"/>
        <v>0</v>
      </c>
      <c r="K151" s="7">
        <f>IF(B151=Queue_Intervals!A2,MAX(0,MIN(D151,Queue_Intervals!C2)-MAX(C151+120,Queue_Intervals!B2)),0)+IF(B151=Queue_Intervals!A3,MAX(0,MIN(D151,Queue_Intervals!C3)-MAX(C151+120,Queue_Intervals!B3)),0)+IF(B151=Queue_Intervals!A4,MAX(0,MIN(D151,Queue_Intervals!C4)-MAX(C151+120,Queue_Intervals!B4)),0)+IF(B151=Queue_Intervals!A5,MAX(0,MIN(D151,Queue_Intervals!C5)-MAX(C151+120,Queue_Intervals!B5)),0)</f>
        <v>0</v>
      </c>
      <c r="L151" s="7">
        <f t="shared" si="14"/>
        <v>0</v>
      </c>
      <c r="M151" s="7">
        <f>IF(B151=Queue_Intervals!A2,MAX(0,MIN(D151,Queue_Intervals!C2)-MAX(C151+150,Queue_Intervals!B2)),0)+IF(B151=Queue_Intervals!A3,MAX(0,MIN(D151,Queue_Intervals!C3)-MAX(C151+150,Queue_Intervals!B3)),0)+IF(B151=Queue_Intervals!A4,MAX(0,MIN(D151,Queue_Intervals!C4)-MAX(C151+150,Queue_Intervals!B4)),0)+IF(B151=Queue_Intervals!A5,MAX(0,MIN(D151,Queue_Intervals!C5)-MAX(C151+150,Queue_Intervals!B5)),0)</f>
        <v>0</v>
      </c>
    </row>
    <row r="152" spans="1:13" ht="24.95" customHeight="1">
      <c r="A152" s="7" t="s">
        <v>232</v>
      </c>
      <c r="B152" s="8" t="s">
        <v>210</v>
      </c>
      <c r="C152" s="8">
        <v>556</v>
      </c>
      <c r="D152" s="8">
        <v>646</v>
      </c>
      <c r="E152" s="8" t="s">
        <v>79</v>
      </c>
      <c r="F152" s="8">
        <v>90</v>
      </c>
      <c r="G152" s="8">
        <v>0</v>
      </c>
      <c r="H152" s="7">
        <f t="shared" si="12"/>
        <v>0</v>
      </c>
      <c r="I152" s="7">
        <f>IF(B152=Queue_Intervals!A2,MAX(0,MIN(D152,Queue_Intervals!C2)-MAX(C152+90,Queue_Intervals!B2)),0)+IF(B152=Queue_Intervals!A3,MAX(0,MIN(D152,Queue_Intervals!C3)-MAX(C152+90,Queue_Intervals!B3)),0)+IF(B152=Queue_Intervals!A4,MAX(0,MIN(D152,Queue_Intervals!C4)-MAX(C152+90,Queue_Intervals!B4)),0)+IF(B152=Queue_Intervals!A5,MAX(0,MIN(D152,Queue_Intervals!C5)-MAX(C152+90,Queue_Intervals!B5)),0)</f>
        <v>0</v>
      </c>
      <c r="J152" s="7">
        <f t="shared" si="13"/>
        <v>0</v>
      </c>
      <c r="K152" s="7">
        <f>IF(B152=Queue_Intervals!A2,MAX(0,MIN(D152,Queue_Intervals!C2)-MAX(C152+120,Queue_Intervals!B2)),0)+IF(B152=Queue_Intervals!A3,MAX(0,MIN(D152,Queue_Intervals!C3)-MAX(C152+120,Queue_Intervals!B3)),0)+IF(B152=Queue_Intervals!A4,MAX(0,MIN(D152,Queue_Intervals!C4)-MAX(C152+120,Queue_Intervals!B4)),0)+IF(B152=Queue_Intervals!A5,MAX(0,MIN(D152,Queue_Intervals!C5)-MAX(C152+120,Queue_Intervals!B5)),0)</f>
        <v>0</v>
      </c>
      <c r="L152" s="7">
        <f t="shared" si="14"/>
        <v>0</v>
      </c>
      <c r="M152" s="7">
        <f>IF(B152=Queue_Intervals!A2,MAX(0,MIN(D152,Queue_Intervals!C2)-MAX(C152+150,Queue_Intervals!B2)),0)+IF(B152=Queue_Intervals!A3,MAX(0,MIN(D152,Queue_Intervals!C3)-MAX(C152+150,Queue_Intervals!B3)),0)+IF(B152=Queue_Intervals!A4,MAX(0,MIN(D152,Queue_Intervals!C4)-MAX(C152+150,Queue_Intervals!B4)),0)+IF(B152=Queue_Intervals!A5,MAX(0,MIN(D152,Queue_Intervals!C5)-MAX(C152+150,Queue_Intervals!B5)),0)</f>
        <v>0</v>
      </c>
    </row>
    <row r="153" spans="1:13" ht="24.95" customHeight="1">
      <c r="A153" s="7" t="s">
        <v>233</v>
      </c>
      <c r="B153" s="8" t="s">
        <v>210</v>
      </c>
      <c r="C153" s="8">
        <v>590</v>
      </c>
      <c r="D153" s="8">
        <v>711</v>
      </c>
      <c r="E153" s="8" t="s">
        <v>79</v>
      </c>
      <c r="F153" s="8">
        <v>121</v>
      </c>
      <c r="G153" s="8">
        <v>0</v>
      </c>
      <c r="H153" s="7">
        <f t="shared" si="12"/>
        <v>31</v>
      </c>
      <c r="I153" s="7">
        <f>IF(B153=Queue_Intervals!A2,MAX(0,MIN(D153,Queue_Intervals!C2)-MAX(C153+90,Queue_Intervals!B2)),0)+IF(B153=Queue_Intervals!A3,MAX(0,MIN(D153,Queue_Intervals!C3)-MAX(C153+90,Queue_Intervals!B3)),0)+IF(B153=Queue_Intervals!A4,MAX(0,MIN(D153,Queue_Intervals!C4)-MAX(C153+90,Queue_Intervals!B4)),0)+IF(B153=Queue_Intervals!A5,MAX(0,MIN(D153,Queue_Intervals!C5)-MAX(C153+90,Queue_Intervals!B5)),0)</f>
        <v>0</v>
      </c>
      <c r="J153" s="7">
        <f t="shared" si="13"/>
        <v>1</v>
      </c>
      <c r="K153" s="7">
        <f>IF(B153=Queue_Intervals!A2,MAX(0,MIN(D153,Queue_Intervals!C2)-MAX(C153+120,Queue_Intervals!B2)),0)+IF(B153=Queue_Intervals!A3,MAX(0,MIN(D153,Queue_Intervals!C3)-MAX(C153+120,Queue_Intervals!B3)),0)+IF(B153=Queue_Intervals!A4,MAX(0,MIN(D153,Queue_Intervals!C4)-MAX(C153+120,Queue_Intervals!B4)),0)+IF(B153=Queue_Intervals!A5,MAX(0,MIN(D153,Queue_Intervals!C5)-MAX(C153+120,Queue_Intervals!B5)),0)</f>
        <v>0</v>
      </c>
      <c r="L153" s="7">
        <f t="shared" si="14"/>
        <v>0</v>
      </c>
      <c r="M153" s="7">
        <f>IF(B153=Queue_Intervals!A2,MAX(0,MIN(D153,Queue_Intervals!C2)-MAX(C153+150,Queue_Intervals!B2)),0)+IF(B153=Queue_Intervals!A3,MAX(0,MIN(D153,Queue_Intervals!C3)-MAX(C153+150,Queue_Intervals!B3)),0)+IF(B153=Queue_Intervals!A4,MAX(0,MIN(D153,Queue_Intervals!C4)-MAX(C153+150,Queue_Intervals!B4)),0)+IF(B153=Queue_Intervals!A5,MAX(0,MIN(D153,Queue_Intervals!C5)-MAX(C153+150,Queue_Intervals!B5)),0)</f>
        <v>0</v>
      </c>
    </row>
    <row r="154" spans="1:13" ht="24.95" customHeight="1">
      <c r="A154" s="7" t="s">
        <v>234</v>
      </c>
      <c r="B154" s="8" t="s">
        <v>210</v>
      </c>
      <c r="C154" s="8">
        <v>592</v>
      </c>
      <c r="D154" s="8">
        <v>660</v>
      </c>
      <c r="E154" s="8" t="s">
        <v>79</v>
      </c>
      <c r="F154" s="8">
        <v>68</v>
      </c>
      <c r="G154" s="8">
        <v>0</v>
      </c>
      <c r="H154" s="7">
        <f t="shared" si="12"/>
        <v>0</v>
      </c>
      <c r="I154" s="7">
        <f>IF(B154=Queue_Intervals!A2,MAX(0,MIN(D154,Queue_Intervals!C2)-MAX(C154+90,Queue_Intervals!B2)),0)+IF(B154=Queue_Intervals!A3,MAX(0,MIN(D154,Queue_Intervals!C3)-MAX(C154+90,Queue_Intervals!B3)),0)+IF(B154=Queue_Intervals!A4,MAX(0,MIN(D154,Queue_Intervals!C4)-MAX(C154+90,Queue_Intervals!B4)),0)+IF(B154=Queue_Intervals!A5,MAX(0,MIN(D154,Queue_Intervals!C5)-MAX(C154+90,Queue_Intervals!B5)),0)</f>
        <v>0</v>
      </c>
      <c r="J154" s="7">
        <f t="shared" si="13"/>
        <v>0</v>
      </c>
      <c r="K154" s="7">
        <f>IF(B154=Queue_Intervals!A2,MAX(0,MIN(D154,Queue_Intervals!C2)-MAX(C154+120,Queue_Intervals!B2)),0)+IF(B154=Queue_Intervals!A3,MAX(0,MIN(D154,Queue_Intervals!C3)-MAX(C154+120,Queue_Intervals!B3)),0)+IF(B154=Queue_Intervals!A4,MAX(0,MIN(D154,Queue_Intervals!C4)-MAX(C154+120,Queue_Intervals!B4)),0)+IF(B154=Queue_Intervals!A5,MAX(0,MIN(D154,Queue_Intervals!C5)-MAX(C154+120,Queue_Intervals!B5)),0)</f>
        <v>0</v>
      </c>
      <c r="L154" s="7">
        <f t="shared" si="14"/>
        <v>0</v>
      </c>
      <c r="M154" s="7">
        <f>IF(B154=Queue_Intervals!A2,MAX(0,MIN(D154,Queue_Intervals!C2)-MAX(C154+150,Queue_Intervals!B2)),0)+IF(B154=Queue_Intervals!A3,MAX(0,MIN(D154,Queue_Intervals!C3)-MAX(C154+150,Queue_Intervals!B3)),0)+IF(B154=Queue_Intervals!A4,MAX(0,MIN(D154,Queue_Intervals!C4)-MAX(C154+150,Queue_Intervals!B4)),0)+IF(B154=Queue_Intervals!A5,MAX(0,MIN(D154,Queue_Intervals!C5)-MAX(C154+150,Queue_Intervals!B5)),0)</f>
        <v>0</v>
      </c>
    </row>
    <row r="155" spans="1:13" ht="24.95" customHeight="1">
      <c r="A155" s="7" t="s">
        <v>235</v>
      </c>
      <c r="B155" s="8" t="s">
        <v>210</v>
      </c>
      <c r="C155" s="8">
        <v>609</v>
      </c>
      <c r="D155" s="8">
        <v>625</v>
      </c>
      <c r="E155" s="8" t="s">
        <v>79</v>
      </c>
      <c r="F155" s="8">
        <v>16</v>
      </c>
      <c r="G155" s="8">
        <v>0</v>
      </c>
      <c r="H155" s="7">
        <f t="shared" si="12"/>
        <v>0</v>
      </c>
      <c r="I155" s="7">
        <f>IF(B155=Queue_Intervals!A2,MAX(0,MIN(D155,Queue_Intervals!C2)-MAX(C155+90,Queue_Intervals!B2)),0)+IF(B155=Queue_Intervals!A3,MAX(0,MIN(D155,Queue_Intervals!C3)-MAX(C155+90,Queue_Intervals!B3)),0)+IF(B155=Queue_Intervals!A4,MAX(0,MIN(D155,Queue_Intervals!C4)-MAX(C155+90,Queue_Intervals!B4)),0)+IF(B155=Queue_Intervals!A5,MAX(0,MIN(D155,Queue_Intervals!C5)-MAX(C155+90,Queue_Intervals!B5)),0)</f>
        <v>0</v>
      </c>
      <c r="J155" s="7">
        <f t="shared" si="13"/>
        <v>0</v>
      </c>
      <c r="K155" s="7">
        <f>IF(B155=Queue_Intervals!A2,MAX(0,MIN(D155,Queue_Intervals!C2)-MAX(C155+120,Queue_Intervals!B2)),0)+IF(B155=Queue_Intervals!A3,MAX(0,MIN(D155,Queue_Intervals!C3)-MAX(C155+120,Queue_Intervals!B3)),0)+IF(B155=Queue_Intervals!A4,MAX(0,MIN(D155,Queue_Intervals!C4)-MAX(C155+120,Queue_Intervals!B4)),0)+IF(B155=Queue_Intervals!A5,MAX(0,MIN(D155,Queue_Intervals!C5)-MAX(C155+120,Queue_Intervals!B5)),0)</f>
        <v>0</v>
      </c>
      <c r="L155" s="7">
        <f t="shared" si="14"/>
        <v>0</v>
      </c>
      <c r="M155" s="7">
        <f>IF(B155=Queue_Intervals!A2,MAX(0,MIN(D155,Queue_Intervals!C2)-MAX(C155+150,Queue_Intervals!B2)),0)+IF(B155=Queue_Intervals!A3,MAX(0,MIN(D155,Queue_Intervals!C3)-MAX(C155+150,Queue_Intervals!B3)),0)+IF(B155=Queue_Intervals!A4,MAX(0,MIN(D155,Queue_Intervals!C4)-MAX(C155+150,Queue_Intervals!B4)),0)+IF(B155=Queue_Intervals!A5,MAX(0,MIN(D155,Queue_Intervals!C5)-MAX(C155+150,Queue_Intervals!B5)),0)</f>
        <v>0</v>
      </c>
    </row>
    <row r="156" spans="1:13" ht="24.95" customHeight="1">
      <c r="A156" s="7" t="s">
        <v>236</v>
      </c>
      <c r="B156" s="8" t="s">
        <v>210</v>
      </c>
      <c r="C156" s="8">
        <v>611</v>
      </c>
      <c r="D156" s="8">
        <v>643</v>
      </c>
      <c r="E156" s="8" t="s">
        <v>79</v>
      </c>
      <c r="F156" s="8">
        <v>32</v>
      </c>
      <c r="G156" s="8">
        <v>0</v>
      </c>
      <c r="H156" s="7">
        <f t="shared" si="12"/>
        <v>0</v>
      </c>
      <c r="I156" s="7">
        <f>IF(B156=Queue_Intervals!A2,MAX(0,MIN(D156,Queue_Intervals!C2)-MAX(C156+90,Queue_Intervals!B2)),0)+IF(B156=Queue_Intervals!A3,MAX(0,MIN(D156,Queue_Intervals!C3)-MAX(C156+90,Queue_Intervals!B3)),0)+IF(B156=Queue_Intervals!A4,MAX(0,MIN(D156,Queue_Intervals!C4)-MAX(C156+90,Queue_Intervals!B4)),0)+IF(B156=Queue_Intervals!A5,MAX(0,MIN(D156,Queue_Intervals!C5)-MAX(C156+90,Queue_Intervals!B5)),0)</f>
        <v>0</v>
      </c>
      <c r="J156" s="7">
        <f t="shared" si="13"/>
        <v>0</v>
      </c>
      <c r="K156" s="7">
        <f>IF(B156=Queue_Intervals!A2,MAX(0,MIN(D156,Queue_Intervals!C2)-MAX(C156+120,Queue_Intervals!B2)),0)+IF(B156=Queue_Intervals!A3,MAX(0,MIN(D156,Queue_Intervals!C3)-MAX(C156+120,Queue_Intervals!B3)),0)+IF(B156=Queue_Intervals!A4,MAX(0,MIN(D156,Queue_Intervals!C4)-MAX(C156+120,Queue_Intervals!B4)),0)+IF(B156=Queue_Intervals!A5,MAX(0,MIN(D156,Queue_Intervals!C5)-MAX(C156+120,Queue_Intervals!B5)),0)</f>
        <v>0</v>
      </c>
      <c r="L156" s="7">
        <f t="shared" si="14"/>
        <v>0</v>
      </c>
      <c r="M156" s="7">
        <f>IF(B156=Queue_Intervals!A2,MAX(0,MIN(D156,Queue_Intervals!C2)-MAX(C156+150,Queue_Intervals!B2)),0)+IF(B156=Queue_Intervals!A3,MAX(0,MIN(D156,Queue_Intervals!C3)-MAX(C156+150,Queue_Intervals!B3)),0)+IF(B156=Queue_Intervals!A4,MAX(0,MIN(D156,Queue_Intervals!C4)-MAX(C156+150,Queue_Intervals!B4)),0)+IF(B156=Queue_Intervals!A5,MAX(0,MIN(D156,Queue_Intervals!C5)-MAX(C156+150,Queue_Intervals!B5)),0)</f>
        <v>0</v>
      </c>
    </row>
    <row r="157" spans="1:13" ht="24.95" customHeight="1">
      <c r="A157" s="7" t="s">
        <v>237</v>
      </c>
      <c r="B157" s="8" t="s">
        <v>210</v>
      </c>
      <c r="C157" s="8">
        <v>620</v>
      </c>
      <c r="D157" s="8">
        <v>735</v>
      </c>
      <c r="E157" s="8" t="s">
        <v>79</v>
      </c>
      <c r="F157" s="8">
        <v>115</v>
      </c>
      <c r="G157" s="8">
        <v>0</v>
      </c>
      <c r="H157" s="7">
        <f t="shared" si="12"/>
        <v>25</v>
      </c>
      <c r="I157" s="7">
        <f>IF(B157=Queue_Intervals!A2,MAX(0,MIN(D157,Queue_Intervals!C2)-MAX(C157+90,Queue_Intervals!B2)),0)+IF(B157=Queue_Intervals!A3,MAX(0,MIN(D157,Queue_Intervals!C3)-MAX(C157+90,Queue_Intervals!B3)),0)+IF(B157=Queue_Intervals!A4,MAX(0,MIN(D157,Queue_Intervals!C4)-MAX(C157+90,Queue_Intervals!B4)),0)+IF(B157=Queue_Intervals!A5,MAX(0,MIN(D157,Queue_Intervals!C5)-MAX(C157+90,Queue_Intervals!B5)),0)</f>
        <v>0</v>
      </c>
      <c r="J157" s="7">
        <f t="shared" si="13"/>
        <v>0</v>
      </c>
      <c r="K157" s="7">
        <f>IF(B157=Queue_Intervals!A2,MAX(0,MIN(D157,Queue_Intervals!C2)-MAX(C157+120,Queue_Intervals!B2)),0)+IF(B157=Queue_Intervals!A3,MAX(0,MIN(D157,Queue_Intervals!C3)-MAX(C157+120,Queue_Intervals!B3)),0)+IF(B157=Queue_Intervals!A4,MAX(0,MIN(D157,Queue_Intervals!C4)-MAX(C157+120,Queue_Intervals!B4)),0)+IF(B157=Queue_Intervals!A5,MAX(0,MIN(D157,Queue_Intervals!C5)-MAX(C157+120,Queue_Intervals!B5)),0)</f>
        <v>0</v>
      </c>
      <c r="L157" s="7">
        <f t="shared" si="14"/>
        <v>0</v>
      </c>
      <c r="M157" s="7">
        <f>IF(B157=Queue_Intervals!A2,MAX(0,MIN(D157,Queue_Intervals!C2)-MAX(C157+150,Queue_Intervals!B2)),0)+IF(B157=Queue_Intervals!A3,MAX(0,MIN(D157,Queue_Intervals!C3)-MAX(C157+150,Queue_Intervals!B3)),0)+IF(B157=Queue_Intervals!A4,MAX(0,MIN(D157,Queue_Intervals!C4)-MAX(C157+150,Queue_Intervals!B4)),0)+IF(B157=Queue_Intervals!A5,MAX(0,MIN(D157,Queue_Intervals!C5)-MAX(C157+150,Queue_Intervals!B5)),0)</f>
        <v>0</v>
      </c>
    </row>
    <row r="158" spans="1:13" ht="24.95" customHeight="1">
      <c r="A158" s="7" t="s">
        <v>238</v>
      </c>
      <c r="B158" s="8" t="s">
        <v>210</v>
      </c>
      <c r="C158" s="8">
        <v>628</v>
      </c>
      <c r="D158" s="8">
        <v>668</v>
      </c>
      <c r="E158" s="8" t="s">
        <v>79</v>
      </c>
      <c r="F158" s="8">
        <v>40</v>
      </c>
      <c r="G158" s="8">
        <v>0</v>
      </c>
      <c r="H158" s="7">
        <f t="shared" si="12"/>
        <v>0</v>
      </c>
      <c r="I158" s="7">
        <f>IF(B158=Queue_Intervals!A2,MAX(0,MIN(D158,Queue_Intervals!C2)-MAX(C158+90,Queue_Intervals!B2)),0)+IF(B158=Queue_Intervals!A3,MAX(0,MIN(D158,Queue_Intervals!C3)-MAX(C158+90,Queue_Intervals!B3)),0)+IF(B158=Queue_Intervals!A4,MAX(0,MIN(D158,Queue_Intervals!C4)-MAX(C158+90,Queue_Intervals!B4)),0)+IF(B158=Queue_Intervals!A5,MAX(0,MIN(D158,Queue_Intervals!C5)-MAX(C158+90,Queue_Intervals!B5)),0)</f>
        <v>0</v>
      </c>
      <c r="J158" s="7">
        <f t="shared" si="13"/>
        <v>0</v>
      </c>
      <c r="K158" s="7">
        <f>IF(B158=Queue_Intervals!A2,MAX(0,MIN(D158,Queue_Intervals!C2)-MAX(C158+120,Queue_Intervals!B2)),0)+IF(B158=Queue_Intervals!A3,MAX(0,MIN(D158,Queue_Intervals!C3)-MAX(C158+120,Queue_Intervals!B3)),0)+IF(B158=Queue_Intervals!A4,MAX(0,MIN(D158,Queue_Intervals!C4)-MAX(C158+120,Queue_Intervals!B4)),0)+IF(B158=Queue_Intervals!A5,MAX(0,MIN(D158,Queue_Intervals!C5)-MAX(C158+120,Queue_Intervals!B5)),0)</f>
        <v>0</v>
      </c>
      <c r="L158" s="7">
        <f t="shared" si="14"/>
        <v>0</v>
      </c>
      <c r="M158" s="7">
        <f>IF(B158=Queue_Intervals!A2,MAX(0,MIN(D158,Queue_Intervals!C2)-MAX(C158+150,Queue_Intervals!B2)),0)+IF(B158=Queue_Intervals!A3,MAX(0,MIN(D158,Queue_Intervals!C3)-MAX(C158+150,Queue_Intervals!B3)),0)+IF(B158=Queue_Intervals!A4,MAX(0,MIN(D158,Queue_Intervals!C4)-MAX(C158+150,Queue_Intervals!B4)),0)+IF(B158=Queue_Intervals!A5,MAX(0,MIN(D158,Queue_Intervals!C5)-MAX(C158+150,Queue_Intervals!B5)),0)</f>
        <v>0</v>
      </c>
    </row>
    <row r="159" spans="1:13" ht="24.95" customHeight="1">
      <c r="A159" s="7" t="s">
        <v>239</v>
      </c>
      <c r="B159" s="8" t="s">
        <v>210</v>
      </c>
      <c r="C159" s="8">
        <v>637</v>
      </c>
      <c r="D159" s="8">
        <v>669</v>
      </c>
      <c r="E159" s="8" t="s">
        <v>79</v>
      </c>
      <c r="F159" s="8">
        <v>32</v>
      </c>
      <c r="G159" s="8">
        <v>0</v>
      </c>
      <c r="H159" s="7">
        <f t="shared" si="12"/>
        <v>0</v>
      </c>
      <c r="I159" s="7">
        <f>IF(B159=Queue_Intervals!A2,MAX(0,MIN(D159,Queue_Intervals!C2)-MAX(C159+90,Queue_Intervals!B2)),0)+IF(B159=Queue_Intervals!A3,MAX(0,MIN(D159,Queue_Intervals!C3)-MAX(C159+90,Queue_Intervals!B3)),0)+IF(B159=Queue_Intervals!A4,MAX(0,MIN(D159,Queue_Intervals!C4)-MAX(C159+90,Queue_Intervals!B4)),0)+IF(B159=Queue_Intervals!A5,MAX(0,MIN(D159,Queue_Intervals!C5)-MAX(C159+90,Queue_Intervals!B5)),0)</f>
        <v>0</v>
      </c>
      <c r="J159" s="7">
        <f t="shared" si="13"/>
        <v>0</v>
      </c>
      <c r="K159" s="7">
        <f>IF(B159=Queue_Intervals!A2,MAX(0,MIN(D159,Queue_Intervals!C2)-MAX(C159+120,Queue_Intervals!B2)),0)+IF(B159=Queue_Intervals!A3,MAX(0,MIN(D159,Queue_Intervals!C3)-MAX(C159+120,Queue_Intervals!B3)),0)+IF(B159=Queue_Intervals!A4,MAX(0,MIN(D159,Queue_Intervals!C4)-MAX(C159+120,Queue_Intervals!B4)),0)+IF(B159=Queue_Intervals!A5,MAX(0,MIN(D159,Queue_Intervals!C5)-MAX(C159+120,Queue_Intervals!B5)),0)</f>
        <v>0</v>
      </c>
      <c r="L159" s="7">
        <f t="shared" si="14"/>
        <v>0</v>
      </c>
      <c r="M159" s="7">
        <f>IF(B159=Queue_Intervals!A2,MAX(0,MIN(D159,Queue_Intervals!C2)-MAX(C159+150,Queue_Intervals!B2)),0)+IF(B159=Queue_Intervals!A3,MAX(0,MIN(D159,Queue_Intervals!C3)-MAX(C159+150,Queue_Intervals!B3)),0)+IF(B159=Queue_Intervals!A4,MAX(0,MIN(D159,Queue_Intervals!C4)-MAX(C159+150,Queue_Intervals!B4)),0)+IF(B159=Queue_Intervals!A5,MAX(0,MIN(D159,Queue_Intervals!C5)-MAX(C159+150,Queue_Intervals!B5)),0)</f>
        <v>0</v>
      </c>
    </row>
    <row r="160" spans="1:13" ht="24.95" customHeight="1">
      <c r="A160" s="7" t="s">
        <v>240</v>
      </c>
      <c r="B160" s="8" t="s">
        <v>210</v>
      </c>
      <c r="C160" s="8">
        <v>639</v>
      </c>
      <c r="D160" s="8">
        <v>731</v>
      </c>
      <c r="E160" s="8" t="s">
        <v>79</v>
      </c>
      <c r="F160" s="8">
        <v>92</v>
      </c>
      <c r="G160" s="8">
        <v>0</v>
      </c>
      <c r="H160" s="7">
        <f t="shared" si="12"/>
        <v>2</v>
      </c>
      <c r="I160" s="7">
        <f>IF(B160=Queue_Intervals!A2,MAX(0,MIN(D160,Queue_Intervals!C2)-MAX(C160+90,Queue_Intervals!B2)),0)+IF(B160=Queue_Intervals!A3,MAX(0,MIN(D160,Queue_Intervals!C3)-MAX(C160+90,Queue_Intervals!B3)),0)+IF(B160=Queue_Intervals!A4,MAX(0,MIN(D160,Queue_Intervals!C4)-MAX(C160+90,Queue_Intervals!B4)),0)+IF(B160=Queue_Intervals!A5,MAX(0,MIN(D160,Queue_Intervals!C5)-MAX(C160+90,Queue_Intervals!B5)),0)</f>
        <v>0</v>
      </c>
      <c r="J160" s="7">
        <f t="shared" si="13"/>
        <v>0</v>
      </c>
      <c r="K160" s="7">
        <f>IF(B160=Queue_Intervals!A2,MAX(0,MIN(D160,Queue_Intervals!C2)-MAX(C160+120,Queue_Intervals!B2)),0)+IF(B160=Queue_Intervals!A3,MAX(0,MIN(D160,Queue_Intervals!C3)-MAX(C160+120,Queue_Intervals!B3)),0)+IF(B160=Queue_Intervals!A4,MAX(0,MIN(D160,Queue_Intervals!C4)-MAX(C160+120,Queue_Intervals!B4)),0)+IF(B160=Queue_Intervals!A5,MAX(0,MIN(D160,Queue_Intervals!C5)-MAX(C160+120,Queue_Intervals!B5)),0)</f>
        <v>0</v>
      </c>
      <c r="L160" s="7">
        <f t="shared" si="14"/>
        <v>0</v>
      </c>
      <c r="M160" s="7">
        <f>IF(B160=Queue_Intervals!A2,MAX(0,MIN(D160,Queue_Intervals!C2)-MAX(C160+150,Queue_Intervals!B2)),0)+IF(B160=Queue_Intervals!A3,MAX(0,MIN(D160,Queue_Intervals!C3)-MAX(C160+150,Queue_Intervals!B3)),0)+IF(B160=Queue_Intervals!A4,MAX(0,MIN(D160,Queue_Intervals!C4)-MAX(C160+150,Queue_Intervals!B4)),0)+IF(B160=Queue_Intervals!A5,MAX(0,MIN(D160,Queue_Intervals!C5)-MAX(C160+150,Queue_Intervals!B5)),0)</f>
        <v>0</v>
      </c>
    </row>
    <row r="161" spans="1:13" ht="24.95" customHeight="1">
      <c r="A161" s="7" t="s">
        <v>241</v>
      </c>
      <c r="B161" s="8" t="s">
        <v>210</v>
      </c>
      <c r="C161" s="8">
        <v>644</v>
      </c>
      <c r="D161" s="8">
        <v>700</v>
      </c>
      <c r="E161" s="8" t="s">
        <v>79</v>
      </c>
      <c r="F161" s="8">
        <v>56</v>
      </c>
      <c r="G161" s="8">
        <v>0</v>
      </c>
      <c r="H161" s="7">
        <f t="shared" si="12"/>
        <v>0</v>
      </c>
      <c r="I161" s="7">
        <f>IF(B161=Queue_Intervals!A2,MAX(0,MIN(D161,Queue_Intervals!C2)-MAX(C161+90,Queue_Intervals!B2)),0)+IF(B161=Queue_Intervals!A3,MAX(0,MIN(D161,Queue_Intervals!C3)-MAX(C161+90,Queue_Intervals!B3)),0)+IF(B161=Queue_Intervals!A4,MAX(0,MIN(D161,Queue_Intervals!C4)-MAX(C161+90,Queue_Intervals!B4)),0)+IF(B161=Queue_Intervals!A5,MAX(0,MIN(D161,Queue_Intervals!C5)-MAX(C161+90,Queue_Intervals!B5)),0)</f>
        <v>0</v>
      </c>
      <c r="J161" s="7">
        <f t="shared" si="13"/>
        <v>0</v>
      </c>
      <c r="K161" s="7">
        <f>IF(B161=Queue_Intervals!A2,MAX(0,MIN(D161,Queue_Intervals!C2)-MAX(C161+120,Queue_Intervals!B2)),0)+IF(B161=Queue_Intervals!A3,MAX(0,MIN(D161,Queue_Intervals!C3)-MAX(C161+120,Queue_Intervals!B3)),0)+IF(B161=Queue_Intervals!A4,MAX(0,MIN(D161,Queue_Intervals!C4)-MAX(C161+120,Queue_Intervals!B4)),0)+IF(B161=Queue_Intervals!A5,MAX(0,MIN(D161,Queue_Intervals!C5)-MAX(C161+120,Queue_Intervals!B5)),0)</f>
        <v>0</v>
      </c>
      <c r="L161" s="7">
        <f t="shared" si="14"/>
        <v>0</v>
      </c>
      <c r="M161" s="7">
        <f>IF(B161=Queue_Intervals!A2,MAX(0,MIN(D161,Queue_Intervals!C2)-MAX(C161+150,Queue_Intervals!B2)),0)+IF(B161=Queue_Intervals!A3,MAX(0,MIN(D161,Queue_Intervals!C3)-MAX(C161+150,Queue_Intervals!B3)),0)+IF(B161=Queue_Intervals!A4,MAX(0,MIN(D161,Queue_Intervals!C4)-MAX(C161+150,Queue_Intervals!B4)),0)+IF(B161=Queue_Intervals!A5,MAX(0,MIN(D161,Queue_Intervals!C5)-MAX(C161+150,Queue_Intervals!B5)),0)</f>
        <v>0</v>
      </c>
    </row>
    <row r="162" spans="1:13" ht="24.95" customHeight="1">
      <c r="A162" s="7" t="s">
        <v>242</v>
      </c>
      <c r="B162" s="8" t="s">
        <v>210</v>
      </c>
      <c r="C162" s="8">
        <v>664</v>
      </c>
      <c r="D162" s="8">
        <v>722</v>
      </c>
      <c r="E162" s="8" t="s">
        <v>79</v>
      </c>
      <c r="F162" s="8">
        <v>58</v>
      </c>
      <c r="G162" s="8">
        <v>0</v>
      </c>
      <c r="H162" s="7">
        <f t="shared" ref="H162:H193" si="15">MAX(0,F162-90)</f>
        <v>0</v>
      </c>
      <c r="I162" s="7">
        <f>IF(B162=Queue_Intervals!A2,MAX(0,MIN(D162,Queue_Intervals!C2)-MAX(C162+90,Queue_Intervals!B2)),0)+IF(B162=Queue_Intervals!A3,MAX(0,MIN(D162,Queue_Intervals!C3)-MAX(C162+90,Queue_Intervals!B3)),0)+IF(B162=Queue_Intervals!A4,MAX(0,MIN(D162,Queue_Intervals!C4)-MAX(C162+90,Queue_Intervals!B4)),0)+IF(B162=Queue_Intervals!A5,MAX(0,MIN(D162,Queue_Intervals!C5)-MAX(C162+90,Queue_Intervals!B5)),0)</f>
        <v>0</v>
      </c>
      <c r="J162" s="7">
        <f t="shared" ref="J162:J193" si="16">MAX(0,F162-120)</f>
        <v>0</v>
      </c>
      <c r="K162" s="7">
        <f>IF(B162=Queue_Intervals!A2,MAX(0,MIN(D162,Queue_Intervals!C2)-MAX(C162+120,Queue_Intervals!B2)),0)+IF(B162=Queue_Intervals!A3,MAX(0,MIN(D162,Queue_Intervals!C3)-MAX(C162+120,Queue_Intervals!B3)),0)+IF(B162=Queue_Intervals!A4,MAX(0,MIN(D162,Queue_Intervals!C4)-MAX(C162+120,Queue_Intervals!B4)),0)+IF(B162=Queue_Intervals!A5,MAX(0,MIN(D162,Queue_Intervals!C5)-MAX(C162+120,Queue_Intervals!B5)),0)</f>
        <v>0</v>
      </c>
      <c r="L162" s="7">
        <f t="shared" ref="L162:L193" si="17">MAX(0,F162-150)</f>
        <v>0</v>
      </c>
      <c r="M162" s="7">
        <f>IF(B162=Queue_Intervals!A2,MAX(0,MIN(D162,Queue_Intervals!C2)-MAX(C162+150,Queue_Intervals!B2)),0)+IF(B162=Queue_Intervals!A3,MAX(0,MIN(D162,Queue_Intervals!C3)-MAX(C162+150,Queue_Intervals!B3)),0)+IF(B162=Queue_Intervals!A4,MAX(0,MIN(D162,Queue_Intervals!C4)-MAX(C162+150,Queue_Intervals!B4)),0)+IF(B162=Queue_Intervals!A5,MAX(0,MIN(D162,Queue_Intervals!C5)-MAX(C162+150,Queue_Intervals!B5)),0)</f>
        <v>0</v>
      </c>
    </row>
    <row r="163" spans="1:13" ht="24.95" customHeight="1">
      <c r="A163" s="7" t="s">
        <v>243</v>
      </c>
      <c r="B163" s="8" t="s">
        <v>210</v>
      </c>
      <c r="C163" s="8">
        <v>665</v>
      </c>
      <c r="D163" s="8">
        <v>685</v>
      </c>
      <c r="E163" s="8" t="s">
        <v>79</v>
      </c>
      <c r="F163" s="8">
        <v>20</v>
      </c>
      <c r="G163" s="8">
        <v>0</v>
      </c>
      <c r="H163" s="7">
        <f t="shared" si="15"/>
        <v>0</v>
      </c>
      <c r="I163" s="7">
        <f>IF(B163=Queue_Intervals!A2,MAX(0,MIN(D163,Queue_Intervals!C2)-MAX(C163+90,Queue_Intervals!B2)),0)+IF(B163=Queue_Intervals!A3,MAX(0,MIN(D163,Queue_Intervals!C3)-MAX(C163+90,Queue_Intervals!B3)),0)+IF(B163=Queue_Intervals!A4,MAX(0,MIN(D163,Queue_Intervals!C4)-MAX(C163+90,Queue_Intervals!B4)),0)+IF(B163=Queue_Intervals!A5,MAX(0,MIN(D163,Queue_Intervals!C5)-MAX(C163+90,Queue_Intervals!B5)),0)</f>
        <v>0</v>
      </c>
      <c r="J163" s="7">
        <f t="shared" si="16"/>
        <v>0</v>
      </c>
      <c r="K163" s="7">
        <f>IF(B163=Queue_Intervals!A2,MAX(0,MIN(D163,Queue_Intervals!C2)-MAX(C163+120,Queue_Intervals!B2)),0)+IF(B163=Queue_Intervals!A3,MAX(0,MIN(D163,Queue_Intervals!C3)-MAX(C163+120,Queue_Intervals!B3)),0)+IF(B163=Queue_Intervals!A4,MAX(0,MIN(D163,Queue_Intervals!C4)-MAX(C163+120,Queue_Intervals!B4)),0)+IF(B163=Queue_Intervals!A5,MAX(0,MIN(D163,Queue_Intervals!C5)-MAX(C163+120,Queue_Intervals!B5)),0)</f>
        <v>0</v>
      </c>
      <c r="L163" s="7">
        <f t="shared" si="17"/>
        <v>0</v>
      </c>
      <c r="M163" s="7">
        <f>IF(B163=Queue_Intervals!A2,MAX(0,MIN(D163,Queue_Intervals!C2)-MAX(C163+150,Queue_Intervals!B2)),0)+IF(B163=Queue_Intervals!A3,MAX(0,MIN(D163,Queue_Intervals!C3)-MAX(C163+150,Queue_Intervals!B3)),0)+IF(B163=Queue_Intervals!A4,MAX(0,MIN(D163,Queue_Intervals!C4)-MAX(C163+150,Queue_Intervals!B4)),0)+IF(B163=Queue_Intervals!A5,MAX(0,MIN(D163,Queue_Intervals!C5)-MAX(C163+150,Queue_Intervals!B5)),0)</f>
        <v>0</v>
      </c>
    </row>
    <row r="164" spans="1:13" ht="24.95" customHeight="1">
      <c r="A164" s="7" t="s">
        <v>244</v>
      </c>
      <c r="B164" s="8" t="s">
        <v>210</v>
      </c>
      <c r="C164" s="8">
        <v>681</v>
      </c>
      <c r="D164" s="8">
        <v>699</v>
      </c>
      <c r="E164" s="8" t="s">
        <v>79</v>
      </c>
      <c r="F164" s="8">
        <v>18</v>
      </c>
      <c r="G164" s="8">
        <v>0</v>
      </c>
      <c r="H164" s="7">
        <f t="shared" si="15"/>
        <v>0</v>
      </c>
      <c r="I164" s="7">
        <f>IF(B164=Queue_Intervals!A2,MAX(0,MIN(D164,Queue_Intervals!C2)-MAX(C164+90,Queue_Intervals!B2)),0)+IF(B164=Queue_Intervals!A3,MAX(0,MIN(D164,Queue_Intervals!C3)-MAX(C164+90,Queue_Intervals!B3)),0)+IF(B164=Queue_Intervals!A4,MAX(0,MIN(D164,Queue_Intervals!C4)-MAX(C164+90,Queue_Intervals!B4)),0)+IF(B164=Queue_Intervals!A5,MAX(0,MIN(D164,Queue_Intervals!C5)-MAX(C164+90,Queue_Intervals!B5)),0)</f>
        <v>0</v>
      </c>
      <c r="J164" s="7">
        <f t="shared" si="16"/>
        <v>0</v>
      </c>
      <c r="K164" s="7">
        <f>IF(B164=Queue_Intervals!A2,MAX(0,MIN(D164,Queue_Intervals!C2)-MAX(C164+120,Queue_Intervals!B2)),0)+IF(B164=Queue_Intervals!A3,MAX(0,MIN(D164,Queue_Intervals!C3)-MAX(C164+120,Queue_Intervals!B3)),0)+IF(B164=Queue_Intervals!A4,MAX(0,MIN(D164,Queue_Intervals!C4)-MAX(C164+120,Queue_Intervals!B4)),0)+IF(B164=Queue_Intervals!A5,MAX(0,MIN(D164,Queue_Intervals!C5)-MAX(C164+120,Queue_Intervals!B5)),0)</f>
        <v>0</v>
      </c>
      <c r="L164" s="7">
        <f t="shared" si="17"/>
        <v>0</v>
      </c>
      <c r="M164" s="7">
        <f>IF(B164=Queue_Intervals!A2,MAX(0,MIN(D164,Queue_Intervals!C2)-MAX(C164+150,Queue_Intervals!B2)),0)+IF(B164=Queue_Intervals!A3,MAX(0,MIN(D164,Queue_Intervals!C3)-MAX(C164+150,Queue_Intervals!B3)),0)+IF(B164=Queue_Intervals!A4,MAX(0,MIN(D164,Queue_Intervals!C4)-MAX(C164+150,Queue_Intervals!B4)),0)+IF(B164=Queue_Intervals!A5,MAX(0,MIN(D164,Queue_Intervals!C5)-MAX(C164+150,Queue_Intervals!B5)),0)</f>
        <v>0</v>
      </c>
    </row>
    <row r="165" spans="1:13" ht="24.95" customHeight="1">
      <c r="A165" s="7" t="s">
        <v>245</v>
      </c>
      <c r="B165" s="8" t="s">
        <v>210</v>
      </c>
      <c r="C165" s="8">
        <v>683</v>
      </c>
      <c r="D165" s="8">
        <v>722</v>
      </c>
      <c r="E165" s="8" t="s">
        <v>79</v>
      </c>
      <c r="F165" s="8">
        <v>39</v>
      </c>
      <c r="G165" s="8">
        <v>0</v>
      </c>
      <c r="H165" s="7">
        <f t="shared" si="15"/>
        <v>0</v>
      </c>
      <c r="I165" s="7">
        <f>IF(B165=Queue_Intervals!A2,MAX(0,MIN(D165,Queue_Intervals!C2)-MAX(C165+90,Queue_Intervals!B2)),0)+IF(B165=Queue_Intervals!A3,MAX(0,MIN(D165,Queue_Intervals!C3)-MAX(C165+90,Queue_Intervals!B3)),0)+IF(B165=Queue_Intervals!A4,MAX(0,MIN(D165,Queue_Intervals!C4)-MAX(C165+90,Queue_Intervals!B4)),0)+IF(B165=Queue_Intervals!A5,MAX(0,MIN(D165,Queue_Intervals!C5)-MAX(C165+90,Queue_Intervals!B5)),0)</f>
        <v>0</v>
      </c>
      <c r="J165" s="7">
        <f t="shared" si="16"/>
        <v>0</v>
      </c>
      <c r="K165" s="7">
        <f>IF(B165=Queue_Intervals!A2,MAX(0,MIN(D165,Queue_Intervals!C2)-MAX(C165+120,Queue_Intervals!B2)),0)+IF(B165=Queue_Intervals!A3,MAX(0,MIN(D165,Queue_Intervals!C3)-MAX(C165+120,Queue_Intervals!B3)),0)+IF(B165=Queue_Intervals!A4,MAX(0,MIN(D165,Queue_Intervals!C4)-MAX(C165+120,Queue_Intervals!B4)),0)+IF(B165=Queue_Intervals!A5,MAX(0,MIN(D165,Queue_Intervals!C5)-MAX(C165+120,Queue_Intervals!B5)),0)</f>
        <v>0</v>
      </c>
      <c r="L165" s="7">
        <f t="shared" si="17"/>
        <v>0</v>
      </c>
      <c r="M165" s="7">
        <f>IF(B165=Queue_Intervals!A2,MAX(0,MIN(D165,Queue_Intervals!C2)-MAX(C165+150,Queue_Intervals!B2)),0)+IF(B165=Queue_Intervals!A3,MAX(0,MIN(D165,Queue_Intervals!C3)-MAX(C165+150,Queue_Intervals!B3)),0)+IF(B165=Queue_Intervals!A4,MAX(0,MIN(D165,Queue_Intervals!C4)-MAX(C165+150,Queue_Intervals!B4)),0)+IF(B165=Queue_Intervals!A5,MAX(0,MIN(D165,Queue_Intervals!C5)-MAX(C165+150,Queue_Intervals!B5)),0)</f>
        <v>0</v>
      </c>
    </row>
    <row r="166" spans="1:13" ht="24.95" customHeight="1">
      <c r="A166" s="7" t="s">
        <v>246</v>
      </c>
      <c r="B166" s="8" t="s">
        <v>247</v>
      </c>
      <c r="C166" s="8">
        <v>386</v>
      </c>
      <c r="D166" s="8">
        <v>522</v>
      </c>
      <c r="E166" s="8" t="s">
        <v>79</v>
      </c>
      <c r="F166" s="8">
        <v>136</v>
      </c>
      <c r="G166" s="8">
        <v>0</v>
      </c>
      <c r="H166" s="7">
        <f t="shared" si="15"/>
        <v>46</v>
      </c>
      <c r="I166" s="7">
        <f>IF(B166=Queue_Intervals!A2,MAX(0,MIN(D166,Queue_Intervals!C2)-MAX(C166+90,Queue_Intervals!B2)),0)+IF(B166=Queue_Intervals!A3,MAX(0,MIN(D166,Queue_Intervals!C3)-MAX(C166+90,Queue_Intervals!B3)),0)+IF(B166=Queue_Intervals!A4,MAX(0,MIN(D166,Queue_Intervals!C4)-MAX(C166+90,Queue_Intervals!B4)),0)+IF(B166=Queue_Intervals!A5,MAX(0,MIN(D166,Queue_Intervals!C5)-MAX(C166+90,Queue_Intervals!B5)),0)</f>
        <v>0</v>
      </c>
      <c r="J166" s="7">
        <f t="shared" si="16"/>
        <v>16</v>
      </c>
      <c r="K166" s="7">
        <f>IF(B166=Queue_Intervals!A2,MAX(0,MIN(D166,Queue_Intervals!C2)-MAX(C166+120,Queue_Intervals!B2)),0)+IF(B166=Queue_Intervals!A3,MAX(0,MIN(D166,Queue_Intervals!C3)-MAX(C166+120,Queue_Intervals!B3)),0)+IF(B166=Queue_Intervals!A4,MAX(0,MIN(D166,Queue_Intervals!C4)-MAX(C166+120,Queue_Intervals!B4)),0)+IF(B166=Queue_Intervals!A5,MAX(0,MIN(D166,Queue_Intervals!C5)-MAX(C166+120,Queue_Intervals!B5)),0)</f>
        <v>0</v>
      </c>
      <c r="L166" s="7">
        <f t="shared" si="17"/>
        <v>0</v>
      </c>
      <c r="M166" s="7">
        <f>IF(B166=Queue_Intervals!A2,MAX(0,MIN(D166,Queue_Intervals!C2)-MAX(C166+150,Queue_Intervals!B2)),0)+IF(B166=Queue_Intervals!A3,MAX(0,MIN(D166,Queue_Intervals!C3)-MAX(C166+150,Queue_Intervals!B3)),0)+IF(B166=Queue_Intervals!A4,MAX(0,MIN(D166,Queue_Intervals!C4)-MAX(C166+150,Queue_Intervals!B4)),0)+IF(B166=Queue_Intervals!A5,MAX(0,MIN(D166,Queue_Intervals!C5)-MAX(C166+150,Queue_Intervals!B5)),0)</f>
        <v>0</v>
      </c>
    </row>
    <row r="167" spans="1:13" ht="24.95" customHeight="1">
      <c r="A167" s="7" t="s">
        <v>248</v>
      </c>
      <c r="B167" s="8" t="s">
        <v>247</v>
      </c>
      <c r="C167" s="8">
        <v>404</v>
      </c>
      <c r="D167" s="8">
        <v>464</v>
      </c>
      <c r="E167" s="8" t="s">
        <v>79</v>
      </c>
      <c r="F167" s="8">
        <v>60</v>
      </c>
      <c r="G167" s="8">
        <v>0</v>
      </c>
      <c r="H167" s="7">
        <f t="shared" si="15"/>
        <v>0</v>
      </c>
      <c r="I167" s="7">
        <f>IF(B167=Queue_Intervals!A2,MAX(0,MIN(D167,Queue_Intervals!C2)-MAX(C167+90,Queue_Intervals!B2)),0)+IF(B167=Queue_Intervals!A3,MAX(0,MIN(D167,Queue_Intervals!C3)-MAX(C167+90,Queue_Intervals!B3)),0)+IF(B167=Queue_Intervals!A4,MAX(0,MIN(D167,Queue_Intervals!C4)-MAX(C167+90,Queue_Intervals!B4)),0)+IF(B167=Queue_Intervals!A5,MAX(0,MIN(D167,Queue_Intervals!C5)-MAX(C167+90,Queue_Intervals!B5)),0)</f>
        <v>0</v>
      </c>
      <c r="J167" s="7">
        <f t="shared" si="16"/>
        <v>0</v>
      </c>
      <c r="K167" s="7">
        <f>IF(B167=Queue_Intervals!A2,MAX(0,MIN(D167,Queue_Intervals!C2)-MAX(C167+120,Queue_Intervals!B2)),0)+IF(B167=Queue_Intervals!A3,MAX(0,MIN(D167,Queue_Intervals!C3)-MAX(C167+120,Queue_Intervals!B3)),0)+IF(B167=Queue_Intervals!A4,MAX(0,MIN(D167,Queue_Intervals!C4)-MAX(C167+120,Queue_Intervals!B4)),0)+IF(B167=Queue_Intervals!A5,MAX(0,MIN(D167,Queue_Intervals!C5)-MAX(C167+120,Queue_Intervals!B5)),0)</f>
        <v>0</v>
      </c>
      <c r="L167" s="7">
        <f t="shared" si="17"/>
        <v>0</v>
      </c>
      <c r="M167" s="7">
        <f>IF(B167=Queue_Intervals!A2,MAX(0,MIN(D167,Queue_Intervals!C2)-MAX(C167+150,Queue_Intervals!B2)),0)+IF(B167=Queue_Intervals!A3,MAX(0,MIN(D167,Queue_Intervals!C3)-MAX(C167+150,Queue_Intervals!B3)),0)+IF(B167=Queue_Intervals!A4,MAX(0,MIN(D167,Queue_Intervals!C4)-MAX(C167+150,Queue_Intervals!B4)),0)+IF(B167=Queue_Intervals!A5,MAX(0,MIN(D167,Queue_Intervals!C5)-MAX(C167+150,Queue_Intervals!B5)),0)</f>
        <v>0</v>
      </c>
    </row>
    <row r="168" spans="1:13" ht="24.95" customHeight="1">
      <c r="A168" s="7" t="s">
        <v>249</v>
      </c>
      <c r="B168" s="8" t="s">
        <v>247</v>
      </c>
      <c r="C168" s="8">
        <v>418</v>
      </c>
      <c r="D168" s="8">
        <v>526</v>
      </c>
      <c r="E168" s="8" t="s">
        <v>79</v>
      </c>
      <c r="F168" s="8">
        <v>108</v>
      </c>
      <c r="G168" s="8">
        <v>0</v>
      </c>
      <c r="H168" s="7">
        <f t="shared" si="15"/>
        <v>18</v>
      </c>
      <c r="I168" s="7">
        <f>IF(B168=Queue_Intervals!A2,MAX(0,MIN(D168,Queue_Intervals!C2)-MAX(C168+90,Queue_Intervals!B2)),0)+IF(B168=Queue_Intervals!A3,MAX(0,MIN(D168,Queue_Intervals!C3)-MAX(C168+90,Queue_Intervals!B3)),0)+IF(B168=Queue_Intervals!A4,MAX(0,MIN(D168,Queue_Intervals!C4)-MAX(C168+90,Queue_Intervals!B4)),0)+IF(B168=Queue_Intervals!A5,MAX(0,MIN(D168,Queue_Intervals!C5)-MAX(C168+90,Queue_Intervals!B5)),0)</f>
        <v>0</v>
      </c>
      <c r="J168" s="7">
        <f t="shared" si="16"/>
        <v>0</v>
      </c>
      <c r="K168" s="7">
        <f>IF(B168=Queue_Intervals!A2,MAX(0,MIN(D168,Queue_Intervals!C2)-MAX(C168+120,Queue_Intervals!B2)),0)+IF(B168=Queue_Intervals!A3,MAX(0,MIN(D168,Queue_Intervals!C3)-MAX(C168+120,Queue_Intervals!B3)),0)+IF(B168=Queue_Intervals!A4,MAX(0,MIN(D168,Queue_Intervals!C4)-MAX(C168+120,Queue_Intervals!B4)),0)+IF(B168=Queue_Intervals!A5,MAX(0,MIN(D168,Queue_Intervals!C5)-MAX(C168+120,Queue_Intervals!B5)),0)</f>
        <v>0</v>
      </c>
      <c r="L168" s="7">
        <f t="shared" si="17"/>
        <v>0</v>
      </c>
      <c r="M168" s="7">
        <f>IF(B168=Queue_Intervals!A2,MAX(0,MIN(D168,Queue_Intervals!C2)-MAX(C168+150,Queue_Intervals!B2)),0)+IF(B168=Queue_Intervals!A3,MAX(0,MIN(D168,Queue_Intervals!C3)-MAX(C168+150,Queue_Intervals!B3)),0)+IF(B168=Queue_Intervals!A4,MAX(0,MIN(D168,Queue_Intervals!C4)-MAX(C168+150,Queue_Intervals!B4)),0)+IF(B168=Queue_Intervals!A5,MAX(0,MIN(D168,Queue_Intervals!C5)-MAX(C168+150,Queue_Intervals!B5)),0)</f>
        <v>0</v>
      </c>
    </row>
    <row r="169" spans="1:13" ht="24.95" customHeight="1">
      <c r="A169" s="7" t="s">
        <v>250</v>
      </c>
      <c r="B169" s="8" t="s">
        <v>247</v>
      </c>
      <c r="C169" s="8">
        <v>475</v>
      </c>
      <c r="D169" s="8">
        <v>561</v>
      </c>
      <c r="E169" s="8" t="s">
        <v>79</v>
      </c>
      <c r="F169" s="8">
        <v>86</v>
      </c>
      <c r="G169" s="8">
        <v>0</v>
      </c>
      <c r="H169" s="7">
        <f t="shared" si="15"/>
        <v>0</v>
      </c>
      <c r="I169" s="7">
        <f>IF(B169=Queue_Intervals!A2,MAX(0,MIN(D169,Queue_Intervals!C2)-MAX(C169+90,Queue_Intervals!B2)),0)+IF(B169=Queue_Intervals!A3,MAX(0,MIN(D169,Queue_Intervals!C3)-MAX(C169+90,Queue_Intervals!B3)),0)+IF(B169=Queue_Intervals!A4,MAX(0,MIN(D169,Queue_Intervals!C4)-MAX(C169+90,Queue_Intervals!B4)),0)+IF(B169=Queue_Intervals!A5,MAX(0,MIN(D169,Queue_Intervals!C5)-MAX(C169+90,Queue_Intervals!B5)),0)</f>
        <v>0</v>
      </c>
      <c r="J169" s="7">
        <f t="shared" si="16"/>
        <v>0</v>
      </c>
      <c r="K169" s="7">
        <f>IF(B169=Queue_Intervals!A2,MAX(0,MIN(D169,Queue_Intervals!C2)-MAX(C169+120,Queue_Intervals!B2)),0)+IF(B169=Queue_Intervals!A3,MAX(0,MIN(D169,Queue_Intervals!C3)-MAX(C169+120,Queue_Intervals!B3)),0)+IF(B169=Queue_Intervals!A4,MAX(0,MIN(D169,Queue_Intervals!C4)-MAX(C169+120,Queue_Intervals!B4)),0)+IF(B169=Queue_Intervals!A5,MAX(0,MIN(D169,Queue_Intervals!C5)-MAX(C169+120,Queue_Intervals!B5)),0)</f>
        <v>0</v>
      </c>
      <c r="L169" s="7">
        <f t="shared" si="17"/>
        <v>0</v>
      </c>
      <c r="M169" s="7">
        <f>IF(B169=Queue_Intervals!A2,MAX(0,MIN(D169,Queue_Intervals!C2)-MAX(C169+150,Queue_Intervals!B2)),0)+IF(B169=Queue_Intervals!A3,MAX(0,MIN(D169,Queue_Intervals!C3)-MAX(C169+150,Queue_Intervals!B3)),0)+IF(B169=Queue_Intervals!A4,MAX(0,MIN(D169,Queue_Intervals!C4)-MAX(C169+150,Queue_Intervals!B4)),0)+IF(B169=Queue_Intervals!A5,MAX(0,MIN(D169,Queue_Intervals!C5)-MAX(C169+150,Queue_Intervals!B5)),0)</f>
        <v>0</v>
      </c>
    </row>
    <row r="170" spans="1:13" ht="24.95" customHeight="1">
      <c r="A170" s="7" t="s">
        <v>251</v>
      </c>
      <c r="B170" s="8" t="s">
        <v>247</v>
      </c>
      <c r="C170" s="8">
        <v>478</v>
      </c>
      <c r="D170" s="8">
        <v>539</v>
      </c>
      <c r="E170" s="8" t="s">
        <v>79</v>
      </c>
      <c r="F170" s="8">
        <v>61</v>
      </c>
      <c r="G170" s="8">
        <v>0</v>
      </c>
      <c r="H170" s="7">
        <f t="shared" si="15"/>
        <v>0</v>
      </c>
      <c r="I170" s="7">
        <f>IF(B170=Queue_Intervals!A2,MAX(0,MIN(D170,Queue_Intervals!C2)-MAX(C170+90,Queue_Intervals!B2)),0)+IF(B170=Queue_Intervals!A3,MAX(0,MIN(D170,Queue_Intervals!C3)-MAX(C170+90,Queue_Intervals!B3)),0)+IF(B170=Queue_Intervals!A4,MAX(0,MIN(D170,Queue_Intervals!C4)-MAX(C170+90,Queue_Intervals!B4)),0)+IF(B170=Queue_Intervals!A5,MAX(0,MIN(D170,Queue_Intervals!C5)-MAX(C170+90,Queue_Intervals!B5)),0)</f>
        <v>0</v>
      </c>
      <c r="J170" s="7">
        <f t="shared" si="16"/>
        <v>0</v>
      </c>
      <c r="K170" s="7">
        <f>IF(B170=Queue_Intervals!A2,MAX(0,MIN(D170,Queue_Intervals!C2)-MAX(C170+120,Queue_Intervals!B2)),0)+IF(B170=Queue_Intervals!A3,MAX(0,MIN(D170,Queue_Intervals!C3)-MAX(C170+120,Queue_Intervals!B3)),0)+IF(B170=Queue_Intervals!A4,MAX(0,MIN(D170,Queue_Intervals!C4)-MAX(C170+120,Queue_Intervals!B4)),0)+IF(B170=Queue_Intervals!A5,MAX(0,MIN(D170,Queue_Intervals!C5)-MAX(C170+120,Queue_Intervals!B5)),0)</f>
        <v>0</v>
      </c>
      <c r="L170" s="7">
        <f t="shared" si="17"/>
        <v>0</v>
      </c>
      <c r="M170" s="7">
        <f>IF(B170=Queue_Intervals!A2,MAX(0,MIN(D170,Queue_Intervals!C2)-MAX(C170+150,Queue_Intervals!B2)),0)+IF(B170=Queue_Intervals!A3,MAX(0,MIN(D170,Queue_Intervals!C3)-MAX(C170+150,Queue_Intervals!B3)),0)+IF(B170=Queue_Intervals!A4,MAX(0,MIN(D170,Queue_Intervals!C4)-MAX(C170+150,Queue_Intervals!B4)),0)+IF(B170=Queue_Intervals!A5,MAX(0,MIN(D170,Queue_Intervals!C5)-MAX(C170+150,Queue_Intervals!B5)),0)</f>
        <v>0</v>
      </c>
    </row>
    <row r="171" spans="1:13" ht="24.95" customHeight="1">
      <c r="A171" s="7" t="s">
        <v>252</v>
      </c>
      <c r="B171" s="8" t="s">
        <v>247</v>
      </c>
      <c r="C171" s="8">
        <v>483</v>
      </c>
      <c r="D171" s="8">
        <v>515</v>
      </c>
      <c r="E171" s="8" t="s">
        <v>79</v>
      </c>
      <c r="F171" s="8">
        <v>32</v>
      </c>
      <c r="G171" s="8">
        <v>0</v>
      </c>
      <c r="H171" s="7">
        <f t="shared" si="15"/>
        <v>0</v>
      </c>
      <c r="I171" s="7">
        <f>IF(B171=Queue_Intervals!A2,MAX(0,MIN(D171,Queue_Intervals!C2)-MAX(C171+90,Queue_Intervals!B2)),0)+IF(B171=Queue_Intervals!A3,MAX(0,MIN(D171,Queue_Intervals!C3)-MAX(C171+90,Queue_Intervals!B3)),0)+IF(B171=Queue_Intervals!A4,MAX(0,MIN(D171,Queue_Intervals!C4)-MAX(C171+90,Queue_Intervals!B4)),0)+IF(B171=Queue_Intervals!A5,MAX(0,MIN(D171,Queue_Intervals!C5)-MAX(C171+90,Queue_Intervals!B5)),0)</f>
        <v>0</v>
      </c>
      <c r="J171" s="7">
        <f t="shared" si="16"/>
        <v>0</v>
      </c>
      <c r="K171" s="7">
        <f>IF(B171=Queue_Intervals!A2,MAX(0,MIN(D171,Queue_Intervals!C2)-MAX(C171+120,Queue_Intervals!B2)),0)+IF(B171=Queue_Intervals!A3,MAX(0,MIN(D171,Queue_Intervals!C3)-MAX(C171+120,Queue_Intervals!B3)),0)+IF(B171=Queue_Intervals!A4,MAX(0,MIN(D171,Queue_Intervals!C4)-MAX(C171+120,Queue_Intervals!B4)),0)+IF(B171=Queue_Intervals!A5,MAX(0,MIN(D171,Queue_Intervals!C5)-MAX(C171+120,Queue_Intervals!B5)),0)</f>
        <v>0</v>
      </c>
      <c r="L171" s="7">
        <f t="shared" si="17"/>
        <v>0</v>
      </c>
      <c r="M171" s="7">
        <f>IF(B171=Queue_Intervals!A2,MAX(0,MIN(D171,Queue_Intervals!C2)-MAX(C171+150,Queue_Intervals!B2)),0)+IF(B171=Queue_Intervals!A3,MAX(0,MIN(D171,Queue_Intervals!C3)-MAX(C171+150,Queue_Intervals!B3)),0)+IF(B171=Queue_Intervals!A4,MAX(0,MIN(D171,Queue_Intervals!C4)-MAX(C171+150,Queue_Intervals!B4)),0)+IF(B171=Queue_Intervals!A5,MAX(0,MIN(D171,Queue_Intervals!C5)-MAX(C171+150,Queue_Intervals!B5)),0)</f>
        <v>0</v>
      </c>
    </row>
    <row r="172" spans="1:13" ht="24.95" customHeight="1">
      <c r="A172" s="7" t="s">
        <v>253</v>
      </c>
      <c r="B172" s="8" t="s">
        <v>247</v>
      </c>
      <c r="C172" s="8">
        <v>495</v>
      </c>
      <c r="D172" s="8">
        <v>540</v>
      </c>
      <c r="E172" s="8" t="s">
        <v>79</v>
      </c>
      <c r="F172" s="8">
        <v>45</v>
      </c>
      <c r="G172" s="8">
        <v>0</v>
      </c>
      <c r="H172" s="7">
        <f t="shared" si="15"/>
        <v>0</v>
      </c>
      <c r="I172" s="7">
        <f>IF(B172=Queue_Intervals!A2,MAX(0,MIN(D172,Queue_Intervals!C2)-MAX(C172+90,Queue_Intervals!B2)),0)+IF(B172=Queue_Intervals!A3,MAX(0,MIN(D172,Queue_Intervals!C3)-MAX(C172+90,Queue_Intervals!B3)),0)+IF(B172=Queue_Intervals!A4,MAX(0,MIN(D172,Queue_Intervals!C4)-MAX(C172+90,Queue_Intervals!B4)),0)+IF(B172=Queue_Intervals!A5,MAX(0,MIN(D172,Queue_Intervals!C5)-MAX(C172+90,Queue_Intervals!B5)),0)</f>
        <v>0</v>
      </c>
      <c r="J172" s="7">
        <f t="shared" si="16"/>
        <v>0</v>
      </c>
      <c r="K172" s="7">
        <f>IF(B172=Queue_Intervals!A2,MAX(0,MIN(D172,Queue_Intervals!C2)-MAX(C172+120,Queue_Intervals!B2)),0)+IF(B172=Queue_Intervals!A3,MAX(0,MIN(D172,Queue_Intervals!C3)-MAX(C172+120,Queue_Intervals!B3)),0)+IF(B172=Queue_Intervals!A4,MAX(0,MIN(D172,Queue_Intervals!C4)-MAX(C172+120,Queue_Intervals!B4)),0)+IF(B172=Queue_Intervals!A5,MAX(0,MIN(D172,Queue_Intervals!C5)-MAX(C172+120,Queue_Intervals!B5)),0)</f>
        <v>0</v>
      </c>
      <c r="L172" s="7">
        <f t="shared" si="17"/>
        <v>0</v>
      </c>
      <c r="M172" s="7">
        <f>IF(B172=Queue_Intervals!A2,MAX(0,MIN(D172,Queue_Intervals!C2)-MAX(C172+150,Queue_Intervals!B2)),0)+IF(B172=Queue_Intervals!A3,MAX(0,MIN(D172,Queue_Intervals!C3)-MAX(C172+150,Queue_Intervals!B3)),0)+IF(B172=Queue_Intervals!A4,MAX(0,MIN(D172,Queue_Intervals!C4)-MAX(C172+150,Queue_Intervals!B4)),0)+IF(B172=Queue_Intervals!A5,MAX(0,MIN(D172,Queue_Intervals!C5)-MAX(C172+150,Queue_Intervals!B5)),0)</f>
        <v>0</v>
      </c>
    </row>
    <row r="173" spans="1:13" ht="24.95" customHeight="1">
      <c r="A173" s="7" t="s">
        <v>254</v>
      </c>
      <c r="B173" s="8" t="s">
        <v>247</v>
      </c>
      <c r="C173" s="8">
        <v>496</v>
      </c>
      <c r="D173" s="8">
        <v>594</v>
      </c>
      <c r="E173" s="8" t="s">
        <v>79</v>
      </c>
      <c r="F173" s="8">
        <v>98</v>
      </c>
      <c r="G173" s="8">
        <v>0</v>
      </c>
      <c r="H173" s="7">
        <f t="shared" si="15"/>
        <v>8</v>
      </c>
      <c r="I173" s="7">
        <f>IF(B173=Queue_Intervals!A2,MAX(0,MIN(D173,Queue_Intervals!C2)-MAX(C173+90,Queue_Intervals!B2)),0)+IF(B173=Queue_Intervals!A3,MAX(0,MIN(D173,Queue_Intervals!C3)-MAX(C173+90,Queue_Intervals!B3)),0)+IF(B173=Queue_Intervals!A4,MAX(0,MIN(D173,Queue_Intervals!C4)-MAX(C173+90,Queue_Intervals!B4)),0)+IF(B173=Queue_Intervals!A5,MAX(0,MIN(D173,Queue_Intervals!C5)-MAX(C173+90,Queue_Intervals!B5)),0)</f>
        <v>0</v>
      </c>
      <c r="J173" s="7">
        <f t="shared" si="16"/>
        <v>0</v>
      </c>
      <c r="K173" s="7">
        <f>IF(B173=Queue_Intervals!A2,MAX(0,MIN(D173,Queue_Intervals!C2)-MAX(C173+120,Queue_Intervals!B2)),0)+IF(B173=Queue_Intervals!A3,MAX(0,MIN(D173,Queue_Intervals!C3)-MAX(C173+120,Queue_Intervals!B3)),0)+IF(B173=Queue_Intervals!A4,MAX(0,MIN(D173,Queue_Intervals!C4)-MAX(C173+120,Queue_Intervals!B4)),0)+IF(B173=Queue_Intervals!A5,MAX(0,MIN(D173,Queue_Intervals!C5)-MAX(C173+120,Queue_Intervals!B5)),0)</f>
        <v>0</v>
      </c>
      <c r="L173" s="7">
        <f t="shared" si="17"/>
        <v>0</v>
      </c>
      <c r="M173" s="7">
        <f>IF(B173=Queue_Intervals!A2,MAX(0,MIN(D173,Queue_Intervals!C2)-MAX(C173+150,Queue_Intervals!B2)),0)+IF(B173=Queue_Intervals!A3,MAX(0,MIN(D173,Queue_Intervals!C3)-MAX(C173+150,Queue_Intervals!B3)),0)+IF(B173=Queue_Intervals!A4,MAX(0,MIN(D173,Queue_Intervals!C4)-MAX(C173+150,Queue_Intervals!B4)),0)+IF(B173=Queue_Intervals!A5,MAX(0,MIN(D173,Queue_Intervals!C5)-MAX(C173+150,Queue_Intervals!B5)),0)</f>
        <v>0</v>
      </c>
    </row>
    <row r="174" spans="1:13" ht="24.95" customHeight="1">
      <c r="A174" s="7" t="s">
        <v>255</v>
      </c>
      <c r="B174" s="8" t="s">
        <v>247</v>
      </c>
      <c r="C174" s="8">
        <v>498</v>
      </c>
      <c r="D174" s="8">
        <v>577</v>
      </c>
      <c r="E174" s="8" t="s">
        <v>79</v>
      </c>
      <c r="F174" s="8">
        <v>79</v>
      </c>
      <c r="G174" s="8">
        <v>0</v>
      </c>
      <c r="H174" s="7">
        <f t="shared" si="15"/>
        <v>0</v>
      </c>
      <c r="I174" s="7">
        <f>IF(B174=Queue_Intervals!A2,MAX(0,MIN(D174,Queue_Intervals!C2)-MAX(C174+90,Queue_Intervals!B2)),0)+IF(B174=Queue_Intervals!A3,MAX(0,MIN(D174,Queue_Intervals!C3)-MAX(C174+90,Queue_Intervals!B3)),0)+IF(B174=Queue_Intervals!A4,MAX(0,MIN(D174,Queue_Intervals!C4)-MAX(C174+90,Queue_Intervals!B4)),0)+IF(B174=Queue_Intervals!A5,MAX(0,MIN(D174,Queue_Intervals!C5)-MAX(C174+90,Queue_Intervals!B5)),0)</f>
        <v>0</v>
      </c>
      <c r="J174" s="7">
        <f t="shared" si="16"/>
        <v>0</v>
      </c>
      <c r="K174" s="7">
        <f>IF(B174=Queue_Intervals!A2,MAX(0,MIN(D174,Queue_Intervals!C2)-MAX(C174+120,Queue_Intervals!B2)),0)+IF(B174=Queue_Intervals!A3,MAX(0,MIN(D174,Queue_Intervals!C3)-MAX(C174+120,Queue_Intervals!B3)),0)+IF(B174=Queue_Intervals!A4,MAX(0,MIN(D174,Queue_Intervals!C4)-MAX(C174+120,Queue_Intervals!B4)),0)+IF(B174=Queue_Intervals!A5,MAX(0,MIN(D174,Queue_Intervals!C5)-MAX(C174+120,Queue_Intervals!B5)),0)</f>
        <v>0</v>
      </c>
      <c r="L174" s="7">
        <f t="shared" si="17"/>
        <v>0</v>
      </c>
      <c r="M174" s="7">
        <f>IF(B174=Queue_Intervals!A2,MAX(0,MIN(D174,Queue_Intervals!C2)-MAX(C174+150,Queue_Intervals!B2)),0)+IF(B174=Queue_Intervals!A3,MAX(0,MIN(D174,Queue_Intervals!C3)-MAX(C174+150,Queue_Intervals!B3)),0)+IF(B174=Queue_Intervals!A4,MAX(0,MIN(D174,Queue_Intervals!C4)-MAX(C174+150,Queue_Intervals!B4)),0)+IF(B174=Queue_Intervals!A5,MAX(0,MIN(D174,Queue_Intervals!C5)-MAX(C174+150,Queue_Intervals!B5)),0)</f>
        <v>0</v>
      </c>
    </row>
    <row r="175" spans="1:13" ht="24.95" customHeight="1">
      <c r="A175" s="7" t="s">
        <v>256</v>
      </c>
      <c r="B175" s="8" t="s">
        <v>247</v>
      </c>
      <c r="C175" s="8">
        <v>509</v>
      </c>
      <c r="D175" s="8">
        <v>559</v>
      </c>
      <c r="E175" s="8" t="s">
        <v>79</v>
      </c>
      <c r="F175" s="8">
        <v>50</v>
      </c>
      <c r="G175" s="8">
        <v>0</v>
      </c>
      <c r="H175" s="7">
        <f t="shared" si="15"/>
        <v>0</v>
      </c>
      <c r="I175" s="7">
        <f>IF(B175=Queue_Intervals!A2,MAX(0,MIN(D175,Queue_Intervals!C2)-MAX(C175+90,Queue_Intervals!B2)),0)+IF(B175=Queue_Intervals!A3,MAX(0,MIN(D175,Queue_Intervals!C3)-MAX(C175+90,Queue_Intervals!B3)),0)+IF(B175=Queue_Intervals!A4,MAX(0,MIN(D175,Queue_Intervals!C4)-MAX(C175+90,Queue_Intervals!B4)),0)+IF(B175=Queue_Intervals!A5,MAX(0,MIN(D175,Queue_Intervals!C5)-MAX(C175+90,Queue_Intervals!B5)),0)</f>
        <v>0</v>
      </c>
      <c r="J175" s="7">
        <f t="shared" si="16"/>
        <v>0</v>
      </c>
      <c r="K175" s="7">
        <f>IF(B175=Queue_Intervals!A2,MAX(0,MIN(D175,Queue_Intervals!C2)-MAX(C175+120,Queue_Intervals!B2)),0)+IF(B175=Queue_Intervals!A3,MAX(0,MIN(D175,Queue_Intervals!C3)-MAX(C175+120,Queue_Intervals!B3)),0)+IF(B175=Queue_Intervals!A4,MAX(0,MIN(D175,Queue_Intervals!C4)-MAX(C175+120,Queue_Intervals!B4)),0)+IF(B175=Queue_Intervals!A5,MAX(0,MIN(D175,Queue_Intervals!C5)-MAX(C175+120,Queue_Intervals!B5)),0)</f>
        <v>0</v>
      </c>
      <c r="L175" s="7">
        <f t="shared" si="17"/>
        <v>0</v>
      </c>
      <c r="M175" s="7">
        <f>IF(B175=Queue_Intervals!A2,MAX(0,MIN(D175,Queue_Intervals!C2)-MAX(C175+150,Queue_Intervals!B2)),0)+IF(B175=Queue_Intervals!A3,MAX(0,MIN(D175,Queue_Intervals!C3)-MAX(C175+150,Queue_Intervals!B3)),0)+IF(B175=Queue_Intervals!A4,MAX(0,MIN(D175,Queue_Intervals!C4)-MAX(C175+150,Queue_Intervals!B4)),0)+IF(B175=Queue_Intervals!A5,MAX(0,MIN(D175,Queue_Intervals!C5)-MAX(C175+150,Queue_Intervals!B5)),0)</f>
        <v>0</v>
      </c>
    </row>
    <row r="176" spans="1:13" ht="24.95" customHeight="1">
      <c r="A176" s="7" t="s">
        <v>257</v>
      </c>
      <c r="B176" s="8" t="s">
        <v>247</v>
      </c>
      <c r="C176" s="8">
        <v>520</v>
      </c>
      <c r="D176" s="8">
        <v>569</v>
      </c>
      <c r="E176" s="8" t="s">
        <v>79</v>
      </c>
      <c r="F176" s="8">
        <v>49</v>
      </c>
      <c r="G176" s="8">
        <v>0</v>
      </c>
      <c r="H176" s="7">
        <f t="shared" si="15"/>
        <v>0</v>
      </c>
      <c r="I176" s="7">
        <f>IF(B176=Queue_Intervals!A2,MAX(0,MIN(D176,Queue_Intervals!C2)-MAX(C176+90,Queue_Intervals!B2)),0)+IF(B176=Queue_Intervals!A3,MAX(0,MIN(D176,Queue_Intervals!C3)-MAX(C176+90,Queue_Intervals!B3)),0)+IF(B176=Queue_Intervals!A4,MAX(0,MIN(D176,Queue_Intervals!C4)-MAX(C176+90,Queue_Intervals!B4)),0)+IF(B176=Queue_Intervals!A5,MAX(0,MIN(D176,Queue_Intervals!C5)-MAX(C176+90,Queue_Intervals!B5)),0)</f>
        <v>0</v>
      </c>
      <c r="J176" s="7">
        <f t="shared" si="16"/>
        <v>0</v>
      </c>
      <c r="K176" s="7">
        <f>IF(B176=Queue_Intervals!A2,MAX(0,MIN(D176,Queue_Intervals!C2)-MAX(C176+120,Queue_Intervals!B2)),0)+IF(B176=Queue_Intervals!A3,MAX(0,MIN(D176,Queue_Intervals!C3)-MAX(C176+120,Queue_Intervals!B3)),0)+IF(B176=Queue_Intervals!A4,MAX(0,MIN(D176,Queue_Intervals!C4)-MAX(C176+120,Queue_Intervals!B4)),0)+IF(B176=Queue_Intervals!A5,MAX(0,MIN(D176,Queue_Intervals!C5)-MAX(C176+120,Queue_Intervals!B5)),0)</f>
        <v>0</v>
      </c>
      <c r="L176" s="7">
        <f t="shared" si="17"/>
        <v>0</v>
      </c>
      <c r="M176" s="7">
        <f>IF(B176=Queue_Intervals!A2,MAX(0,MIN(D176,Queue_Intervals!C2)-MAX(C176+150,Queue_Intervals!B2)),0)+IF(B176=Queue_Intervals!A3,MAX(0,MIN(D176,Queue_Intervals!C3)-MAX(C176+150,Queue_Intervals!B3)),0)+IF(B176=Queue_Intervals!A4,MAX(0,MIN(D176,Queue_Intervals!C4)-MAX(C176+150,Queue_Intervals!B4)),0)+IF(B176=Queue_Intervals!A5,MAX(0,MIN(D176,Queue_Intervals!C5)-MAX(C176+150,Queue_Intervals!B5)),0)</f>
        <v>0</v>
      </c>
    </row>
    <row r="177" spans="1:13" ht="24.95" customHeight="1">
      <c r="A177" s="7" t="s">
        <v>258</v>
      </c>
      <c r="B177" s="8" t="s">
        <v>247</v>
      </c>
      <c r="C177" s="8">
        <v>527</v>
      </c>
      <c r="D177" s="8">
        <v>626</v>
      </c>
      <c r="E177" s="8" t="s">
        <v>79</v>
      </c>
      <c r="F177" s="8">
        <v>99</v>
      </c>
      <c r="G177" s="8">
        <v>0</v>
      </c>
      <c r="H177" s="7">
        <f t="shared" si="15"/>
        <v>9</v>
      </c>
      <c r="I177" s="7">
        <f>IF(B177=Queue_Intervals!A2,MAX(0,MIN(D177,Queue_Intervals!C2)-MAX(C177+90,Queue_Intervals!B2)),0)+IF(B177=Queue_Intervals!A3,MAX(0,MIN(D177,Queue_Intervals!C3)-MAX(C177+90,Queue_Intervals!B3)),0)+IF(B177=Queue_Intervals!A4,MAX(0,MIN(D177,Queue_Intervals!C4)-MAX(C177+90,Queue_Intervals!B4)),0)+IF(B177=Queue_Intervals!A5,MAX(0,MIN(D177,Queue_Intervals!C5)-MAX(C177+90,Queue_Intervals!B5)),0)</f>
        <v>0</v>
      </c>
      <c r="J177" s="7">
        <f t="shared" si="16"/>
        <v>0</v>
      </c>
      <c r="K177" s="7">
        <f>IF(B177=Queue_Intervals!A2,MAX(0,MIN(D177,Queue_Intervals!C2)-MAX(C177+120,Queue_Intervals!B2)),0)+IF(B177=Queue_Intervals!A3,MAX(0,MIN(D177,Queue_Intervals!C3)-MAX(C177+120,Queue_Intervals!B3)),0)+IF(B177=Queue_Intervals!A4,MAX(0,MIN(D177,Queue_Intervals!C4)-MAX(C177+120,Queue_Intervals!B4)),0)+IF(B177=Queue_Intervals!A5,MAX(0,MIN(D177,Queue_Intervals!C5)-MAX(C177+120,Queue_Intervals!B5)),0)</f>
        <v>0</v>
      </c>
      <c r="L177" s="7">
        <f t="shared" si="17"/>
        <v>0</v>
      </c>
      <c r="M177" s="7">
        <f>IF(B177=Queue_Intervals!A2,MAX(0,MIN(D177,Queue_Intervals!C2)-MAX(C177+150,Queue_Intervals!B2)),0)+IF(B177=Queue_Intervals!A3,MAX(0,MIN(D177,Queue_Intervals!C3)-MAX(C177+150,Queue_Intervals!B3)),0)+IF(B177=Queue_Intervals!A4,MAX(0,MIN(D177,Queue_Intervals!C4)-MAX(C177+150,Queue_Intervals!B4)),0)+IF(B177=Queue_Intervals!A5,MAX(0,MIN(D177,Queue_Intervals!C5)-MAX(C177+150,Queue_Intervals!B5)),0)</f>
        <v>0</v>
      </c>
    </row>
    <row r="178" spans="1:13" ht="24.95" customHeight="1">
      <c r="A178" s="7" t="s">
        <v>259</v>
      </c>
      <c r="B178" s="8" t="s">
        <v>247</v>
      </c>
      <c r="C178" s="8">
        <v>529</v>
      </c>
      <c r="D178" s="8">
        <v>565</v>
      </c>
      <c r="E178" s="8" t="s">
        <v>79</v>
      </c>
      <c r="F178" s="8">
        <v>36</v>
      </c>
      <c r="G178" s="8">
        <v>0</v>
      </c>
      <c r="H178" s="7">
        <f t="shared" si="15"/>
        <v>0</v>
      </c>
      <c r="I178" s="7">
        <f>IF(B178=Queue_Intervals!A2,MAX(0,MIN(D178,Queue_Intervals!C2)-MAX(C178+90,Queue_Intervals!B2)),0)+IF(B178=Queue_Intervals!A3,MAX(0,MIN(D178,Queue_Intervals!C3)-MAX(C178+90,Queue_Intervals!B3)),0)+IF(B178=Queue_Intervals!A4,MAX(0,MIN(D178,Queue_Intervals!C4)-MAX(C178+90,Queue_Intervals!B4)),0)+IF(B178=Queue_Intervals!A5,MAX(0,MIN(D178,Queue_Intervals!C5)-MAX(C178+90,Queue_Intervals!B5)),0)</f>
        <v>0</v>
      </c>
      <c r="J178" s="7">
        <f t="shared" si="16"/>
        <v>0</v>
      </c>
      <c r="K178" s="7">
        <f>IF(B178=Queue_Intervals!A2,MAX(0,MIN(D178,Queue_Intervals!C2)-MAX(C178+120,Queue_Intervals!B2)),0)+IF(B178=Queue_Intervals!A3,MAX(0,MIN(D178,Queue_Intervals!C3)-MAX(C178+120,Queue_Intervals!B3)),0)+IF(B178=Queue_Intervals!A4,MAX(0,MIN(D178,Queue_Intervals!C4)-MAX(C178+120,Queue_Intervals!B4)),0)+IF(B178=Queue_Intervals!A5,MAX(0,MIN(D178,Queue_Intervals!C5)-MAX(C178+120,Queue_Intervals!B5)),0)</f>
        <v>0</v>
      </c>
      <c r="L178" s="7">
        <f t="shared" si="17"/>
        <v>0</v>
      </c>
      <c r="M178" s="7">
        <f>IF(B178=Queue_Intervals!A2,MAX(0,MIN(D178,Queue_Intervals!C2)-MAX(C178+150,Queue_Intervals!B2)),0)+IF(B178=Queue_Intervals!A3,MAX(0,MIN(D178,Queue_Intervals!C3)-MAX(C178+150,Queue_Intervals!B3)),0)+IF(B178=Queue_Intervals!A4,MAX(0,MIN(D178,Queue_Intervals!C4)-MAX(C178+150,Queue_Intervals!B4)),0)+IF(B178=Queue_Intervals!A5,MAX(0,MIN(D178,Queue_Intervals!C5)-MAX(C178+150,Queue_Intervals!B5)),0)</f>
        <v>0</v>
      </c>
    </row>
    <row r="179" spans="1:13" ht="24.95" customHeight="1">
      <c r="A179" s="7" t="s">
        <v>260</v>
      </c>
      <c r="B179" s="8" t="s">
        <v>247</v>
      </c>
      <c r="C179" s="8">
        <v>548</v>
      </c>
      <c r="D179" s="8">
        <v>603</v>
      </c>
      <c r="E179" s="8" t="s">
        <v>79</v>
      </c>
      <c r="F179" s="8">
        <v>55</v>
      </c>
      <c r="G179" s="8">
        <v>0</v>
      </c>
      <c r="H179" s="7">
        <f t="shared" si="15"/>
        <v>0</v>
      </c>
      <c r="I179" s="7">
        <f>IF(B179=Queue_Intervals!A2,MAX(0,MIN(D179,Queue_Intervals!C2)-MAX(C179+90,Queue_Intervals!B2)),0)+IF(B179=Queue_Intervals!A3,MAX(0,MIN(D179,Queue_Intervals!C3)-MAX(C179+90,Queue_Intervals!B3)),0)+IF(B179=Queue_Intervals!A4,MAX(0,MIN(D179,Queue_Intervals!C4)-MAX(C179+90,Queue_Intervals!B4)),0)+IF(B179=Queue_Intervals!A5,MAX(0,MIN(D179,Queue_Intervals!C5)-MAX(C179+90,Queue_Intervals!B5)),0)</f>
        <v>0</v>
      </c>
      <c r="J179" s="7">
        <f t="shared" si="16"/>
        <v>0</v>
      </c>
      <c r="K179" s="7">
        <f>IF(B179=Queue_Intervals!A2,MAX(0,MIN(D179,Queue_Intervals!C2)-MAX(C179+120,Queue_Intervals!B2)),0)+IF(B179=Queue_Intervals!A3,MAX(0,MIN(D179,Queue_Intervals!C3)-MAX(C179+120,Queue_Intervals!B3)),0)+IF(B179=Queue_Intervals!A4,MAX(0,MIN(D179,Queue_Intervals!C4)-MAX(C179+120,Queue_Intervals!B4)),0)+IF(B179=Queue_Intervals!A5,MAX(0,MIN(D179,Queue_Intervals!C5)-MAX(C179+120,Queue_Intervals!B5)),0)</f>
        <v>0</v>
      </c>
      <c r="L179" s="7">
        <f t="shared" si="17"/>
        <v>0</v>
      </c>
      <c r="M179" s="7">
        <f>IF(B179=Queue_Intervals!A2,MAX(0,MIN(D179,Queue_Intervals!C2)-MAX(C179+150,Queue_Intervals!B2)),0)+IF(B179=Queue_Intervals!A3,MAX(0,MIN(D179,Queue_Intervals!C3)-MAX(C179+150,Queue_Intervals!B3)),0)+IF(B179=Queue_Intervals!A4,MAX(0,MIN(D179,Queue_Intervals!C4)-MAX(C179+150,Queue_Intervals!B4)),0)+IF(B179=Queue_Intervals!A5,MAX(0,MIN(D179,Queue_Intervals!C5)-MAX(C179+150,Queue_Intervals!B5)),0)</f>
        <v>0</v>
      </c>
    </row>
    <row r="180" spans="1:13" ht="24.95" customHeight="1">
      <c r="A180" s="7" t="s">
        <v>261</v>
      </c>
      <c r="B180" s="8" t="s">
        <v>247</v>
      </c>
      <c r="C180" s="8">
        <v>552</v>
      </c>
      <c r="D180" s="8">
        <v>608</v>
      </c>
      <c r="E180" s="8" t="s">
        <v>79</v>
      </c>
      <c r="F180" s="8">
        <v>56</v>
      </c>
      <c r="G180" s="8">
        <v>0</v>
      </c>
      <c r="H180" s="7">
        <f t="shared" si="15"/>
        <v>0</v>
      </c>
      <c r="I180" s="7">
        <f>IF(B180=Queue_Intervals!A2,MAX(0,MIN(D180,Queue_Intervals!C2)-MAX(C180+90,Queue_Intervals!B2)),0)+IF(B180=Queue_Intervals!A3,MAX(0,MIN(D180,Queue_Intervals!C3)-MAX(C180+90,Queue_Intervals!B3)),0)+IF(B180=Queue_Intervals!A4,MAX(0,MIN(D180,Queue_Intervals!C4)-MAX(C180+90,Queue_Intervals!B4)),0)+IF(B180=Queue_Intervals!A5,MAX(0,MIN(D180,Queue_Intervals!C5)-MAX(C180+90,Queue_Intervals!B5)),0)</f>
        <v>0</v>
      </c>
      <c r="J180" s="7">
        <f t="shared" si="16"/>
        <v>0</v>
      </c>
      <c r="K180" s="7">
        <f>IF(B180=Queue_Intervals!A2,MAX(0,MIN(D180,Queue_Intervals!C2)-MAX(C180+120,Queue_Intervals!B2)),0)+IF(B180=Queue_Intervals!A3,MAX(0,MIN(D180,Queue_Intervals!C3)-MAX(C180+120,Queue_Intervals!B3)),0)+IF(B180=Queue_Intervals!A4,MAX(0,MIN(D180,Queue_Intervals!C4)-MAX(C180+120,Queue_Intervals!B4)),0)+IF(B180=Queue_Intervals!A5,MAX(0,MIN(D180,Queue_Intervals!C5)-MAX(C180+120,Queue_Intervals!B5)),0)</f>
        <v>0</v>
      </c>
      <c r="L180" s="7">
        <f t="shared" si="17"/>
        <v>0</v>
      </c>
      <c r="M180" s="7">
        <f>IF(B180=Queue_Intervals!A2,MAX(0,MIN(D180,Queue_Intervals!C2)-MAX(C180+150,Queue_Intervals!B2)),0)+IF(B180=Queue_Intervals!A3,MAX(0,MIN(D180,Queue_Intervals!C3)-MAX(C180+150,Queue_Intervals!B3)),0)+IF(B180=Queue_Intervals!A4,MAX(0,MIN(D180,Queue_Intervals!C4)-MAX(C180+150,Queue_Intervals!B4)),0)+IF(B180=Queue_Intervals!A5,MAX(0,MIN(D180,Queue_Intervals!C5)-MAX(C180+150,Queue_Intervals!B5)),0)</f>
        <v>0</v>
      </c>
    </row>
    <row r="181" spans="1:13" ht="24.95" customHeight="1">
      <c r="A181" s="7" t="s">
        <v>262</v>
      </c>
      <c r="B181" s="8" t="s">
        <v>247</v>
      </c>
      <c r="C181" s="8">
        <v>553</v>
      </c>
      <c r="D181" s="8">
        <v>605</v>
      </c>
      <c r="E181" s="8" t="s">
        <v>79</v>
      </c>
      <c r="F181" s="8">
        <v>52</v>
      </c>
      <c r="G181" s="8">
        <v>0</v>
      </c>
      <c r="H181" s="7">
        <f t="shared" si="15"/>
        <v>0</v>
      </c>
      <c r="I181" s="7">
        <f>IF(B181=Queue_Intervals!A2,MAX(0,MIN(D181,Queue_Intervals!C2)-MAX(C181+90,Queue_Intervals!B2)),0)+IF(B181=Queue_Intervals!A3,MAX(0,MIN(D181,Queue_Intervals!C3)-MAX(C181+90,Queue_Intervals!B3)),0)+IF(B181=Queue_Intervals!A4,MAX(0,MIN(D181,Queue_Intervals!C4)-MAX(C181+90,Queue_Intervals!B4)),0)+IF(B181=Queue_Intervals!A5,MAX(0,MIN(D181,Queue_Intervals!C5)-MAX(C181+90,Queue_Intervals!B5)),0)</f>
        <v>0</v>
      </c>
      <c r="J181" s="7">
        <f t="shared" si="16"/>
        <v>0</v>
      </c>
      <c r="K181" s="7">
        <f>IF(B181=Queue_Intervals!A2,MAX(0,MIN(D181,Queue_Intervals!C2)-MAX(C181+120,Queue_Intervals!B2)),0)+IF(B181=Queue_Intervals!A3,MAX(0,MIN(D181,Queue_Intervals!C3)-MAX(C181+120,Queue_Intervals!B3)),0)+IF(B181=Queue_Intervals!A4,MAX(0,MIN(D181,Queue_Intervals!C4)-MAX(C181+120,Queue_Intervals!B4)),0)+IF(B181=Queue_Intervals!A5,MAX(0,MIN(D181,Queue_Intervals!C5)-MAX(C181+120,Queue_Intervals!B5)),0)</f>
        <v>0</v>
      </c>
      <c r="L181" s="7">
        <f t="shared" si="17"/>
        <v>0</v>
      </c>
      <c r="M181" s="7">
        <f>IF(B181=Queue_Intervals!A2,MAX(0,MIN(D181,Queue_Intervals!C2)-MAX(C181+150,Queue_Intervals!B2)),0)+IF(B181=Queue_Intervals!A3,MAX(0,MIN(D181,Queue_Intervals!C3)-MAX(C181+150,Queue_Intervals!B3)),0)+IF(B181=Queue_Intervals!A4,MAX(0,MIN(D181,Queue_Intervals!C4)-MAX(C181+150,Queue_Intervals!B4)),0)+IF(B181=Queue_Intervals!A5,MAX(0,MIN(D181,Queue_Intervals!C5)-MAX(C181+150,Queue_Intervals!B5)),0)</f>
        <v>0</v>
      </c>
    </row>
    <row r="182" spans="1:13" ht="24.95" customHeight="1">
      <c r="A182" s="7" t="s">
        <v>263</v>
      </c>
      <c r="B182" s="8" t="s">
        <v>247</v>
      </c>
      <c r="C182" s="8">
        <v>560</v>
      </c>
      <c r="D182" s="8">
        <v>594</v>
      </c>
      <c r="E182" s="8" t="s">
        <v>79</v>
      </c>
      <c r="F182" s="8">
        <v>34</v>
      </c>
      <c r="G182" s="8">
        <v>0</v>
      </c>
      <c r="H182" s="7">
        <f t="shared" si="15"/>
        <v>0</v>
      </c>
      <c r="I182" s="7">
        <f>IF(B182=Queue_Intervals!A2,MAX(0,MIN(D182,Queue_Intervals!C2)-MAX(C182+90,Queue_Intervals!B2)),0)+IF(B182=Queue_Intervals!A3,MAX(0,MIN(D182,Queue_Intervals!C3)-MAX(C182+90,Queue_Intervals!B3)),0)+IF(B182=Queue_Intervals!A4,MAX(0,MIN(D182,Queue_Intervals!C4)-MAX(C182+90,Queue_Intervals!B4)),0)+IF(B182=Queue_Intervals!A5,MAX(0,MIN(D182,Queue_Intervals!C5)-MAX(C182+90,Queue_Intervals!B5)),0)</f>
        <v>0</v>
      </c>
      <c r="J182" s="7">
        <f t="shared" si="16"/>
        <v>0</v>
      </c>
      <c r="K182" s="7">
        <f>IF(B182=Queue_Intervals!A2,MAX(0,MIN(D182,Queue_Intervals!C2)-MAX(C182+120,Queue_Intervals!B2)),0)+IF(B182=Queue_Intervals!A3,MAX(0,MIN(D182,Queue_Intervals!C3)-MAX(C182+120,Queue_Intervals!B3)),0)+IF(B182=Queue_Intervals!A4,MAX(0,MIN(D182,Queue_Intervals!C4)-MAX(C182+120,Queue_Intervals!B4)),0)+IF(B182=Queue_Intervals!A5,MAX(0,MIN(D182,Queue_Intervals!C5)-MAX(C182+120,Queue_Intervals!B5)),0)</f>
        <v>0</v>
      </c>
      <c r="L182" s="7">
        <f t="shared" si="17"/>
        <v>0</v>
      </c>
      <c r="M182" s="7">
        <f>IF(B182=Queue_Intervals!A2,MAX(0,MIN(D182,Queue_Intervals!C2)-MAX(C182+150,Queue_Intervals!B2)),0)+IF(B182=Queue_Intervals!A3,MAX(0,MIN(D182,Queue_Intervals!C3)-MAX(C182+150,Queue_Intervals!B3)),0)+IF(B182=Queue_Intervals!A4,MAX(0,MIN(D182,Queue_Intervals!C4)-MAX(C182+150,Queue_Intervals!B4)),0)+IF(B182=Queue_Intervals!A5,MAX(0,MIN(D182,Queue_Intervals!C5)-MAX(C182+150,Queue_Intervals!B5)),0)</f>
        <v>0</v>
      </c>
    </row>
    <row r="183" spans="1:13" ht="24.95" customHeight="1">
      <c r="A183" s="7" t="s">
        <v>264</v>
      </c>
      <c r="B183" s="8" t="s">
        <v>247</v>
      </c>
      <c r="C183" s="8">
        <v>562</v>
      </c>
      <c r="D183" s="8">
        <v>615</v>
      </c>
      <c r="E183" s="8" t="s">
        <v>79</v>
      </c>
      <c r="F183" s="8">
        <v>53</v>
      </c>
      <c r="G183" s="8">
        <v>0</v>
      </c>
      <c r="H183" s="7">
        <f t="shared" si="15"/>
        <v>0</v>
      </c>
      <c r="I183" s="7">
        <f>IF(B183=Queue_Intervals!A2,MAX(0,MIN(D183,Queue_Intervals!C2)-MAX(C183+90,Queue_Intervals!B2)),0)+IF(B183=Queue_Intervals!A3,MAX(0,MIN(D183,Queue_Intervals!C3)-MAX(C183+90,Queue_Intervals!B3)),0)+IF(B183=Queue_Intervals!A4,MAX(0,MIN(D183,Queue_Intervals!C4)-MAX(C183+90,Queue_Intervals!B4)),0)+IF(B183=Queue_Intervals!A5,MAX(0,MIN(D183,Queue_Intervals!C5)-MAX(C183+90,Queue_Intervals!B5)),0)</f>
        <v>0</v>
      </c>
      <c r="J183" s="7">
        <f t="shared" si="16"/>
        <v>0</v>
      </c>
      <c r="K183" s="7">
        <f>IF(B183=Queue_Intervals!A2,MAX(0,MIN(D183,Queue_Intervals!C2)-MAX(C183+120,Queue_Intervals!B2)),0)+IF(B183=Queue_Intervals!A3,MAX(0,MIN(D183,Queue_Intervals!C3)-MAX(C183+120,Queue_Intervals!B3)),0)+IF(B183=Queue_Intervals!A4,MAX(0,MIN(D183,Queue_Intervals!C4)-MAX(C183+120,Queue_Intervals!B4)),0)+IF(B183=Queue_Intervals!A5,MAX(0,MIN(D183,Queue_Intervals!C5)-MAX(C183+120,Queue_Intervals!B5)),0)</f>
        <v>0</v>
      </c>
      <c r="L183" s="7">
        <f t="shared" si="17"/>
        <v>0</v>
      </c>
      <c r="M183" s="7">
        <f>IF(B183=Queue_Intervals!A2,MAX(0,MIN(D183,Queue_Intervals!C2)-MAX(C183+150,Queue_Intervals!B2)),0)+IF(B183=Queue_Intervals!A3,MAX(0,MIN(D183,Queue_Intervals!C3)-MAX(C183+150,Queue_Intervals!B3)),0)+IF(B183=Queue_Intervals!A4,MAX(0,MIN(D183,Queue_Intervals!C4)-MAX(C183+150,Queue_Intervals!B4)),0)+IF(B183=Queue_Intervals!A5,MAX(0,MIN(D183,Queue_Intervals!C5)-MAX(C183+150,Queue_Intervals!B5)),0)</f>
        <v>0</v>
      </c>
    </row>
    <row r="184" spans="1:13" ht="24.95" customHeight="1">
      <c r="A184" s="7" t="s">
        <v>265</v>
      </c>
      <c r="B184" s="8" t="s">
        <v>247</v>
      </c>
      <c r="C184" s="8">
        <v>577</v>
      </c>
      <c r="D184" s="8">
        <v>646</v>
      </c>
      <c r="E184" s="8" t="s">
        <v>79</v>
      </c>
      <c r="F184" s="8">
        <v>69</v>
      </c>
      <c r="G184" s="8">
        <v>0</v>
      </c>
      <c r="H184" s="7">
        <f t="shared" si="15"/>
        <v>0</v>
      </c>
      <c r="I184" s="7">
        <f>IF(B184=Queue_Intervals!A2,MAX(0,MIN(D184,Queue_Intervals!C2)-MAX(C184+90,Queue_Intervals!B2)),0)+IF(B184=Queue_Intervals!A3,MAX(0,MIN(D184,Queue_Intervals!C3)-MAX(C184+90,Queue_Intervals!B3)),0)+IF(B184=Queue_Intervals!A4,MAX(0,MIN(D184,Queue_Intervals!C4)-MAX(C184+90,Queue_Intervals!B4)),0)+IF(B184=Queue_Intervals!A5,MAX(0,MIN(D184,Queue_Intervals!C5)-MAX(C184+90,Queue_Intervals!B5)),0)</f>
        <v>0</v>
      </c>
      <c r="J184" s="7">
        <f t="shared" si="16"/>
        <v>0</v>
      </c>
      <c r="K184" s="7">
        <f>IF(B184=Queue_Intervals!A2,MAX(0,MIN(D184,Queue_Intervals!C2)-MAX(C184+120,Queue_Intervals!B2)),0)+IF(B184=Queue_Intervals!A3,MAX(0,MIN(D184,Queue_Intervals!C3)-MAX(C184+120,Queue_Intervals!B3)),0)+IF(B184=Queue_Intervals!A4,MAX(0,MIN(D184,Queue_Intervals!C4)-MAX(C184+120,Queue_Intervals!B4)),0)+IF(B184=Queue_Intervals!A5,MAX(0,MIN(D184,Queue_Intervals!C5)-MAX(C184+120,Queue_Intervals!B5)),0)</f>
        <v>0</v>
      </c>
      <c r="L184" s="7">
        <f t="shared" si="17"/>
        <v>0</v>
      </c>
      <c r="M184" s="7">
        <f>IF(B184=Queue_Intervals!A2,MAX(0,MIN(D184,Queue_Intervals!C2)-MAX(C184+150,Queue_Intervals!B2)),0)+IF(B184=Queue_Intervals!A3,MAX(0,MIN(D184,Queue_Intervals!C3)-MAX(C184+150,Queue_Intervals!B3)),0)+IF(B184=Queue_Intervals!A4,MAX(0,MIN(D184,Queue_Intervals!C4)-MAX(C184+150,Queue_Intervals!B4)),0)+IF(B184=Queue_Intervals!A5,MAX(0,MIN(D184,Queue_Intervals!C5)-MAX(C184+150,Queue_Intervals!B5)),0)</f>
        <v>0</v>
      </c>
    </row>
    <row r="185" spans="1:13" ht="24.95" customHeight="1">
      <c r="A185" s="7" t="s">
        <v>266</v>
      </c>
      <c r="B185" s="8" t="s">
        <v>247</v>
      </c>
      <c r="C185" s="8">
        <v>587</v>
      </c>
      <c r="D185" s="8">
        <v>730</v>
      </c>
      <c r="E185" s="8" t="s">
        <v>79</v>
      </c>
      <c r="F185" s="8">
        <v>143</v>
      </c>
      <c r="G185" s="8">
        <v>0</v>
      </c>
      <c r="H185" s="7">
        <f t="shared" si="15"/>
        <v>53</v>
      </c>
      <c r="I185" s="7">
        <f>IF(B185=Queue_Intervals!A2,MAX(0,MIN(D185,Queue_Intervals!C2)-MAX(C185+90,Queue_Intervals!B2)),0)+IF(B185=Queue_Intervals!A3,MAX(0,MIN(D185,Queue_Intervals!C3)-MAX(C185+90,Queue_Intervals!B3)),0)+IF(B185=Queue_Intervals!A4,MAX(0,MIN(D185,Queue_Intervals!C4)-MAX(C185+90,Queue_Intervals!B4)),0)+IF(B185=Queue_Intervals!A5,MAX(0,MIN(D185,Queue_Intervals!C5)-MAX(C185+90,Queue_Intervals!B5)),0)</f>
        <v>0</v>
      </c>
      <c r="J185" s="7">
        <f t="shared" si="16"/>
        <v>23</v>
      </c>
      <c r="K185" s="7">
        <f>IF(B185=Queue_Intervals!A2,MAX(0,MIN(D185,Queue_Intervals!C2)-MAX(C185+120,Queue_Intervals!B2)),0)+IF(B185=Queue_Intervals!A3,MAX(0,MIN(D185,Queue_Intervals!C3)-MAX(C185+120,Queue_Intervals!B3)),0)+IF(B185=Queue_Intervals!A4,MAX(0,MIN(D185,Queue_Intervals!C4)-MAX(C185+120,Queue_Intervals!B4)),0)+IF(B185=Queue_Intervals!A5,MAX(0,MIN(D185,Queue_Intervals!C5)-MAX(C185+120,Queue_Intervals!B5)),0)</f>
        <v>0</v>
      </c>
      <c r="L185" s="7">
        <f t="shared" si="17"/>
        <v>0</v>
      </c>
      <c r="M185" s="7">
        <f>IF(B185=Queue_Intervals!A2,MAX(0,MIN(D185,Queue_Intervals!C2)-MAX(C185+150,Queue_Intervals!B2)),0)+IF(B185=Queue_Intervals!A3,MAX(0,MIN(D185,Queue_Intervals!C3)-MAX(C185+150,Queue_Intervals!B3)),0)+IF(B185=Queue_Intervals!A4,MAX(0,MIN(D185,Queue_Intervals!C4)-MAX(C185+150,Queue_Intervals!B4)),0)+IF(B185=Queue_Intervals!A5,MAX(0,MIN(D185,Queue_Intervals!C5)-MAX(C185+150,Queue_Intervals!B5)),0)</f>
        <v>0</v>
      </c>
    </row>
    <row r="186" spans="1:13" ht="24.95" customHeight="1">
      <c r="A186" s="7" t="s">
        <v>267</v>
      </c>
      <c r="B186" s="8" t="s">
        <v>247</v>
      </c>
      <c r="C186" s="8">
        <v>588</v>
      </c>
      <c r="D186" s="8">
        <v>645</v>
      </c>
      <c r="E186" s="8" t="s">
        <v>79</v>
      </c>
      <c r="F186" s="8">
        <v>57</v>
      </c>
      <c r="G186" s="8">
        <v>0</v>
      </c>
      <c r="H186" s="7">
        <f t="shared" si="15"/>
        <v>0</v>
      </c>
      <c r="I186" s="7">
        <f>IF(B186=Queue_Intervals!A2,MAX(0,MIN(D186,Queue_Intervals!C2)-MAX(C186+90,Queue_Intervals!B2)),0)+IF(B186=Queue_Intervals!A3,MAX(0,MIN(D186,Queue_Intervals!C3)-MAX(C186+90,Queue_Intervals!B3)),0)+IF(B186=Queue_Intervals!A4,MAX(0,MIN(D186,Queue_Intervals!C4)-MAX(C186+90,Queue_Intervals!B4)),0)+IF(B186=Queue_Intervals!A5,MAX(0,MIN(D186,Queue_Intervals!C5)-MAX(C186+90,Queue_Intervals!B5)),0)</f>
        <v>0</v>
      </c>
      <c r="J186" s="7">
        <f t="shared" si="16"/>
        <v>0</v>
      </c>
      <c r="K186" s="7">
        <f>IF(B186=Queue_Intervals!A2,MAX(0,MIN(D186,Queue_Intervals!C2)-MAX(C186+120,Queue_Intervals!B2)),0)+IF(B186=Queue_Intervals!A3,MAX(0,MIN(D186,Queue_Intervals!C3)-MAX(C186+120,Queue_Intervals!B3)),0)+IF(B186=Queue_Intervals!A4,MAX(0,MIN(D186,Queue_Intervals!C4)-MAX(C186+120,Queue_Intervals!B4)),0)+IF(B186=Queue_Intervals!A5,MAX(0,MIN(D186,Queue_Intervals!C5)-MAX(C186+120,Queue_Intervals!B5)),0)</f>
        <v>0</v>
      </c>
      <c r="L186" s="7">
        <f t="shared" si="17"/>
        <v>0</v>
      </c>
      <c r="M186" s="7">
        <f>IF(B186=Queue_Intervals!A2,MAX(0,MIN(D186,Queue_Intervals!C2)-MAX(C186+150,Queue_Intervals!B2)),0)+IF(B186=Queue_Intervals!A3,MAX(0,MIN(D186,Queue_Intervals!C3)-MAX(C186+150,Queue_Intervals!B3)),0)+IF(B186=Queue_Intervals!A4,MAX(0,MIN(D186,Queue_Intervals!C4)-MAX(C186+150,Queue_Intervals!B4)),0)+IF(B186=Queue_Intervals!A5,MAX(0,MIN(D186,Queue_Intervals!C5)-MAX(C186+150,Queue_Intervals!B5)),0)</f>
        <v>0</v>
      </c>
    </row>
    <row r="187" spans="1:13" ht="24.95" customHeight="1">
      <c r="A187" s="7" t="s">
        <v>268</v>
      </c>
      <c r="B187" s="8" t="s">
        <v>247</v>
      </c>
      <c r="C187" s="8">
        <v>589</v>
      </c>
      <c r="D187" s="8">
        <v>701</v>
      </c>
      <c r="E187" s="8" t="s">
        <v>79</v>
      </c>
      <c r="F187" s="8">
        <v>112</v>
      </c>
      <c r="G187" s="8">
        <v>0</v>
      </c>
      <c r="H187" s="7">
        <f t="shared" si="15"/>
        <v>22</v>
      </c>
      <c r="I187" s="7">
        <f>IF(B187=Queue_Intervals!A2,MAX(0,MIN(D187,Queue_Intervals!C2)-MAX(C187+90,Queue_Intervals!B2)),0)+IF(B187=Queue_Intervals!A3,MAX(0,MIN(D187,Queue_Intervals!C3)-MAX(C187+90,Queue_Intervals!B3)),0)+IF(B187=Queue_Intervals!A4,MAX(0,MIN(D187,Queue_Intervals!C4)-MAX(C187+90,Queue_Intervals!B4)),0)+IF(B187=Queue_Intervals!A5,MAX(0,MIN(D187,Queue_Intervals!C5)-MAX(C187+90,Queue_Intervals!B5)),0)</f>
        <v>0</v>
      </c>
      <c r="J187" s="7">
        <f t="shared" si="16"/>
        <v>0</v>
      </c>
      <c r="K187" s="7">
        <f>IF(B187=Queue_Intervals!A2,MAX(0,MIN(D187,Queue_Intervals!C2)-MAX(C187+120,Queue_Intervals!B2)),0)+IF(B187=Queue_Intervals!A3,MAX(0,MIN(D187,Queue_Intervals!C3)-MAX(C187+120,Queue_Intervals!B3)),0)+IF(B187=Queue_Intervals!A4,MAX(0,MIN(D187,Queue_Intervals!C4)-MAX(C187+120,Queue_Intervals!B4)),0)+IF(B187=Queue_Intervals!A5,MAX(0,MIN(D187,Queue_Intervals!C5)-MAX(C187+120,Queue_Intervals!B5)),0)</f>
        <v>0</v>
      </c>
      <c r="L187" s="7">
        <f t="shared" si="17"/>
        <v>0</v>
      </c>
      <c r="M187" s="7">
        <f>IF(B187=Queue_Intervals!A2,MAX(0,MIN(D187,Queue_Intervals!C2)-MAX(C187+150,Queue_Intervals!B2)),0)+IF(B187=Queue_Intervals!A3,MAX(0,MIN(D187,Queue_Intervals!C3)-MAX(C187+150,Queue_Intervals!B3)),0)+IF(B187=Queue_Intervals!A4,MAX(0,MIN(D187,Queue_Intervals!C4)-MAX(C187+150,Queue_Intervals!B4)),0)+IF(B187=Queue_Intervals!A5,MAX(0,MIN(D187,Queue_Intervals!C5)-MAX(C187+150,Queue_Intervals!B5)),0)</f>
        <v>0</v>
      </c>
    </row>
    <row r="188" spans="1:13" ht="24.95" customHeight="1">
      <c r="A188" s="7" t="s">
        <v>269</v>
      </c>
      <c r="B188" s="8" t="s">
        <v>247</v>
      </c>
      <c r="C188" s="8">
        <v>596</v>
      </c>
      <c r="D188" s="8">
        <v>645</v>
      </c>
      <c r="E188" s="8" t="s">
        <v>79</v>
      </c>
      <c r="F188" s="8">
        <v>49</v>
      </c>
      <c r="G188" s="8">
        <v>0</v>
      </c>
      <c r="H188" s="7">
        <f t="shared" si="15"/>
        <v>0</v>
      </c>
      <c r="I188" s="7">
        <f>IF(B188=Queue_Intervals!A2,MAX(0,MIN(D188,Queue_Intervals!C2)-MAX(C188+90,Queue_Intervals!B2)),0)+IF(B188=Queue_Intervals!A3,MAX(0,MIN(D188,Queue_Intervals!C3)-MAX(C188+90,Queue_Intervals!B3)),0)+IF(B188=Queue_Intervals!A4,MAX(0,MIN(D188,Queue_Intervals!C4)-MAX(C188+90,Queue_Intervals!B4)),0)+IF(B188=Queue_Intervals!A5,MAX(0,MIN(D188,Queue_Intervals!C5)-MAX(C188+90,Queue_Intervals!B5)),0)</f>
        <v>0</v>
      </c>
      <c r="J188" s="7">
        <f t="shared" si="16"/>
        <v>0</v>
      </c>
      <c r="K188" s="7">
        <f>IF(B188=Queue_Intervals!A2,MAX(0,MIN(D188,Queue_Intervals!C2)-MAX(C188+120,Queue_Intervals!B2)),0)+IF(B188=Queue_Intervals!A3,MAX(0,MIN(D188,Queue_Intervals!C3)-MAX(C188+120,Queue_Intervals!B3)),0)+IF(B188=Queue_Intervals!A4,MAX(0,MIN(D188,Queue_Intervals!C4)-MAX(C188+120,Queue_Intervals!B4)),0)+IF(B188=Queue_Intervals!A5,MAX(0,MIN(D188,Queue_Intervals!C5)-MAX(C188+120,Queue_Intervals!B5)),0)</f>
        <v>0</v>
      </c>
      <c r="L188" s="7">
        <f t="shared" si="17"/>
        <v>0</v>
      </c>
      <c r="M188" s="7">
        <f>IF(B188=Queue_Intervals!A2,MAX(0,MIN(D188,Queue_Intervals!C2)-MAX(C188+150,Queue_Intervals!B2)),0)+IF(B188=Queue_Intervals!A3,MAX(0,MIN(D188,Queue_Intervals!C3)-MAX(C188+150,Queue_Intervals!B3)),0)+IF(B188=Queue_Intervals!A4,MAX(0,MIN(D188,Queue_Intervals!C4)-MAX(C188+150,Queue_Intervals!B4)),0)+IF(B188=Queue_Intervals!A5,MAX(0,MIN(D188,Queue_Intervals!C5)-MAX(C188+150,Queue_Intervals!B5)),0)</f>
        <v>0</v>
      </c>
    </row>
    <row r="189" spans="1:13" ht="24.95" customHeight="1">
      <c r="A189" s="7" t="s">
        <v>270</v>
      </c>
      <c r="B189" s="8" t="s">
        <v>247</v>
      </c>
      <c r="C189" s="8">
        <v>616</v>
      </c>
      <c r="D189" s="8">
        <v>662</v>
      </c>
      <c r="E189" s="8" t="s">
        <v>79</v>
      </c>
      <c r="F189" s="8">
        <v>46</v>
      </c>
      <c r="G189" s="8">
        <v>0</v>
      </c>
      <c r="H189" s="7">
        <f t="shared" si="15"/>
        <v>0</v>
      </c>
      <c r="I189" s="7">
        <f>IF(B189=Queue_Intervals!A2,MAX(0,MIN(D189,Queue_Intervals!C2)-MAX(C189+90,Queue_Intervals!B2)),0)+IF(B189=Queue_Intervals!A3,MAX(0,MIN(D189,Queue_Intervals!C3)-MAX(C189+90,Queue_Intervals!B3)),0)+IF(B189=Queue_Intervals!A4,MAX(0,MIN(D189,Queue_Intervals!C4)-MAX(C189+90,Queue_Intervals!B4)),0)+IF(B189=Queue_Intervals!A5,MAX(0,MIN(D189,Queue_Intervals!C5)-MAX(C189+90,Queue_Intervals!B5)),0)</f>
        <v>0</v>
      </c>
      <c r="J189" s="7">
        <f t="shared" si="16"/>
        <v>0</v>
      </c>
      <c r="K189" s="7">
        <f>IF(B189=Queue_Intervals!A2,MAX(0,MIN(D189,Queue_Intervals!C2)-MAX(C189+120,Queue_Intervals!B2)),0)+IF(B189=Queue_Intervals!A3,MAX(0,MIN(D189,Queue_Intervals!C3)-MAX(C189+120,Queue_Intervals!B3)),0)+IF(B189=Queue_Intervals!A4,MAX(0,MIN(D189,Queue_Intervals!C4)-MAX(C189+120,Queue_Intervals!B4)),0)+IF(B189=Queue_Intervals!A5,MAX(0,MIN(D189,Queue_Intervals!C5)-MAX(C189+120,Queue_Intervals!B5)),0)</f>
        <v>0</v>
      </c>
      <c r="L189" s="7">
        <f t="shared" si="17"/>
        <v>0</v>
      </c>
      <c r="M189" s="7">
        <f>IF(B189=Queue_Intervals!A2,MAX(0,MIN(D189,Queue_Intervals!C2)-MAX(C189+150,Queue_Intervals!B2)),0)+IF(B189=Queue_Intervals!A3,MAX(0,MIN(D189,Queue_Intervals!C3)-MAX(C189+150,Queue_Intervals!B3)),0)+IF(B189=Queue_Intervals!A4,MAX(0,MIN(D189,Queue_Intervals!C4)-MAX(C189+150,Queue_Intervals!B4)),0)+IF(B189=Queue_Intervals!A5,MAX(0,MIN(D189,Queue_Intervals!C5)-MAX(C189+150,Queue_Intervals!B5)),0)</f>
        <v>0</v>
      </c>
    </row>
    <row r="190" spans="1:13" ht="24.95" customHeight="1">
      <c r="A190" s="7" t="s">
        <v>271</v>
      </c>
      <c r="B190" s="8" t="s">
        <v>247</v>
      </c>
      <c r="C190" s="8">
        <v>619</v>
      </c>
      <c r="D190" s="8">
        <v>690</v>
      </c>
      <c r="E190" s="8" t="s">
        <v>79</v>
      </c>
      <c r="F190" s="8">
        <v>71</v>
      </c>
      <c r="G190" s="8">
        <v>0</v>
      </c>
      <c r="H190" s="7">
        <f t="shared" si="15"/>
        <v>0</v>
      </c>
      <c r="I190" s="7">
        <f>IF(B190=Queue_Intervals!A2,MAX(0,MIN(D190,Queue_Intervals!C2)-MAX(C190+90,Queue_Intervals!B2)),0)+IF(B190=Queue_Intervals!A3,MAX(0,MIN(D190,Queue_Intervals!C3)-MAX(C190+90,Queue_Intervals!B3)),0)+IF(B190=Queue_Intervals!A4,MAX(0,MIN(D190,Queue_Intervals!C4)-MAX(C190+90,Queue_Intervals!B4)),0)+IF(B190=Queue_Intervals!A5,MAX(0,MIN(D190,Queue_Intervals!C5)-MAX(C190+90,Queue_Intervals!B5)),0)</f>
        <v>0</v>
      </c>
      <c r="J190" s="7">
        <f t="shared" si="16"/>
        <v>0</v>
      </c>
      <c r="K190" s="7">
        <f>IF(B190=Queue_Intervals!A2,MAX(0,MIN(D190,Queue_Intervals!C2)-MAX(C190+120,Queue_Intervals!B2)),0)+IF(B190=Queue_Intervals!A3,MAX(0,MIN(D190,Queue_Intervals!C3)-MAX(C190+120,Queue_Intervals!B3)),0)+IF(B190=Queue_Intervals!A4,MAX(0,MIN(D190,Queue_Intervals!C4)-MAX(C190+120,Queue_Intervals!B4)),0)+IF(B190=Queue_Intervals!A5,MAX(0,MIN(D190,Queue_Intervals!C5)-MAX(C190+120,Queue_Intervals!B5)),0)</f>
        <v>0</v>
      </c>
      <c r="L190" s="7">
        <f t="shared" si="17"/>
        <v>0</v>
      </c>
      <c r="M190" s="7">
        <f>IF(B190=Queue_Intervals!A2,MAX(0,MIN(D190,Queue_Intervals!C2)-MAX(C190+150,Queue_Intervals!B2)),0)+IF(B190=Queue_Intervals!A3,MAX(0,MIN(D190,Queue_Intervals!C3)-MAX(C190+150,Queue_Intervals!B3)),0)+IF(B190=Queue_Intervals!A4,MAX(0,MIN(D190,Queue_Intervals!C4)-MAX(C190+150,Queue_Intervals!B4)),0)+IF(B190=Queue_Intervals!A5,MAX(0,MIN(D190,Queue_Intervals!C5)-MAX(C190+150,Queue_Intervals!B5)),0)</f>
        <v>0</v>
      </c>
    </row>
    <row r="191" spans="1:13" ht="24.95" customHeight="1">
      <c r="A191" s="7" t="s">
        <v>272</v>
      </c>
      <c r="B191" s="8" t="s">
        <v>247</v>
      </c>
      <c r="C191" s="8">
        <v>628</v>
      </c>
      <c r="D191" s="8">
        <v>735</v>
      </c>
      <c r="E191" s="8" t="s">
        <v>79</v>
      </c>
      <c r="F191" s="8">
        <v>107</v>
      </c>
      <c r="G191" s="8">
        <v>0</v>
      </c>
      <c r="H191" s="7">
        <f t="shared" si="15"/>
        <v>17</v>
      </c>
      <c r="I191" s="7">
        <f>IF(B191=Queue_Intervals!A2,MAX(0,MIN(D191,Queue_Intervals!C2)-MAX(C191+90,Queue_Intervals!B2)),0)+IF(B191=Queue_Intervals!A3,MAX(0,MIN(D191,Queue_Intervals!C3)-MAX(C191+90,Queue_Intervals!B3)),0)+IF(B191=Queue_Intervals!A4,MAX(0,MIN(D191,Queue_Intervals!C4)-MAX(C191+90,Queue_Intervals!B4)),0)+IF(B191=Queue_Intervals!A5,MAX(0,MIN(D191,Queue_Intervals!C5)-MAX(C191+90,Queue_Intervals!B5)),0)</f>
        <v>0</v>
      </c>
      <c r="J191" s="7">
        <f t="shared" si="16"/>
        <v>0</v>
      </c>
      <c r="K191" s="7">
        <f>IF(B191=Queue_Intervals!A2,MAX(0,MIN(D191,Queue_Intervals!C2)-MAX(C191+120,Queue_Intervals!B2)),0)+IF(B191=Queue_Intervals!A3,MAX(0,MIN(D191,Queue_Intervals!C3)-MAX(C191+120,Queue_Intervals!B3)),0)+IF(B191=Queue_Intervals!A4,MAX(0,MIN(D191,Queue_Intervals!C4)-MAX(C191+120,Queue_Intervals!B4)),0)+IF(B191=Queue_Intervals!A5,MAX(0,MIN(D191,Queue_Intervals!C5)-MAX(C191+120,Queue_Intervals!B5)),0)</f>
        <v>0</v>
      </c>
      <c r="L191" s="7">
        <f t="shared" si="17"/>
        <v>0</v>
      </c>
      <c r="M191" s="7">
        <f>IF(B191=Queue_Intervals!A2,MAX(0,MIN(D191,Queue_Intervals!C2)-MAX(C191+150,Queue_Intervals!B2)),0)+IF(B191=Queue_Intervals!A3,MAX(0,MIN(D191,Queue_Intervals!C3)-MAX(C191+150,Queue_Intervals!B3)),0)+IF(B191=Queue_Intervals!A4,MAX(0,MIN(D191,Queue_Intervals!C4)-MAX(C191+150,Queue_Intervals!B4)),0)+IF(B191=Queue_Intervals!A5,MAX(0,MIN(D191,Queue_Intervals!C5)-MAX(C191+150,Queue_Intervals!B5)),0)</f>
        <v>0</v>
      </c>
    </row>
    <row r="192" spans="1:13" ht="24.95" customHeight="1">
      <c r="A192" s="7" t="s">
        <v>273</v>
      </c>
      <c r="B192" s="8" t="s">
        <v>247</v>
      </c>
      <c r="C192" s="8">
        <v>636</v>
      </c>
      <c r="D192" s="8">
        <v>710</v>
      </c>
      <c r="E192" s="8" t="s">
        <v>79</v>
      </c>
      <c r="F192" s="8">
        <v>74</v>
      </c>
      <c r="G192" s="8">
        <v>0</v>
      </c>
      <c r="H192" s="7">
        <f t="shared" si="15"/>
        <v>0</v>
      </c>
      <c r="I192" s="7">
        <f>IF(B192=Queue_Intervals!A2,MAX(0,MIN(D192,Queue_Intervals!C2)-MAX(C192+90,Queue_Intervals!B2)),0)+IF(B192=Queue_Intervals!A3,MAX(0,MIN(D192,Queue_Intervals!C3)-MAX(C192+90,Queue_Intervals!B3)),0)+IF(B192=Queue_Intervals!A4,MAX(0,MIN(D192,Queue_Intervals!C4)-MAX(C192+90,Queue_Intervals!B4)),0)+IF(B192=Queue_Intervals!A5,MAX(0,MIN(D192,Queue_Intervals!C5)-MAX(C192+90,Queue_Intervals!B5)),0)</f>
        <v>0</v>
      </c>
      <c r="J192" s="7">
        <f t="shared" si="16"/>
        <v>0</v>
      </c>
      <c r="K192" s="7">
        <f>IF(B192=Queue_Intervals!A2,MAX(0,MIN(D192,Queue_Intervals!C2)-MAX(C192+120,Queue_Intervals!B2)),0)+IF(B192=Queue_Intervals!A3,MAX(0,MIN(D192,Queue_Intervals!C3)-MAX(C192+120,Queue_Intervals!B3)),0)+IF(B192=Queue_Intervals!A4,MAX(0,MIN(D192,Queue_Intervals!C4)-MAX(C192+120,Queue_Intervals!B4)),0)+IF(B192=Queue_Intervals!A5,MAX(0,MIN(D192,Queue_Intervals!C5)-MAX(C192+120,Queue_Intervals!B5)),0)</f>
        <v>0</v>
      </c>
      <c r="L192" s="7">
        <f t="shared" si="17"/>
        <v>0</v>
      </c>
      <c r="M192" s="7">
        <f>IF(B192=Queue_Intervals!A2,MAX(0,MIN(D192,Queue_Intervals!C2)-MAX(C192+150,Queue_Intervals!B2)),0)+IF(B192=Queue_Intervals!A3,MAX(0,MIN(D192,Queue_Intervals!C3)-MAX(C192+150,Queue_Intervals!B3)),0)+IF(B192=Queue_Intervals!A4,MAX(0,MIN(D192,Queue_Intervals!C4)-MAX(C192+150,Queue_Intervals!B4)),0)+IF(B192=Queue_Intervals!A5,MAX(0,MIN(D192,Queue_Intervals!C5)-MAX(C192+150,Queue_Intervals!B5)),0)</f>
        <v>0</v>
      </c>
    </row>
    <row r="193" spans="1:13" ht="24.95" customHeight="1">
      <c r="A193" s="7" t="s">
        <v>274</v>
      </c>
      <c r="B193" s="8" t="s">
        <v>247</v>
      </c>
      <c r="C193" s="8">
        <v>634</v>
      </c>
      <c r="D193" s="8">
        <v>684</v>
      </c>
      <c r="E193" s="8" t="s">
        <v>79</v>
      </c>
      <c r="F193" s="8">
        <v>50</v>
      </c>
      <c r="G193" s="8">
        <v>0</v>
      </c>
      <c r="H193" s="7">
        <f t="shared" si="15"/>
        <v>0</v>
      </c>
      <c r="I193" s="7">
        <f>IF(B193=Queue_Intervals!A2,MAX(0,MIN(D193,Queue_Intervals!C2)-MAX(C193+90,Queue_Intervals!B2)),0)+IF(B193=Queue_Intervals!A3,MAX(0,MIN(D193,Queue_Intervals!C3)-MAX(C193+90,Queue_Intervals!B3)),0)+IF(B193=Queue_Intervals!A4,MAX(0,MIN(D193,Queue_Intervals!C4)-MAX(C193+90,Queue_Intervals!B4)),0)+IF(B193=Queue_Intervals!A5,MAX(0,MIN(D193,Queue_Intervals!C5)-MAX(C193+90,Queue_Intervals!B5)),0)</f>
        <v>0</v>
      </c>
      <c r="J193" s="7">
        <f t="shared" si="16"/>
        <v>0</v>
      </c>
      <c r="K193" s="7">
        <f>IF(B193=Queue_Intervals!A2,MAX(0,MIN(D193,Queue_Intervals!C2)-MAX(C193+120,Queue_Intervals!B2)),0)+IF(B193=Queue_Intervals!A3,MAX(0,MIN(D193,Queue_Intervals!C3)-MAX(C193+120,Queue_Intervals!B3)),0)+IF(B193=Queue_Intervals!A4,MAX(0,MIN(D193,Queue_Intervals!C4)-MAX(C193+120,Queue_Intervals!B4)),0)+IF(B193=Queue_Intervals!A5,MAX(0,MIN(D193,Queue_Intervals!C5)-MAX(C193+120,Queue_Intervals!B5)),0)</f>
        <v>0</v>
      </c>
      <c r="L193" s="7">
        <f t="shared" si="17"/>
        <v>0</v>
      </c>
      <c r="M193" s="7">
        <f>IF(B193=Queue_Intervals!A2,MAX(0,MIN(D193,Queue_Intervals!C2)-MAX(C193+150,Queue_Intervals!B2)),0)+IF(B193=Queue_Intervals!A3,MAX(0,MIN(D193,Queue_Intervals!C3)-MAX(C193+150,Queue_Intervals!B3)),0)+IF(B193=Queue_Intervals!A4,MAX(0,MIN(D193,Queue_Intervals!C4)-MAX(C193+150,Queue_Intervals!B4)),0)+IF(B193=Queue_Intervals!A5,MAX(0,MIN(D193,Queue_Intervals!C5)-MAX(C193+150,Queue_Intervals!B5)),0)</f>
        <v>0</v>
      </c>
    </row>
    <row r="194" spans="1:13" ht="24.95" customHeight="1">
      <c r="A194" s="7" t="s">
        <v>275</v>
      </c>
      <c r="B194" s="8" t="s">
        <v>247</v>
      </c>
      <c r="C194" s="8">
        <v>639</v>
      </c>
      <c r="D194" s="8">
        <v>810</v>
      </c>
      <c r="E194" s="8" t="s">
        <v>79</v>
      </c>
      <c r="F194" s="8">
        <v>171</v>
      </c>
      <c r="G194" s="8">
        <v>0</v>
      </c>
      <c r="H194" s="7">
        <f t="shared" ref="H194:H199" si="18">MAX(0,F194-90)</f>
        <v>81</v>
      </c>
      <c r="I194" s="7">
        <f>IF(B194=Queue_Intervals!A2,MAX(0,MIN(D194,Queue_Intervals!C2)-MAX(C194+90,Queue_Intervals!B2)),0)+IF(B194=Queue_Intervals!A3,MAX(0,MIN(D194,Queue_Intervals!C3)-MAX(C194+90,Queue_Intervals!B3)),0)+IF(B194=Queue_Intervals!A4,MAX(0,MIN(D194,Queue_Intervals!C4)-MAX(C194+90,Queue_Intervals!B4)),0)+IF(B194=Queue_Intervals!A5,MAX(0,MIN(D194,Queue_Intervals!C5)-MAX(C194+90,Queue_Intervals!B5)),0)</f>
        <v>0</v>
      </c>
      <c r="J194" s="7">
        <f t="shared" ref="J194:J199" si="19">MAX(0,F194-120)</f>
        <v>51</v>
      </c>
      <c r="K194" s="7">
        <f>IF(B194=Queue_Intervals!A2,MAX(0,MIN(D194,Queue_Intervals!C2)-MAX(C194+120,Queue_Intervals!B2)),0)+IF(B194=Queue_Intervals!A3,MAX(0,MIN(D194,Queue_Intervals!C3)-MAX(C194+120,Queue_Intervals!B3)),0)+IF(B194=Queue_Intervals!A4,MAX(0,MIN(D194,Queue_Intervals!C4)-MAX(C194+120,Queue_Intervals!B4)),0)+IF(B194=Queue_Intervals!A5,MAX(0,MIN(D194,Queue_Intervals!C5)-MAX(C194+120,Queue_Intervals!B5)),0)</f>
        <v>0</v>
      </c>
      <c r="L194" s="7">
        <f t="shared" ref="L194:L199" si="20">MAX(0,F194-150)</f>
        <v>21</v>
      </c>
      <c r="M194" s="7">
        <f>IF(B194=Queue_Intervals!A2,MAX(0,MIN(D194,Queue_Intervals!C2)-MAX(C194+150,Queue_Intervals!B2)),0)+IF(B194=Queue_Intervals!A3,MAX(0,MIN(D194,Queue_Intervals!C3)-MAX(C194+150,Queue_Intervals!B3)),0)+IF(B194=Queue_Intervals!A4,MAX(0,MIN(D194,Queue_Intervals!C4)-MAX(C194+150,Queue_Intervals!B4)),0)+IF(B194=Queue_Intervals!A5,MAX(0,MIN(D194,Queue_Intervals!C5)-MAX(C194+150,Queue_Intervals!B5)),0)</f>
        <v>0</v>
      </c>
    </row>
    <row r="195" spans="1:13" ht="24.95" customHeight="1">
      <c r="A195" s="7" t="s">
        <v>276</v>
      </c>
      <c r="B195" s="8" t="s">
        <v>247</v>
      </c>
      <c r="C195" s="8">
        <v>641</v>
      </c>
      <c r="D195" s="8">
        <v>700</v>
      </c>
      <c r="E195" s="8" t="s">
        <v>79</v>
      </c>
      <c r="F195" s="8">
        <v>59</v>
      </c>
      <c r="G195" s="8">
        <v>0</v>
      </c>
      <c r="H195" s="7">
        <f t="shared" si="18"/>
        <v>0</v>
      </c>
      <c r="I195" s="7">
        <f>IF(B195=Queue_Intervals!A2,MAX(0,MIN(D195,Queue_Intervals!C2)-MAX(C195+90,Queue_Intervals!B2)),0)+IF(B195=Queue_Intervals!A3,MAX(0,MIN(D195,Queue_Intervals!C3)-MAX(C195+90,Queue_Intervals!B3)),0)+IF(B195=Queue_Intervals!A4,MAX(0,MIN(D195,Queue_Intervals!C4)-MAX(C195+90,Queue_Intervals!B4)),0)+IF(B195=Queue_Intervals!A5,MAX(0,MIN(D195,Queue_Intervals!C5)-MAX(C195+90,Queue_Intervals!B5)),0)</f>
        <v>0</v>
      </c>
      <c r="J195" s="7">
        <f t="shared" si="19"/>
        <v>0</v>
      </c>
      <c r="K195" s="7">
        <f>IF(B195=Queue_Intervals!A2,MAX(0,MIN(D195,Queue_Intervals!C2)-MAX(C195+120,Queue_Intervals!B2)),0)+IF(B195=Queue_Intervals!A3,MAX(0,MIN(D195,Queue_Intervals!C3)-MAX(C195+120,Queue_Intervals!B3)),0)+IF(B195=Queue_Intervals!A4,MAX(0,MIN(D195,Queue_Intervals!C4)-MAX(C195+120,Queue_Intervals!B4)),0)+IF(B195=Queue_Intervals!A5,MAX(0,MIN(D195,Queue_Intervals!C5)-MAX(C195+120,Queue_Intervals!B5)),0)</f>
        <v>0</v>
      </c>
      <c r="L195" s="7">
        <f t="shared" si="20"/>
        <v>0</v>
      </c>
      <c r="M195" s="7">
        <f>IF(B195=Queue_Intervals!A2,MAX(0,MIN(D195,Queue_Intervals!C2)-MAX(C195+150,Queue_Intervals!B2)),0)+IF(B195=Queue_Intervals!A3,MAX(0,MIN(D195,Queue_Intervals!C3)-MAX(C195+150,Queue_Intervals!B3)),0)+IF(B195=Queue_Intervals!A4,MAX(0,MIN(D195,Queue_Intervals!C4)-MAX(C195+150,Queue_Intervals!B4)),0)+IF(B195=Queue_Intervals!A5,MAX(0,MIN(D195,Queue_Intervals!C5)-MAX(C195+150,Queue_Intervals!B5)),0)</f>
        <v>0</v>
      </c>
    </row>
    <row r="196" spans="1:13" ht="24.95" customHeight="1">
      <c r="A196" s="7" t="s">
        <v>277</v>
      </c>
      <c r="B196" s="8" t="s">
        <v>247</v>
      </c>
      <c r="C196" s="8">
        <v>654</v>
      </c>
      <c r="D196" s="8">
        <v>718</v>
      </c>
      <c r="E196" s="8" t="s">
        <v>79</v>
      </c>
      <c r="F196" s="8">
        <v>64</v>
      </c>
      <c r="G196" s="8">
        <v>0</v>
      </c>
      <c r="H196" s="7">
        <f t="shared" si="18"/>
        <v>0</v>
      </c>
      <c r="I196" s="7">
        <f>IF(B196=Queue_Intervals!A2,MAX(0,MIN(D196,Queue_Intervals!C2)-MAX(C196+90,Queue_Intervals!B2)),0)+IF(B196=Queue_Intervals!A3,MAX(0,MIN(D196,Queue_Intervals!C3)-MAX(C196+90,Queue_Intervals!B3)),0)+IF(B196=Queue_Intervals!A4,MAX(0,MIN(D196,Queue_Intervals!C4)-MAX(C196+90,Queue_Intervals!B4)),0)+IF(B196=Queue_Intervals!A5,MAX(0,MIN(D196,Queue_Intervals!C5)-MAX(C196+90,Queue_Intervals!B5)),0)</f>
        <v>0</v>
      </c>
      <c r="J196" s="7">
        <f t="shared" si="19"/>
        <v>0</v>
      </c>
      <c r="K196" s="7">
        <f>IF(B196=Queue_Intervals!A2,MAX(0,MIN(D196,Queue_Intervals!C2)-MAX(C196+120,Queue_Intervals!B2)),0)+IF(B196=Queue_Intervals!A3,MAX(0,MIN(D196,Queue_Intervals!C3)-MAX(C196+120,Queue_Intervals!B3)),0)+IF(B196=Queue_Intervals!A4,MAX(0,MIN(D196,Queue_Intervals!C4)-MAX(C196+120,Queue_Intervals!B4)),0)+IF(B196=Queue_Intervals!A5,MAX(0,MIN(D196,Queue_Intervals!C5)-MAX(C196+120,Queue_Intervals!B5)),0)</f>
        <v>0</v>
      </c>
      <c r="L196" s="7">
        <f t="shared" si="20"/>
        <v>0</v>
      </c>
      <c r="M196" s="7">
        <f>IF(B196=Queue_Intervals!A2,MAX(0,MIN(D196,Queue_Intervals!C2)-MAX(C196+150,Queue_Intervals!B2)),0)+IF(B196=Queue_Intervals!A3,MAX(0,MIN(D196,Queue_Intervals!C3)-MAX(C196+150,Queue_Intervals!B3)),0)+IF(B196=Queue_Intervals!A4,MAX(0,MIN(D196,Queue_Intervals!C4)-MAX(C196+150,Queue_Intervals!B4)),0)+IF(B196=Queue_Intervals!A5,MAX(0,MIN(D196,Queue_Intervals!C5)-MAX(C196+150,Queue_Intervals!B5)),0)</f>
        <v>0</v>
      </c>
    </row>
    <row r="197" spans="1:13" ht="24.95" customHeight="1">
      <c r="A197" s="7" t="s">
        <v>278</v>
      </c>
      <c r="B197" s="8" t="s">
        <v>247</v>
      </c>
      <c r="C197" s="8">
        <v>656</v>
      </c>
      <c r="D197" s="8">
        <v>699</v>
      </c>
      <c r="E197" s="8" t="s">
        <v>79</v>
      </c>
      <c r="F197" s="8">
        <v>43</v>
      </c>
      <c r="G197" s="8">
        <v>0</v>
      </c>
      <c r="H197" s="7">
        <f t="shared" si="18"/>
        <v>0</v>
      </c>
      <c r="I197" s="7">
        <f>IF(B197=Queue_Intervals!A2,MAX(0,MIN(D197,Queue_Intervals!C2)-MAX(C197+90,Queue_Intervals!B2)),0)+IF(B197=Queue_Intervals!A3,MAX(0,MIN(D197,Queue_Intervals!C3)-MAX(C197+90,Queue_Intervals!B3)),0)+IF(B197=Queue_Intervals!A4,MAX(0,MIN(D197,Queue_Intervals!C4)-MAX(C197+90,Queue_Intervals!B4)),0)+IF(B197=Queue_Intervals!A5,MAX(0,MIN(D197,Queue_Intervals!C5)-MAX(C197+90,Queue_Intervals!B5)),0)</f>
        <v>0</v>
      </c>
      <c r="J197" s="7">
        <f t="shared" si="19"/>
        <v>0</v>
      </c>
      <c r="K197" s="7">
        <f>IF(B197=Queue_Intervals!A2,MAX(0,MIN(D197,Queue_Intervals!C2)-MAX(C197+120,Queue_Intervals!B2)),0)+IF(B197=Queue_Intervals!A3,MAX(0,MIN(D197,Queue_Intervals!C3)-MAX(C197+120,Queue_Intervals!B3)),0)+IF(B197=Queue_Intervals!A4,MAX(0,MIN(D197,Queue_Intervals!C4)-MAX(C197+120,Queue_Intervals!B4)),0)+IF(B197=Queue_Intervals!A5,MAX(0,MIN(D197,Queue_Intervals!C5)-MAX(C197+120,Queue_Intervals!B5)),0)</f>
        <v>0</v>
      </c>
      <c r="L197" s="7">
        <f t="shared" si="20"/>
        <v>0</v>
      </c>
      <c r="M197" s="7">
        <f>IF(B197=Queue_Intervals!A2,MAX(0,MIN(D197,Queue_Intervals!C2)-MAX(C197+150,Queue_Intervals!B2)),0)+IF(B197=Queue_Intervals!A3,MAX(0,MIN(D197,Queue_Intervals!C3)-MAX(C197+150,Queue_Intervals!B3)),0)+IF(B197=Queue_Intervals!A4,MAX(0,MIN(D197,Queue_Intervals!C4)-MAX(C197+150,Queue_Intervals!B4)),0)+IF(B197=Queue_Intervals!A5,MAX(0,MIN(D197,Queue_Intervals!C5)-MAX(C197+150,Queue_Intervals!B5)),0)</f>
        <v>0</v>
      </c>
    </row>
    <row r="198" spans="1:13" ht="24.95" customHeight="1">
      <c r="A198" s="7" t="s">
        <v>279</v>
      </c>
      <c r="B198" s="8" t="s">
        <v>247</v>
      </c>
      <c r="C198" s="8">
        <v>668</v>
      </c>
      <c r="D198" s="8">
        <v>704</v>
      </c>
      <c r="E198" s="8" t="s">
        <v>79</v>
      </c>
      <c r="F198" s="8">
        <v>36</v>
      </c>
      <c r="G198" s="8">
        <v>0</v>
      </c>
      <c r="H198" s="7">
        <f t="shared" si="18"/>
        <v>0</v>
      </c>
      <c r="I198" s="7">
        <f>IF(B198=Queue_Intervals!A2,MAX(0,MIN(D198,Queue_Intervals!C2)-MAX(C198+90,Queue_Intervals!B2)),0)+IF(B198=Queue_Intervals!A3,MAX(0,MIN(D198,Queue_Intervals!C3)-MAX(C198+90,Queue_Intervals!B3)),0)+IF(B198=Queue_Intervals!A4,MAX(0,MIN(D198,Queue_Intervals!C4)-MAX(C198+90,Queue_Intervals!B4)),0)+IF(B198=Queue_Intervals!A5,MAX(0,MIN(D198,Queue_Intervals!C5)-MAX(C198+90,Queue_Intervals!B5)),0)</f>
        <v>0</v>
      </c>
      <c r="J198" s="7">
        <f t="shared" si="19"/>
        <v>0</v>
      </c>
      <c r="K198" s="7">
        <f>IF(B198=Queue_Intervals!A2,MAX(0,MIN(D198,Queue_Intervals!C2)-MAX(C198+120,Queue_Intervals!B2)),0)+IF(B198=Queue_Intervals!A3,MAX(0,MIN(D198,Queue_Intervals!C3)-MAX(C198+120,Queue_Intervals!B3)),0)+IF(B198=Queue_Intervals!A4,MAX(0,MIN(D198,Queue_Intervals!C4)-MAX(C198+120,Queue_Intervals!B4)),0)+IF(B198=Queue_Intervals!A5,MAX(0,MIN(D198,Queue_Intervals!C5)-MAX(C198+120,Queue_Intervals!B5)),0)</f>
        <v>0</v>
      </c>
      <c r="L198" s="7">
        <f t="shared" si="20"/>
        <v>0</v>
      </c>
      <c r="M198" s="7">
        <f>IF(B198=Queue_Intervals!A2,MAX(0,MIN(D198,Queue_Intervals!C2)-MAX(C198+150,Queue_Intervals!B2)),0)+IF(B198=Queue_Intervals!A3,MAX(0,MIN(D198,Queue_Intervals!C3)-MAX(C198+150,Queue_Intervals!B3)),0)+IF(B198=Queue_Intervals!A4,MAX(0,MIN(D198,Queue_Intervals!C4)-MAX(C198+150,Queue_Intervals!B4)),0)+IF(B198=Queue_Intervals!A5,MAX(0,MIN(D198,Queue_Intervals!C5)-MAX(C198+150,Queue_Intervals!B5)),0)</f>
        <v>0</v>
      </c>
    </row>
    <row r="199" spans="1:13" ht="24.95" customHeight="1">
      <c r="A199" s="7" t="s">
        <v>280</v>
      </c>
      <c r="B199" s="8" t="s">
        <v>247</v>
      </c>
      <c r="C199" s="8">
        <v>699</v>
      </c>
      <c r="D199" s="8">
        <v>810</v>
      </c>
      <c r="E199" s="8" t="s">
        <v>79</v>
      </c>
      <c r="F199" s="8">
        <v>111</v>
      </c>
      <c r="G199" s="8">
        <v>0</v>
      </c>
      <c r="H199" s="7">
        <f t="shared" si="18"/>
        <v>21</v>
      </c>
      <c r="I199" s="7">
        <f>IF(B199=Queue_Intervals!A2,MAX(0,MIN(D199,Queue_Intervals!C2)-MAX(C199+90,Queue_Intervals!B2)),0)+IF(B199=Queue_Intervals!A3,MAX(0,MIN(D199,Queue_Intervals!C3)-MAX(C199+90,Queue_Intervals!B3)),0)+IF(B199=Queue_Intervals!A4,MAX(0,MIN(D199,Queue_Intervals!C4)-MAX(C199+90,Queue_Intervals!B4)),0)+IF(B199=Queue_Intervals!A5,MAX(0,MIN(D199,Queue_Intervals!C5)-MAX(C199+90,Queue_Intervals!B5)),0)</f>
        <v>0</v>
      </c>
      <c r="J199" s="7">
        <f t="shared" si="19"/>
        <v>0</v>
      </c>
      <c r="K199" s="7">
        <f>IF(B199=Queue_Intervals!A2,MAX(0,MIN(D199,Queue_Intervals!C2)-MAX(C199+120,Queue_Intervals!B2)),0)+IF(B199=Queue_Intervals!A3,MAX(0,MIN(D199,Queue_Intervals!C3)-MAX(C199+120,Queue_Intervals!B3)),0)+IF(B199=Queue_Intervals!A4,MAX(0,MIN(D199,Queue_Intervals!C4)-MAX(C199+120,Queue_Intervals!B4)),0)+IF(B199=Queue_Intervals!A5,MAX(0,MIN(D199,Queue_Intervals!C5)-MAX(C199+120,Queue_Intervals!B5)),0)</f>
        <v>0</v>
      </c>
      <c r="L199" s="7">
        <f t="shared" si="20"/>
        <v>0</v>
      </c>
      <c r="M199" s="7">
        <f>IF(B199=Queue_Intervals!A2,MAX(0,MIN(D199,Queue_Intervals!C2)-MAX(C199+150,Queue_Intervals!B2)),0)+IF(B199=Queue_Intervals!A3,MAX(0,MIN(D199,Queue_Intervals!C3)-MAX(C199+150,Queue_Intervals!B3)),0)+IF(B199=Queue_Intervals!A4,MAX(0,MIN(D199,Queue_Intervals!C4)-MAX(C199+150,Queue_Intervals!B4)),0)+IF(B199=Queue_Intervals!A5,MAX(0,MIN(D199,Queue_Intervals!C5)-MAX(C199+150,Queue_Intervals!B5)),0)</f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5"/>
  <sheetViews>
    <sheetView showGridLines="0" workbookViewId="0">
      <selection activeCell="D24" sqref="D24"/>
    </sheetView>
  </sheetViews>
  <sheetFormatPr defaultRowHeight="14.25"/>
  <cols>
    <col min="1" max="3" width="23" customWidth="1"/>
    <col min="5" max="5" width="125" customWidth="1"/>
  </cols>
  <sheetData>
    <row r="1" spans="1:5" ht="42" customHeight="1">
      <c r="A1" s="10" t="s">
        <v>65</v>
      </c>
      <c r="B1" s="10" t="s">
        <v>281</v>
      </c>
      <c r="C1" s="10" t="s">
        <v>282</v>
      </c>
      <c r="E1" s="9" t="s">
        <v>283</v>
      </c>
    </row>
    <row r="2" spans="1:5" ht="27.95" customHeight="1">
      <c r="A2" s="8" t="s">
        <v>105</v>
      </c>
      <c r="B2" s="8">
        <v>427</v>
      </c>
      <c r="C2" s="8">
        <v>435</v>
      </c>
      <c r="E2" s="9" t="s">
        <v>284</v>
      </c>
    </row>
    <row r="3" spans="1:5" ht="27.95" customHeight="1">
      <c r="A3" s="8" t="s">
        <v>105</v>
      </c>
      <c r="B3" s="8">
        <v>505</v>
      </c>
      <c r="C3" s="8">
        <v>528</v>
      </c>
      <c r="E3" s="9" t="s">
        <v>285</v>
      </c>
    </row>
    <row r="4" spans="1:5" ht="27.95" customHeight="1">
      <c r="A4" s="8" t="s">
        <v>105</v>
      </c>
      <c r="B4" s="8">
        <v>536</v>
      </c>
      <c r="C4" s="8">
        <v>594</v>
      </c>
      <c r="E4" s="9" t="s">
        <v>286</v>
      </c>
    </row>
    <row r="5" spans="1:5" ht="27.95" customHeight="1">
      <c r="A5" s="8" t="s">
        <v>160</v>
      </c>
      <c r="B5" s="8">
        <v>496</v>
      </c>
      <c r="C5" s="8">
        <v>700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Task3_Proposal</vt:lpstr>
      <vt:lpstr>Walkin_Data</vt:lpstr>
      <vt:lpstr>Queue_Intervals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Silawat Gladthong</dc:creator>
  <cp:lastModifiedBy>Silawat Gladthong</cp:lastModifiedBy>
  <dcterms:created xsi:type="dcterms:W3CDTF">2026-09-14T15:58:41Z</dcterms:created>
  <dcterms:modified xsi:type="dcterms:W3CDTF">2026-09-14T15:58:41Z</dcterms:modified>
</cp:coreProperties>
</file>