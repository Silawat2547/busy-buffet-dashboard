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d13136b85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3_Proposal" sheetId="1" r:id="R168ce292c1f54c09"/>
    <x:sheet xmlns:r="http://schemas.openxmlformats.org/officeDocument/2006/relationships" name="Walkin_Data" sheetId="2" r:id="R24196265e2a045d6"/>
    <x:sheet xmlns:r="http://schemas.openxmlformats.org/officeDocument/2006/relationships" name="Queue_Intervals" sheetId="3" r:id="Rb4d4e172e4664f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5">
    <x:font>
      <x:sz val="11"/>
      <x:name val="Carlito"/>
    </x:font>
    <x:font>
      <x:sz val="11"/>
      <x:color rgb="FF243248"/>
      <x:name val="Tahoma"/>
    </x:font>
    <x:font>
      <x:b/>
      <x:sz val="15"/>
      <x:color rgb="FF20344E"/>
      <x:name val="Tahoma"/>
    </x:font>
    <x:font>
      <x:b/>
      <x:sz val="10"/>
      <x:color rgb="FFFFFFFF"/>
      <x:name val="Tahoma"/>
    </x:font>
    <x:font>
      <x:sz val="10"/>
      <x:name val="Tahoma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E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662c6bad049f2" /><Relationship Type="http://schemas.openxmlformats.org/officeDocument/2006/relationships/theme" Target="/xl/theme/theme1.xml" Id="Rba63525484614b6a" /><Relationship Type="http://schemas.openxmlformats.org/officeDocument/2006/relationships/sharedStrings" Target="/xl/sharedStrings.xml" Id="Rc8a41083cc04443e" /><Relationship Type="http://schemas.openxmlformats.org/officeDocument/2006/relationships/worksheet" Target="/xl/worksheets/sheet1.xml" Id="R168ce292c1f54c09" /><Relationship Type="http://schemas.openxmlformats.org/officeDocument/2006/relationships/worksheet" Target="/xl/worksheets/sheet2.xml" Id="R24196265e2a045d6" /><Relationship Type="http://schemas.openxmlformats.org/officeDocument/2006/relationships/worksheet" Target="/xl/worksheets/sheet3.xml" Id="Rb4d4e172e4664f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1c6aa2892841e0" /><Relationship Type="http://schemas.openxmlformats.org/officeDocument/2006/relationships/chart" Target="/xl/drawings/charts/chart2.xml" Id="R53f3bdd58b4440e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Tahoma"/>
                <a:ea typeface="Tahoma"/>
                <a:cs typeface="Tahoma"/>
              </a:rPr>
              <a:t>สัดส่วนกลุ่มที่ได้รับผลกระทบ: สองชีตมีคิว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Tahoma"/>
              <a:ea typeface="Tahoma"/>
              <a:cs typeface="Tahoma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กระทบ
(%)</c:v>
          </c:tx>
          <c:spPr>
            <a:solidFill xmlns:a="http://schemas.openxmlformats.org/drawingml/2006/main">
              <a:srgbClr val="267B83"/>
            </a:solidFill>
          </c:spPr>
          <c:cat>
            <c:strRef>
              <c:f>'Task3_Proposal'!$A$19:$A$21</c:f>
              <c:strCache>
                <c:ptCount val="0"/>
              </c:strCache>
            </c:strRef>
          </c:cat>
          <c:val>
            <c:numRef>
              <c:f>'Task3_Proposal'!$C$19:$C$21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ahoma"/>
                <a:ea typeface="Tahoma"/>
                <a:cs typeface="Tahoma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ahoma"/>
                <a:ea typeface="Tahoma"/>
                <a:cs typeface="Tahoma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Tahoma"/>
                <a:ea typeface="Tahoma"/>
                <a:cs typeface="Tahoma"/>
              </a:rPr>
              <a:t>เวลาที่อาจลดได้ตรงกับคิวเดิม (นาทีกลุ่ม)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Tahoma"/>
              <a:ea typeface="Tahoma"/>
              <a:cs typeface="Tahoma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ตรงช่วงคิวเดิม
(นาทีกลุ่ม)</c:v>
          </c:tx>
          <c:spPr>
            <a:solidFill xmlns:a="http://schemas.openxmlformats.org/drawingml/2006/main">
              <a:srgbClr val="267B83"/>
            </a:solidFill>
          </c:spPr>
          <c:cat>
            <c:strRef>
              <c:f>'Task3_Proposal'!$A$19:$A$21</c:f>
              <c:strCache>
                <c:ptCount val="0"/>
              </c:strCache>
            </c:strRef>
          </c:cat>
          <c:val>
            <c:numRef>
              <c:f>'Task3_Proposal'!$E$19:$E$21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ahoma"/>
                <a:ea typeface="Tahoma"/>
                <a:cs typeface="Tahoma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ahoma"/>
                <a:ea typeface="Tahoma"/>
                <a:cs typeface="Tahoma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6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1c6aa2892841e0"/>
        </a:graphicData>
      </a:graphic>
    </xdr:graphicFrame>
    <xdr:clientData/>
  </xdr:twoCellAnchor>
  <xdr:twoCellAnchor>
    <xdr:from>
      <xdr:col>10</xdr:col>
      <xdr:colOff>0</xdr:colOff>
      <xdr:row>24</xdr:row>
      <xdr:rowOff>0</xdr:rowOff>
    </xdr:from>
    <xdr:to>
      <xdr:col>19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f3bdd58b4440e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alkinScenario" displayName="WalkinScenario" ref="A1:M199" headerRowCount="1" totalsRowCount="0" totalsRowShown="0">
  <x:autoFilter ref="A1:M199"/>
  <x:tableColumns count="13">
    <x:tableColumn id="1" name="group_id"/>
    <x:tableColumn id="2" name="source_sheet"/>
    <x:tableColumn id="3" name="start_minute"/>
    <x:tableColumn id="4" name="end_minute"/>
    <x:tableColumn id="5" name="guest_type"/>
    <x:tableColumn id="6" name="meal_minutes"/>
    <x:tableColumn id="7" name="focus_queue_day"/>
    <x:tableColumn id="8" name="released_90"/>
    <x:tableColumn id="9" name="overlap_90"/>
    <x:tableColumn id="10" name="released_120"/>
    <x:tableColumn id="11" name="overlap_120"/>
    <x:tableColumn id="12" name="released_150"/>
    <x:tableColumn id="13" name="overlap_150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ce9a8242024d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797d04ec8d402c" /></Relationships>
</file>

<file path=xl/worksheets/sheet1.xml><?xml version="1.0" encoding="utf-8"?>
<x:worksheet xmlns:x="http://schemas.openxmlformats.org/spreadsheetml/2006/main">
  <x:sheetPr>
    <x:tabColor rgb="FF20344E"/>
  </x:sheetPr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3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6" customHeight="1">
      <x:c r="A2" s="3" t="str">
        <x:v>Busy Buffet: Task 3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8" customHeight="1">
      <x:c r="A3" s="2" t="str">
        <x:v>ข้อเสนอ: ทดลองจำกัดเวลานั่ง Walk-in 120 นาทีในวันคาดว่าคิวหนาแน่น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8" customHeight="1">
      <x:c r="A4" s="2" t="str">
        <x:v>แจ้งเงื่อนไขก่อนซื้อและเริ่มนับเมื่อนั่งโต๊ะ; ไม่เปลี่ยนสิทธิ์ของลูกค้ากลางมื้อ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" customHeight="1">
      <x:c r="A5" s="2" t="str">
        <x:v>120 นาทีเป็นตัวเลือกทดลองที่มีเหตุผล ไม่ใช่เวลาที่พิสูจน์แล้วว่าดีที่สุด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56" customHeight="1">
      <x:c r="A7" s="7" t="str">
        <x:v>หลักฐานจากข้อมูล</x:v>
      </x:c>
      <x:c r="B7" s="7" t="str">
        <x:v>จำนวน / สัดส่วน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8" customHeight="1">
      <x:c r="A8" s="2" t="str">
        <x:v>Walk-in ที่เวลานั่งผ่านเกณฑ์</x:v>
      </x:c>
      <x:c r="B8" s="2" t="n">
        <x:f>COUNTA(Walkin_Data!A2:A199)</x:f>
        <x:v>198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28" customHeight="1">
      <x:c r="A9" s="2" t="str">
        <x:v>กินเสร็จภายใน 120 นาที</x:v>
      </x:c>
      <x:c r="B9" s="2" t="n">
        <x:f>COUNTIF(Walkin_Data!F2:F199,"&lt;=120")</x:f>
        <x:v>177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8" customHeight="1">
      <x:c r="A10" s="2" t="str">
        <x:v>สัดส่วนกินเสร็จใน 120 นาที</x:v>
      </x:c>
      <x:c r="B10" s="8" t="n">
        <x:f>B9/B8</x:f>
        <x:v>0.8939393939393939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8" customHeight="1">
      <x:c r="A11" s="2" t="str">
        <x:v>กลุ่มในสองชีตที่มีคิว</x:v>
      </x:c>
      <x:c r="B11" s="2" t="n">
        <x:f>SUM(Walkin_Data!G2:G199)</x:f>
        <x:v>103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8" customHeight="1">
      <x:c r="A12" s="2" t="str">
        <x:v>กลุ่มดังกล่าวที่นั่งเกิน 120 นาที</x:v>
      </x:c>
      <x:c r="B12" s="2" t="n">
        <x:f>COUNTIFS(Walkin_Data!G2:G199,1,Walkin_Data!F2:F199,"&gt;120")</x:f>
        <x:v>12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8" customHeight="1">
      <x:c r="A13" s="2" t="str">
        <x:v>สัดส่วนที่จะกระทบในสองชีต</x:v>
      </x:c>
      <x:c r="B13" s="8" t="n">
        <x:f>B12/B11</x:f>
        <x:v>0.11650485436893204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8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8" customHeight="1">
      <x:c r="A15" s="2" t="str">
        <x:v>ฐานสองชีต = 143 และ 153 เลือกเพื่ออธิบายกรณีมีคิว ไม่ใช่ตัวอย่างสุ่ม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28" customHeight="1">
      <x:c r="A16" s="2" t="str">
        <x:v>วันทดลองในอนาคตต้องเลือกและแจ้งล่วงหน้า ไม่ตัดสินใจลดสิทธิ์หลังขาย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56" customHeight="1">
      <x:c r="A18" s="7" t="str">
        <x:v>เพดาน (นาที)</x:v>
      </x:c>
      <x:c r="B18" s="7" t="str">
        <x:v>กระทบ
(กลุ่ม)</x:v>
      </x:c>
      <x:c r="C18" s="7" t="str">
        <x:v>กระทบ
(%)</x:v>
      </x:c>
      <x:c r="D18" s="7" t="str">
        <x:v>ลดเวลานั่ง
(นาทีกลุ่ม)</x:v>
      </x:c>
      <x:c r="E18" s="7" t="str">
        <x:v>ตรงช่วงคิวเดิม
(นาทีกลุ่ม)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8" customHeight="1">
      <x:c r="A19" s="2" t="n">
        <x:v>90</x:v>
      </x:c>
      <x:c r="B19" s="2" t="n">
        <x:f>COUNTIFS(Walkin_Data!$G$2:$G$199,1,Walkin_Data!H2:H199,"&gt;0")</x:f>
        <x:v>31</x:v>
      </x:c>
      <x:c r="C19" s="8" t="n">
        <x:f>B19/$B$11</x:f>
        <x:v>0.30097087378640774</x:v>
      </x:c>
      <x:c r="D19" s="9" t="n">
        <x:f>SUMIF(Walkin_Data!$G$2:$G$199,1,Walkin_Data!H2:H199)</x:f>
        <x:v>923</x:v>
      </x:c>
      <x:c r="E19" s="9" t="n">
        <x:f>SUMIF(Walkin_Data!$G$2:$G$199,1,Walkin_Data!I2:I199)</x:f>
        <x:v>633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28" customHeight="1">
      <x:c r="A20" s="2" t="n">
        <x:v>120</x:v>
      </x:c>
      <x:c r="B20" s="2" t="n">
        <x:f>COUNTIFS(Walkin_Data!$G$2:$G$199,1,Walkin_Data!J2:J199,"&gt;0")</x:f>
        <x:v>12</x:v>
      </x:c>
      <x:c r="C20" s="8" t="n">
        <x:f>B20/$B$11</x:f>
        <x:v>0.11650485436893204</x:v>
      </x:c>
      <x:c r="D20" s="9" t="n">
        <x:f>SUMIF(Walkin_Data!$G$2:$G$199,1,Walkin_Data!J2:J199)</x:f>
        <x:v>333</x:v>
      </x:c>
      <x:c r="E20" s="9" t="n">
        <x:f>SUMIF(Walkin_Data!$G$2:$G$199,1,Walkin_Data!K2:K199)</x:f>
        <x:v>246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28" customHeight="1">
      <x:c r="A21" s="2" t="n">
        <x:v>150</x:v>
      </x:c>
      <x:c r="B21" s="2" t="n">
        <x:f>COUNTIFS(Walkin_Data!$G$2:$G$199,1,Walkin_Data!L2:L199,"&gt;0")</x:f>
        <x:v>3</x:v>
      </x:c>
      <x:c r="C21" s="8" t="n">
        <x:f>B21/$B$11</x:f>
        <x:v>0.02912621359223301</x:v>
      </x:c>
      <x:c r="D21" s="9" t="n">
        <x:f>SUMIF(Walkin_Data!$G$2:$G$199,1,Walkin_Data!L2:L199)</x:f>
        <x:v>106</x:v>
      </x:c>
      <x:c r="E21" s="9" t="n">
        <x:f>SUMIF(Walkin_Data!$G$2:$G$199,1,Walkin_Data!M2:M199)</x:f>
        <x:v>86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8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28" customHeight="1">
      <x:c r="A23" s="2" t="str">
        <x:v>90 นาทีคืนเวลาได้มากกว่า แต่กระทบ 30.1% ของกลุ่มในสองชีต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8" customHeight="1">
      <x:c r="A24" s="2" t="str">
        <x:v>150 นาทีกระทบน้อยกว่า แต่ลดเวลาที่ตรงช่วงคิวเดิมได้น้อยกว่า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28" customHeight="1">
      <x:c r="A25" s="2" t="str">
        <x:v>120 นาทีจึงเป็นจุดเริ่มทดลองที่พิจารณาทั้งโอกาสคืนเวลาและผลต่อลูกค้า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2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36" customHeight="1">
      <x:c r="A28" s="3" t="str">
        <x:v>เหตุใดมาตรการนี้มีโอกาสช่วย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2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8" customHeight="1">
      <x:c r="A30" s="2" t="str">
        <x:v>ตัวอย่างจริง: ชีต 153 กลุ่ม 14 เริ่มกิน 08:00 และออก 10:46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8" customHeight="1">
      <x:c r="A31" s="2" t="str">
        <x:v>ถ้าจำกัด 120 นาทีและปฏิบัติตาม กลุ่มนี้จะออก 10:00 หรือเร็วขึ้น 46 นาที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8" customHeight="1">
      <x:c r="A32" s="2" t="str">
        <x:v>ช่วง 10:00-10:46 มีคิวเดิมอยู่ จึงมีโอกาสนำโต๊ะกลับมาให้บริการเร็วขึ้น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8" customHeight="1">
      <x:c r="A34" s="2" t="str">
        <x:v>ในสองชีต รวมเวลาที่อาจลดได้ 333 นาทีกลุ่ม โดย 246 นาทีกลุ่มตรงช่วงมีคิวเดิม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8" customHeight="1">
      <x:c r="A35" s="2" t="str">
        <x:v>ไม่เท่ากับเวลารอที่ลดได้ 246 นาที และยังไม่บอกว่าจะรับลูกค้าเพิ่มกี่คน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28" customHeight="1">
      <x:c r="A37" s="2" t="str">
        <x:v>แบบคำนวณคงเวลาเริ่มกินเดิม สมมติทุกกลุ่มทำตาม และไม่จำลองการจัดคิวใหม่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28" customHeight="1">
      <x:c r="A38" s="2" t="str">
        <x:v>ยังไม่รวมเวลาเก็บโต๊ะ ความพอดีของโต๊ะ ความต้องการที่เปลี่ยน และการไม่ปฏิบัติตาม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28" customHeight="1">
      <x:c r="A39" s="2" t="str">
        <x:v>ช่วงคิวรวมสร้างจากคู่เวลาคิวเดิม รวมรายการ 153_67 ที่เวลาอาหารขัดกัน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2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2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36" customHeight="1">
      <x:c r="A43" s="3" t="str">
        <x:v>รูปแบบมาตรการที่จะทดลอง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 ht="2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28" customHeight="1">
      <x:c r="A45" s="2" t="str">
        <x:v>1. เลือกวันทดสอบที่คาดว่าลูกค้าหนาแน่นจากข้อมูลการจอง/ประวัติที่ยืนยันแล้ว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2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28" customHeight="1">
      <x:c r="A47" s="2" t="str">
        <x:v>2. ประกาศเงื่อนไขก่อนซื้อ ใช้กับ Walk-in ที่รับทราบสิทธิ์ใหม่ ไม่เปลี่ยนสิทธิ์ 5 ชั่วโมงที่ขายไว้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 ht="2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 ht="28" customHeight="1">
      <x:c r="A49" s="2" t="str">
        <x:v>3. นับ 120 นาทีตั้งแต่ได้นั่งโต๊ะ ไม่รวมเวลารอคิว; แจ้งเตือนอย่างสุภาพก่อนครบเวลา 15 นาที</x:v>
      </x:c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  <x:row r="50" ht="2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28" customHeight="1">
      <x:c r="A51" s="2" t="str">
        <x:v>4. ใช้เงื่อนไขเดียวกันตลอดรอบอาหารเช้าของวันทดลอง เพื่อลดความสับสนในการปฏิบัติ</x:v>
      </x:c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2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28" customHeight="1">
      <x:c r="A53" s="2" t="str">
        <x:v>5. เก็บราคา กติกาคิว และกำลังคนให้เทียบเคียงวันควบคุม เพื่อแยกผลของการจำกัดเวลา</x:v>
      </x:c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 ht="2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 ht="28" customHeight="1">
      <x:c r="A55" s="2" t="str">
        <x:v>6. บันทึกเวลาลูกค้าออกและเวลาโต๊ะพร้อมรับกลุ่มใหม่จริง เพื่อวัดว่าโต๊ะหมุนเวียนเร็วขึ้นหรือไม่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 ht="2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 ht="2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 ht="36" customHeight="1">
      <x:c r="A58" s="3" t="str">
        <x:v>แผนทดลองและเกณฑ์ตัดสิน</x:v>
      </x:c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 ht="2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 ht="28" customHeight="1">
      <x:c r="A60" s="2" t="str">
        <x:v>ช่วงเริ่มต้นเสนอ 2-4 สัปดาห์ แต่ไม่ถือว่าจำนวนวันเพียงเท่านี้รับประกันข้อสรุปที่แม่นยำ</x:v>
      </x:c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</x:row>
    <x:row r="61" ht="2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</x:row>
    <x:row r="62" ht="28" customHeight="1">
      <x:c r="A62" s="2" t="str">
        <x:v>จับคู่วันที่คาดว่าความต้องการใกล้กัน แล้วกำหนดวันใช้ 120 นาที / วันใช้เงื่อนไขเดิมล่วงหน้า</x:v>
      </x:c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 ht="2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 ht="28" customHeight="1">
      <x:c r="A64" s="2" t="str">
        <x:v>ถ้าทำได้ ให้สุ่มภายในคู่วันที่ใกล้เคียง; แจ้งข้อเสนอของแต่ละวันก่อนขายอย่างชัดเจน</x:v>
      </x:c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 ht="2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 ht="28" customHeight="1">
      <x:c r="A66" s="2" t="str">
        <x:v>บันทึกจำนวนกลุ่มที่มาทุก 15 นาที สัดส่วนประเภทแขก ขนาดกลุ่ม พนักงาน และโต๊ะที่เปิดจริง</x:v>
      </x:c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 ht="2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 ht="28" customHeight="1">
      <x:c r="A68" s="2" t="str">
        <x:v>เปรียบเทียบหลายวันต่อแบบ; ถ้าข้อมูลน้อยหรือความต้องการต่างกันมาก ให้เก็บเพิ่มแทนสรุปทันที</x:v>
      </x:c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 ht="2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 ht="56" customHeight="1">
      <x:c r="A70" s="7" t="str">
        <x:v>ตัวชี้วัด</x:v>
      </x:c>
      <x:c r="B70" s="7" t="str">
        <x:v>ใช้วัดอะไร</x:v>
      </x:c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 ht="36" customHeight="1">
      <x:c r="A71" s="2" t="str">
        <x:v>P90 เวลารอ แยกประเภท</x:v>
      </x:c>
      <x:c r="B71" s="2" t="str">
        <x:v>90% ของกลุ่มมีเวลารอไม่เกินค่านี้; รวมผู้ไม่รอเป็น 0 และผู้ Walk-away ถึงเวลาออกคิว</x:v>
      </x:c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 ht="36" customHeight="1">
      <x:c r="A72" s="2" t="str">
        <x:v>อัตรามีคิว / Walk-away</x:v>
      </x:c>
      <x:c r="B72" s="2" t="str">
        <x:v>มีคิวหารกลุ่มทั้งหมด; Walk-away หารผู้มีคิว ต้องใช้ตัวหารเดิมทุกวัน</x:v>
      </x:c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 ht="36" customHeight="1">
      <x:c r="A73" s="2" t="str">
        <x:v>เวลาโต๊ะกลับมาพร้อมใช้</x:v>
      </x:c>
      <x:c r="B73" s="2" t="str">
        <x:v>จากลูกค้าออกจนโต๊ะพร้อมรับกลุ่มใหม่; ดูร่วมกับช่วงมีคิวและขนาดกลุ่ม</x:v>
      </x:c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 ht="36" customHeight="1">
      <x:c r="A74" s="2" t="str">
        <x:v>รายได้ต่อชั่วโมงบริการ</x:v>
      </x:c>
      <x:c r="B74" s="2" t="str">
        <x:v>ใช้รายได้จริงของรอบอาหารเช้า หารชั่วโมงบริการจริง ไม่อนุมานจาก pax อย่างเดียว</x:v>
      </x:c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 ht="36" customHeight="1">
      <x:c r="A75" s="2" t="str">
        <x:v>ข้อร้องเรียนและภาระงาน</x:v>
      </x:c>
      <x:c r="B75" s="2" t="str">
        <x:v>ติดตามข้อร้องเรียนต่อ 100 กลุ่มและภาระพนักงานจากการบังคับเวลา</x:v>
      </x:c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 ht="2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 ht="2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 ht="28" customHeight="1">
      <x:c r="A78" s="2" t="str">
        <x:v>เป้าหมายเสนอเพื่อหารือ: P90 ลดอย่างน้อย 20% โดย Walk-away ไม่แย่ลงในทั้งสองประเภท</x:v>
      </x:c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 ht="2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 ht="28" customHeight="1">
      <x:c r="A80" s="2" t="str">
        <x:v>เงื่อนไขประกอบ: รายได้ต่อชั่วโมงไม่ลด และข้อร้องเรียน/ภาระงานไม่เพิ่มอย่างมีสาระสำคัญ</x:v>
      </x:c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  <x:row r="81" ht="2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</x:row>
    <x:row r="82" ht="28" customHeight="1">
      <x:c r="A82" s="2" t="str">
        <x:v>เกณฑ์เหล่านี้เป็นเป้าหมายก่อนทดลอง ไม่ใช่ผลที่เกิดขึ้นแล้ว และต้องตกลงวิธีวัดกับโรงแรม</x:v>
      </x:c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</x:row>
    <x:row r="83" ht="2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</x:row>
    <x:row r="84" ht="28" customHeight="1">
      <x:c r="A84" s="2" t="str">
        <x:v>หากเวลาโต๊ะคืนเร็วขึ้นแต่คิวยังไม่ดีขึ้น ให้ตรวจขนาดกลุ่มและการจัดโต๊ะก่อนลดเวลาเพิ่ม</x:v>
      </x:c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</x:row>
    <x:row r="85" ht="2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</x:row>
    <x:row r="86" ht="28" customHeight="1">
      <x:c r="A86" s="2" t="str">
        <x:v>หากผลไม่ชัด ให้เก็บเพิ่ม; หากผลเสียชัดเจนให้หยุดหรือปรับ ไม่ถือว่าทดลองครบเวลาแล้วต้องใช้ต่อ</x:v>
      </x:c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</x:row>
    <x:row r="87" ht="2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</x:row>
    <x:row r="88" ht="2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</x:row>
    <x:row r="89" ht="36" customHeight="1">
      <x:c r="A89" s="3" t="str">
        <x:v>ประสบการณ์ส่วนตัวของผู้สมัคร</x:v>
      </x:c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</x:row>
    <x:row r="90" ht="2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</x:row>
    <x:row r="91" ht="28" customHeight="1">
      <x:c r="A91" s="2" t="str">
        <x:v>จากประสบการณ์ของข้าพเจ้า ร้านบุฟเฟต์มักมีการจำกัดเวลาอยู่แล้ว</x:v>
      </x:c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</x:row>
    <x:row r="92" ht="2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</x:row>
    <x:row r="93" ht="28" customHeight="1">
      <x:c r="A93" s="2" t="str">
        <x:v>จึงมองว่าการจำกัด 120 นาทีอาจไม่ส่งผลต่อประสบการณ์ลูกค้ามากนัก เพราะส่วนใหญ่นั่งไม่ถึงสองชั่วโมง</x:v>
      </x:c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</x:row>
    <x:row r="94" ht="2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</x:row>
    <x:row r="95" ht="28" customHeight="1">
      <x:c r="A95" s="2" t="str">
        <x:v>มุมมองนี้สอดคล้องกับข้อมูลที่พบว่า Walk-in 89.4% ของกลุ่มที่เวลานั่งผ่านเกณฑ์กินเสร็จภายใน 120 นาที</x:v>
      </x:c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</x:row>
    <x:row r="96" ht="2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</x:row>
    <x:row r="97" ht="28" customHeight="1">
      <x:c r="A97" s="2" t="str">
        <x:v>ข้าพเจ้าจึงเลือก 120 นาทีเป็นจุดเริ่มทดลอง พร้อมแจ้งเงื่อนไขให้ชัดเจนก่อนซื้อ</x:v>
      </x:c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</x:row>
    <x:row r="98" ht="2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</x:row>
    <x:row r="99" ht="28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</x:row>
    <x:row r="100" ht="28" customHeight="1">
      <x:c r="A100" s="2" t="str">
        <x:v>อย่างไรก็ตาม ความคุ้นเคยกับการจำกัดเวลาไม่รับประกันว่าลูกค้าของโรงแรมนี้จะยอมรับทุกกลุ่ม</x:v>
      </x:c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</x:row>
    <x:row r="101" ht="28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</x:row>
    <x:row r="102" ht="28" customHeight="1">
      <x:c r="A102" s="2" t="str">
        <x:v>จึงต้องวัดข้อร้องเรียน รายได้ และการกลับมาใช้บริการควบคู่กับผลด้านคิว</x:v>
      </x:c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</x:row>
    <x:row r="103" ht="28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</x:row>
    <x:row r="104" ht="28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</x:row>
    <x:row r="105" ht="28" customHeight="1">
      <x:c r="A105" s="2" t="str">
        <x:v>ส่วนประสบการณ์เรียบเรียงจากสิ่งที่ผู้สมัครเล่า; ผลหลังใช้นโยบายยังเป็นสิ่งที่จะต้องทดลอง</x:v>
      </x:c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</x:row>
    <x:row r="106" ht="28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</x:row>
    <x:row r="107" ht="28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</x:row>
    <x:row r="108" ht="28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</x:row>
    <x:row r="109" ht="28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</x:row>
    <x:row r="110" ht="28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</x:row>
    <x:row r="111" ht="28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</x:row>
    <x:row r="112" ht="28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</x:row>
    <x:row r="113" ht="28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</x:row>
    <x:row r="114" ht="28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</x:row>
    <x:row r="115" ht="28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</x:row>
    <x:row r="116" ht="28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</x:row>
    <x:row r="117" ht="28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</x:row>
    <x:row r="118" ht="28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</x:row>
    <x:row r="119" ht="28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</x:row>
    <x:row r="120" ht="28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</x:row>
    <x:row r="121" ht="28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</x:row>
    <x:row r="122" ht="28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</x:row>
  </x:sheetData>
  <x:pageMargins left="0.7" right="0.7" top="0.75" bottom="0.75" header="0.3" footer="0.3"/>
  <x:drawing xmlns:r="http://schemas.openxmlformats.org/officeDocument/2006/relationships" r:id="Rf1ce9a8242024db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5" max="15" width="125" hidden="0" customWidth="1"/>
  </x:cols>
  <x:sheetData>
    <x:row r="1" ht="44" customHeight="1">
      <x:c r="A1" s="6" t="str">
        <x:v>group_id</x:v>
      </x:c>
      <x:c r="B1" s="6" t="str">
        <x:v>source_sheet</x:v>
      </x:c>
      <x:c r="C1" s="6" t="str">
        <x:v>start_minute</x:v>
      </x:c>
      <x:c r="D1" s="6" t="str">
        <x:v>end_minute</x:v>
      </x:c>
      <x:c r="E1" s="6" t="str">
        <x:v>guest_type</x:v>
      </x:c>
      <x:c r="F1" s="6" t="str">
        <x:v>meal_minutes</x:v>
      </x:c>
      <x:c r="G1" s="6" t="str">
        <x:v>focus_queue_day</x:v>
      </x:c>
      <x:c r="H1" s="6" t="str">
        <x:v>released_90</x:v>
      </x:c>
      <x:c r="I1" s="6" t="str">
        <x:v>overlap_90</x:v>
      </x:c>
      <x:c r="J1" s="6" t="str">
        <x:v>released_120</x:v>
      </x:c>
      <x:c r="K1" s="6" t="str">
        <x:v>overlap_120</x:v>
      </x:c>
      <x:c r="L1" s="6" t="str">
        <x:v>released_150</x:v>
      </x:c>
      <x:c r="M1" s="6" t="str">
        <x:v>overlap_150</x:v>
      </x:c>
      <x:c r="O1" s="14" t="str">
        <x:v>Source: Busy_Buffet_Cleaned.xlsx / Clean_Data; original: 2026 Data Test1 Final - Busy Buffet Dataset.xlsx</x:v>
      </x:c>
    </x:row>
    <x:row r="2" ht="25" customHeight="1">
      <x:c r="A2" s="11" t="str">
        <x:v>133_2</x:v>
      </x:c>
      <x:c r="B2" s="13" t="str">
        <x:v>133</x:v>
      </x:c>
      <x:c r="C2" s="13" t="n">
        <x:v>404</x:v>
      </x:c>
      <x:c r="D2" s="13" t="n">
        <x:v>430</x:v>
      </x:c>
      <x:c r="E2" s="13" t="str">
        <x:v>Walk in</x:v>
      </x:c>
      <x:c r="F2" s="13" t="n">
        <x:v>26</x:v>
      </x:c>
      <x:c r="G2" s="13" t="n">
        <x:v>0</x:v>
      </x:c>
      <x:c r="H2" s="11" t="n">
        <x:f>MAX(0,F2-90)</x:f>
        <x:v>0</x:v>
      </x:c>
      <x:c r="I2" s="11" t="n">
        <x:f>IF(B2=Queue_Intervals!A2,MAX(0,MIN(D2,Queue_Intervals!C2)-MAX(C2+90,Queue_Intervals!B2)),0)+IF(B2=Queue_Intervals!A3,MAX(0,MIN(D2,Queue_Intervals!C3)-MAX(C2+90,Queue_Intervals!B3)),0)+IF(B2=Queue_Intervals!A4,MAX(0,MIN(D2,Queue_Intervals!C4)-MAX(C2+90,Queue_Intervals!B4)),0)+IF(B2=Queue_Intervals!A5,MAX(0,MIN(D2,Queue_Intervals!C5)-MAX(C2+90,Queue_Intervals!B5)),0)</x:f>
        <x:v>0</x:v>
      </x:c>
      <x:c r="J2" s="11" t="n">
        <x:f>MAX(0,F2-120)</x:f>
        <x:v>0</x:v>
      </x:c>
      <x:c r="K2" s="11" t="n">
        <x:f>IF(B2=Queue_Intervals!A2,MAX(0,MIN(D2,Queue_Intervals!C2)-MAX(C2+120,Queue_Intervals!B2)),0)+IF(B2=Queue_Intervals!A3,MAX(0,MIN(D2,Queue_Intervals!C3)-MAX(C2+120,Queue_Intervals!B3)),0)+IF(B2=Queue_Intervals!A4,MAX(0,MIN(D2,Queue_Intervals!C4)-MAX(C2+120,Queue_Intervals!B4)),0)+IF(B2=Queue_Intervals!A5,MAX(0,MIN(D2,Queue_Intervals!C5)-MAX(C2+120,Queue_Intervals!B5)),0)</x:f>
        <x:v>0</x:v>
      </x:c>
      <x:c r="L2" s="11" t="n">
        <x:f>MAX(0,F2-150)</x:f>
        <x:v>0</x:v>
      </x:c>
      <x:c r="M2" s="11" t="n">
        <x:f>IF(B2=Queue_Intervals!A2,MAX(0,MIN(D2,Queue_Intervals!C2)-MAX(C2+150,Queue_Intervals!B2)),0)+IF(B2=Queue_Intervals!A3,MAX(0,MIN(D2,Queue_Intervals!C3)-MAX(C2+150,Queue_Intervals!B3)),0)+IF(B2=Queue_Intervals!A4,MAX(0,MIN(D2,Queue_Intervals!C4)-MAX(C2+150,Queue_Intervals!B4)),0)+IF(B2=Queue_Intervals!A5,MAX(0,MIN(D2,Queue_Intervals!C5)-MAX(C2+150,Queue_Intervals!B5)),0)</x:f>
        <x:v>0</x:v>
      </x:c>
      <x:c r="O2" s="14" t="str">
        <x:v>198 Walk-in with meal_eligible = 1; start/end are minutes after midnight, not Excel clock serials</x:v>
      </x:c>
    </x:row>
    <x:row r="3" ht="25" customHeight="1">
      <x:c r="A3" s="11" t="str">
        <x:v>133_3</x:v>
      </x:c>
      <x:c r="B3" s="13" t="str">
        <x:v>133</x:v>
      </x:c>
      <x:c r="C3" s="13" t="n">
        <x:v>425</x:v>
      </x:c>
      <x:c r="D3" s="13" t="n">
        <x:v>488</x:v>
      </x:c>
      <x:c r="E3" s="13" t="str">
        <x:v>Walk in</x:v>
      </x:c>
      <x:c r="F3" s="13" t="n">
        <x:v>63</x:v>
      </x:c>
      <x:c r="G3" s="13" t="n">
        <x:v>0</x:v>
      </x:c>
      <x:c r="H3" s="11" t="n">
        <x:f>MAX(0,F3-90)</x:f>
        <x:v>0</x:v>
      </x:c>
      <x:c r="I3" s="11" t="n">
        <x:f>IF(B3=Queue_Intervals!A2,MAX(0,MIN(D3,Queue_Intervals!C2)-MAX(C3+90,Queue_Intervals!B2)),0)+IF(B3=Queue_Intervals!A3,MAX(0,MIN(D3,Queue_Intervals!C3)-MAX(C3+90,Queue_Intervals!B3)),0)+IF(B3=Queue_Intervals!A4,MAX(0,MIN(D3,Queue_Intervals!C4)-MAX(C3+90,Queue_Intervals!B4)),0)+IF(B3=Queue_Intervals!A5,MAX(0,MIN(D3,Queue_Intervals!C5)-MAX(C3+90,Queue_Intervals!B5)),0)</x:f>
        <x:v>0</x:v>
      </x:c>
      <x:c r="J3" s="11" t="n">
        <x:f>MAX(0,F3-120)</x:f>
        <x:v>0</x:v>
      </x:c>
      <x:c r="K3" s="11" t="n">
        <x:f>IF(B3=Queue_Intervals!A2,MAX(0,MIN(D3,Queue_Intervals!C2)-MAX(C3+120,Queue_Intervals!B2)),0)+IF(B3=Queue_Intervals!A3,MAX(0,MIN(D3,Queue_Intervals!C3)-MAX(C3+120,Queue_Intervals!B3)),0)+IF(B3=Queue_Intervals!A4,MAX(0,MIN(D3,Queue_Intervals!C4)-MAX(C3+120,Queue_Intervals!B4)),0)+IF(B3=Queue_Intervals!A5,MAX(0,MIN(D3,Queue_Intervals!C5)-MAX(C3+120,Queue_Intervals!B5)),0)</x:f>
        <x:v>0</x:v>
      </x:c>
      <x:c r="L3" s="11" t="n">
        <x:f>MAX(0,F3-150)</x:f>
        <x:v>0</x:v>
      </x:c>
      <x:c r="M3" s="11" t="n">
        <x:f>IF(B3=Queue_Intervals!A2,MAX(0,MIN(D3,Queue_Intervals!C2)-MAX(C3+150,Queue_Intervals!B2)),0)+IF(B3=Queue_Intervals!A3,MAX(0,MIN(D3,Queue_Intervals!C3)-MAX(C3+150,Queue_Intervals!B3)),0)+IF(B3=Queue_Intervals!A4,MAX(0,MIN(D3,Queue_Intervals!C4)-MAX(C3+150,Queue_Intervals!B4)),0)+IF(B3=Queue_Intervals!A5,MAX(0,MIN(D3,Queue_Intervals!C5)-MAX(C3+150,Queue_Intervals!B5)),0)</x:f>
        <x:v>0</x:v>
      </x:c>
      <x:c r="O3" s="14" t="str">
        <x:v>focus_queue_day = 1 for 143 and 153; chosen because queue was recorded, not a randomized sample</x:v>
      </x:c>
    </x:row>
    <x:row r="4" ht="25" customHeight="1">
      <x:c r="A4" s="11" t="str">
        <x:v>133_8</x:v>
      </x:c>
      <x:c r="B4" s="13" t="str">
        <x:v>133</x:v>
      </x:c>
      <x:c r="C4" s="13" t="n">
        <x:v>462</x:v>
      </x:c>
      <x:c r="D4" s="13" t="n">
        <x:v>520</x:v>
      </x:c>
      <x:c r="E4" s="13" t="str">
        <x:v>Walk in</x:v>
      </x:c>
      <x:c r="F4" s="13" t="n">
        <x:v>58</x:v>
      </x:c>
      <x:c r="G4" s="13" t="n">
        <x:v>0</x:v>
      </x:c>
      <x:c r="H4" s="11" t="n">
        <x:f>MAX(0,F4-90)</x:f>
        <x:v>0</x:v>
      </x:c>
      <x:c r="I4" s="11" t="n">
        <x:f>IF(B4=Queue_Intervals!A2,MAX(0,MIN(D4,Queue_Intervals!C2)-MAX(C4+90,Queue_Intervals!B2)),0)+IF(B4=Queue_Intervals!A3,MAX(0,MIN(D4,Queue_Intervals!C3)-MAX(C4+90,Queue_Intervals!B3)),0)+IF(B4=Queue_Intervals!A4,MAX(0,MIN(D4,Queue_Intervals!C4)-MAX(C4+90,Queue_Intervals!B4)),0)+IF(B4=Queue_Intervals!A5,MAX(0,MIN(D4,Queue_Intervals!C5)-MAX(C4+90,Queue_Intervals!B5)),0)</x:f>
        <x:v>0</x:v>
      </x:c>
      <x:c r="J4" s="11" t="n">
        <x:f>MAX(0,F4-120)</x:f>
        <x:v>0</x:v>
      </x:c>
      <x:c r="K4" s="11" t="n">
        <x:f>IF(B4=Queue_Intervals!A2,MAX(0,MIN(D4,Queue_Intervals!C2)-MAX(C4+120,Queue_Intervals!B2)),0)+IF(B4=Queue_Intervals!A3,MAX(0,MIN(D4,Queue_Intervals!C3)-MAX(C4+120,Queue_Intervals!B3)),0)+IF(B4=Queue_Intervals!A4,MAX(0,MIN(D4,Queue_Intervals!C4)-MAX(C4+120,Queue_Intervals!B4)),0)+IF(B4=Queue_Intervals!A5,MAX(0,MIN(D4,Queue_Intervals!C5)-MAX(C4+120,Queue_Intervals!B5)),0)</x:f>
        <x:v>0</x:v>
      </x:c>
      <x:c r="L4" s="11" t="n">
        <x:f>MAX(0,F4-150)</x:f>
        <x:v>0</x:v>
      </x:c>
      <x:c r="M4" s="11" t="n">
        <x:f>IF(B4=Queue_Intervals!A2,MAX(0,MIN(D4,Queue_Intervals!C2)-MAX(C4+150,Queue_Intervals!B2)),0)+IF(B4=Queue_Intervals!A3,MAX(0,MIN(D4,Queue_Intervals!C3)-MAX(C4+150,Queue_Intervals!B3)),0)+IF(B4=Queue_Intervals!A4,MAX(0,MIN(D4,Queue_Intervals!C4)-MAX(C4+150,Queue_Intervals!B4)),0)+IF(B4=Queue_Intervals!A5,MAX(0,MIN(D4,Queue_Intervals!C5)-MAX(C4+150,Queue_Intervals!B5)),0)</x:f>
        <x:v>0</x:v>
      </x:c>
      <x:c r="O4" s="14" t="str">
        <x:v>Overlap sums removed meal tail intersected with union of recorded queue intervals; not a reallocated queue simulation</x:v>
      </x:c>
    </x:row>
    <x:row r="5" ht="25" customHeight="1">
      <x:c r="A5" s="11" t="str">
        <x:v>133_11</x:v>
      </x:c>
      <x:c r="B5" s="13" t="str">
        <x:v>133</x:v>
      </x:c>
      <x:c r="C5" s="13" t="n">
        <x:v>470</x:v>
      </x:c>
      <x:c r="D5" s="13" t="n">
        <x:v>528</x:v>
      </x:c>
      <x:c r="E5" s="13" t="str">
        <x:v>Walk in</x:v>
      </x:c>
      <x:c r="F5" s="13" t="n">
        <x:v>58</x:v>
      </x:c>
      <x:c r="G5" s="13" t="n">
        <x:v>0</x:v>
      </x:c>
      <x:c r="H5" s="11" t="n">
        <x:f>MAX(0,F5-90)</x:f>
        <x:v>0</x:v>
      </x:c>
      <x:c r="I5" s="11" t="n">
        <x:f>IF(B5=Queue_Intervals!A2,MAX(0,MIN(D5,Queue_Intervals!C2)-MAX(C5+90,Queue_Intervals!B2)),0)+IF(B5=Queue_Intervals!A3,MAX(0,MIN(D5,Queue_Intervals!C3)-MAX(C5+90,Queue_Intervals!B3)),0)+IF(B5=Queue_Intervals!A4,MAX(0,MIN(D5,Queue_Intervals!C4)-MAX(C5+90,Queue_Intervals!B4)),0)+IF(B5=Queue_Intervals!A5,MAX(0,MIN(D5,Queue_Intervals!C5)-MAX(C5+90,Queue_Intervals!B5)),0)</x:f>
        <x:v>0</x:v>
      </x:c>
      <x:c r="J5" s="11" t="n">
        <x:f>MAX(0,F5-120)</x:f>
        <x:v>0</x:v>
      </x:c>
      <x:c r="K5" s="11" t="n">
        <x:f>IF(B5=Queue_Intervals!A2,MAX(0,MIN(D5,Queue_Intervals!C2)-MAX(C5+120,Queue_Intervals!B2)),0)+IF(B5=Queue_Intervals!A3,MAX(0,MIN(D5,Queue_Intervals!C3)-MAX(C5+120,Queue_Intervals!B3)),0)+IF(B5=Queue_Intervals!A4,MAX(0,MIN(D5,Queue_Intervals!C4)-MAX(C5+120,Queue_Intervals!B4)),0)+IF(B5=Queue_Intervals!A5,MAX(0,MIN(D5,Queue_Intervals!C5)-MAX(C5+120,Queue_Intervals!B5)),0)</x:f>
        <x:v>0</x:v>
      </x:c>
      <x:c r="L5" s="11" t="n">
        <x:f>MAX(0,F5-150)</x:f>
        <x:v>0</x:v>
      </x:c>
      <x:c r="M5" s="11" t="n">
        <x:f>IF(B5=Queue_Intervals!A2,MAX(0,MIN(D5,Queue_Intervals!C2)-MAX(C5+150,Queue_Intervals!B2)),0)+IF(B5=Queue_Intervals!A3,MAX(0,MIN(D5,Queue_Intervals!C3)-MAX(C5+150,Queue_Intervals!B3)),0)+IF(B5=Queue_Intervals!A4,MAX(0,MIN(D5,Queue_Intervals!C4)-MAX(C5+150,Queue_Intervals!B4)),0)+IF(B5=Queue_Intervals!A5,MAX(0,MIN(D5,Queue_Intervals!C5)-MAX(C5+150,Queue_Intervals!B5)),0)</x:f>
        <x:v>0</x:v>
      </x:c>
    </x:row>
    <x:row r="6" ht="25" customHeight="1">
      <x:c r="A6" s="11" t="str">
        <x:v>133_14</x:v>
      </x:c>
      <x:c r="B6" s="13" t="str">
        <x:v>133</x:v>
      </x:c>
      <x:c r="C6" s="13" t="n">
        <x:v>480</x:v>
      </x:c>
      <x:c r="D6" s="13" t="n">
        <x:v>559</x:v>
      </x:c>
      <x:c r="E6" s="13" t="str">
        <x:v>Walk in</x:v>
      </x:c>
      <x:c r="F6" s="13" t="n">
        <x:v>79</x:v>
      </x:c>
      <x:c r="G6" s="13" t="n">
        <x:v>0</x:v>
      </x:c>
      <x:c r="H6" s="11" t="n">
        <x:f>MAX(0,F6-90)</x:f>
        <x:v>0</x:v>
      </x:c>
      <x:c r="I6" s="11" t="n">
        <x:f>IF(B6=Queue_Intervals!A2,MAX(0,MIN(D6,Queue_Intervals!C2)-MAX(C6+90,Queue_Intervals!B2)),0)+IF(B6=Queue_Intervals!A3,MAX(0,MIN(D6,Queue_Intervals!C3)-MAX(C6+90,Queue_Intervals!B3)),0)+IF(B6=Queue_Intervals!A4,MAX(0,MIN(D6,Queue_Intervals!C4)-MAX(C6+90,Queue_Intervals!B4)),0)+IF(B6=Queue_Intervals!A5,MAX(0,MIN(D6,Queue_Intervals!C5)-MAX(C6+90,Queue_Intervals!B5)),0)</x:f>
        <x:v>0</x:v>
      </x:c>
      <x:c r="J6" s="11" t="n">
        <x:f>MAX(0,F6-120)</x:f>
        <x:v>0</x:v>
      </x:c>
      <x:c r="K6" s="11" t="n">
        <x:f>IF(B6=Queue_Intervals!A2,MAX(0,MIN(D6,Queue_Intervals!C2)-MAX(C6+120,Queue_Intervals!B2)),0)+IF(B6=Queue_Intervals!A3,MAX(0,MIN(D6,Queue_Intervals!C3)-MAX(C6+120,Queue_Intervals!B3)),0)+IF(B6=Queue_Intervals!A4,MAX(0,MIN(D6,Queue_Intervals!C4)-MAX(C6+120,Queue_Intervals!B4)),0)+IF(B6=Queue_Intervals!A5,MAX(0,MIN(D6,Queue_Intervals!C5)-MAX(C6+120,Queue_Intervals!B5)),0)</x:f>
        <x:v>0</x:v>
      </x:c>
      <x:c r="L6" s="11" t="n">
        <x:f>MAX(0,F6-150)</x:f>
        <x:v>0</x:v>
      </x:c>
      <x:c r="M6" s="11" t="n">
        <x:f>IF(B6=Queue_Intervals!A2,MAX(0,MIN(D6,Queue_Intervals!C2)-MAX(C6+150,Queue_Intervals!B2)),0)+IF(B6=Queue_Intervals!A3,MAX(0,MIN(D6,Queue_Intervals!C3)-MAX(C6+150,Queue_Intervals!B3)),0)+IF(B6=Queue_Intervals!A4,MAX(0,MIN(D6,Queue_Intervals!C4)-MAX(C6+150,Queue_Intervals!B4)),0)+IF(B6=Queue_Intervals!A5,MAX(0,MIN(D6,Queue_Intervals!C5)-MAX(C6+150,Queue_Intervals!B5)),0)</x:f>
        <x:v>0</x:v>
      </x:c>
    </x:row>
    <x:row r="7" ht="25" customHeight="1">
      <x:c r="A7" s="11" t="str">
        <x:v>133_15</x:v>
      </x:c>
      <x:c r="B7" s="13" t="str">
        <x:v>133</x:v>
      </x:c>
      <x:c r="C7" s="13" t="n">
        <x:v>483</x:v>
      </x:c>
      <x:c r="D7" s="13" t="n">
        <x:v>507</x:v>
      </x:c>
      <x:c r="E7" s="13" t="str">
        <x:v>Walk in</x:v>
      </x:c>
      <x:c r="F7" s="13" t="n">
        <x:v>24</x:v>
      </x:c>
      <x:c r="G7" s="13" t="n">
        <x:v>0</x:v>
      </x:c>
      <x:c r="H7" s="11" t="n">
        <x:f>MAX(0,F7-90)</x:f>
        <x:v>0</x:v>
      </x:c>
      <x:c r="I7" s="11" t="n">
        <x:f>IF(B7=Queue_Intervals!A2,MAX(0,MIN(D7,Queue_Intervals!C2)-MAX(C7+90,Queue_Intervals!B2)),0)+IF(B7=Queue_Intervals!A3,MAX(0,MIN(D7,Queue_Intervals!C3)-MAX(C7+90,Queue_Intervals!B3)),0)+IF(B7=Queue_Intervals!A4,MAX(0,MIN(D7,Queue_Intervals!C4)-MAX(C7+90,Queue_Intervals!B4)),0)+IF(B7=Queue_Intervals!A5,MAX(0,MIN(D7,Queue_Intervals!C5)-MAX(C7+90,Queue_Intervals!B5)),0)</x:f>
        <x:v>0</x:v>
      </x:c>
      <x:c r="J7" s="11" t="n">
        <x:f>MAX(0,F7-120)</x:f>
        <x:v>0</x:v>
      </x:c>
      <x:c r="K7" s="11" t="n">
        <x:f>IF(B7=Queue_Intervals!A2,MAX(0,MIN(D7,Queue_Intervals!C2)-MAX(C7+120,Queue_Intervals!B2)),0)+IF(B7=Queue_Intervals!A3,MAX(0,MIN(D7,Queue_Intervals!C3)-MAX(C7+120,Queue_Intervals!B3)),0)+IF(B7=Queue_Intervals!A4,MAX(0,MIN(D7,Queue_Intervals!C4)-MAX(C7+120,Queue_Intervals!B4)),0)+IF(B7=Queue_Intervals!A5,MAX(0,MIN(D7,Queue_Intervals!C5)-MAX(C7+120,Queue_Intervals!B5)),0)</x:f>
        <x:v>0</x:v>
      </x:c>
      <x:c r="L7" s="11" t="n">
        <x:f>MAX(0,F7-150)</x:f>
        <x:v>0</x:v>
      </x:c>
      <x:c r="M7" s="11" t="n">
        <x:f>IF(B7=Queue_Intervals!A2,MAX(0,MIN(D7,Queue_Intervals!C2)-MAX(C7+150,Queue_Intervals!B2)),0)+IF(B7=Queue_Intervals!A3,MAX(0,MIN(D7,Queue_Intervals!C3)-MAX(C7+150,Queue_Intervals!B3)),0)+IF(B7=Queue_Intervals!A4,MAX(0,MIN(D7,Queue_Intervals!C4)-MAX(C7+150,Queue_Intervals!B4)),0)+IF(B7=Queue_Intervals!A5,MAX(0,MIN(D7,Queue_Intervals!C5)-MAX(C7+150,Queue_Intervals!B5)),0)</x:f>
        <x:v>0</x:v>
      </x:c>
    </x:row>
    <x:row r="8" ht="25" customHeight="1">
      <x:c r="A8" s="11" t="str">
        <x:v>133_18</x:v>
      </x:c>
      <x:c r="B8" s="13" t="str">
        <x:v>133</x:v>
      </x:c>
      <x:c r="C8" s="13" t="n">
        <x:v>495</x:v>
      </x:c>
      <x:c r="D8" s="13" t="n">
        <x:v>570</x:v>
      </x:c>
      <x:c r="E8" s="13" t="str">
        <x:v>Walk in</x:v>
      </x:c>
      <x:c r="F8" s="13" t="n">
        <x:v>75</x:v>
      </x:c>
      <x:c r="G8" s="13" t="n">
        <x:v>0</x:v>
      </x:c>
      <x:c r="H8" s="11" t="n">
        <x:f>MAX(0,F8-90)</x:f>
        <x:v>0</x:v>
      </x:c>
      <x:c r="I8" s="11" t="n">
        <x:f>IF(B8=Queue_Intervals!A2,MAX(0,MIN(D8,Queue_Intervals!C2)-MAX(C8+90,Queue_Intervals!B2)),0)+IF(B8=Queue_Intervals!A3,MAX(0,MIN(D8,Queue_Intervals!C3)-MAX(C8+90,Queue_Intervals!B3)),0)+IF(B8=Queue_Intervals!A4,MAX(0,MIN(D8,Queue_Intervals!C4)-MAX(C8+90,Queue_Intervals!B4)),0)+IF(B8=Queue_Intervals!A5,MAX(0,MIN(D8,Queue_Intervals!C5)-MAX(C8+90,Queue_Intervals!B5)),0)</x:f>
        <x:v>0</x:v>
      </x:c>
      <x:c r="J8" s="11" t="n">
        <x:f>MAX(0,F8-120)</x:f>
        <x:v>0</x:v>
      </x:c>
      <x:c r="K8" s="11" t="n">
        <x:f>IF(B8=Queue_Intervals!A2,MAX(0,MIN(D8,Queue_Intervals!C2)-MAX(C8+120,Queue_Intervals!B2)),0)+IF(B8=Queue_Intervals!A3,MAX(0,MIN(D8,Queue_Intervals!C3)-MAX(C8+120,Queue_Intervals!B3)),0)+IF(B8=Queue_Intervals!A4,MAX(0,MIN(D8,Queue_Intervals!C4)-MAX(C8+120,Queue_Intervals!B4)),0)+IF(B8=Queue_Intervals!A5,MAX(0,MIN(D8,Queue_Intervals!C5)-MAX(C8+120,Queue_Intervals!B5)),0)</x:f>
        <x:v>0</x:v>
      </x:c>
      <x:c r="L8" s="11" t="n">
        <x:f>MAX(0,F8-150)</x:f>
        <x:v>0</x:v>
      </x:c>
      <x:c r="M8" s="11" t="n">
        <x:f>IF(B8=Queue_Intervals!A2,MAX(0,MIN(D8,Queue_Intervals!C2)-MAX(C8+150,Queue_Intervals!B2)),0)+IF(B8=Queue_Intervals!A3,MAX(0,MIN(D8,Queue_Intervals!C3)-MAX(C8+150,Queue_Intervals!B3)),0)+IF(B8=Queue_Intervals!A4,MAX(0,MIN(D8,Queue_Intervals!C4)-MAX(C8+150,Queue_Intervals!B4)),0)+IF(B8=Queue_Intervals!A5,MAX(0,MIN(D8,Queue_Intervals!C5)-MAX(C8+150,Queue_Intervals!B5)),0)</x:f>
        <x:v>0</x:v>
      </x:c>
    </x:row>
    <x:row r="9" ht="25" customHeight="1">
      <x:c r="A9" s="11" t="str">
        <x:v>133_21</x:v>
      </x:c>
      <x:c r="B9" s="13" t="str">
        <x:v>133</x:v>
      </x:c>
      <x:c r="C9" s="13" t="n">
        <x:v>504</x:v>
      </x:c>
      <x:c r="D9" s="13" t="n">
        <x:v>646</x:v>
      </x:c>
      <x:c r="E9" s="13" t="str">
        <x:v>Walk in</x:v>
      </x:c>
      <x:c r="F9" s="13" t="n">
        <x:v>142</x:v>
      </x:c>
      <x:c r="G9" s="13" t="n">
        <x:v>0</x:v>
      </x:c>
      <x:c r="H9" s="11" t="n">
        <x:f>MAX(0,F9-90)</x:f>
        <x:v>52</x:v>
      </x:c>
      <x:c r="I9" s="11" t="n">
        <x:f>IF(B9=Queue_Intervals!A2,MAX(0,MIN(D9,Queue_Intervals!C2)-MAX(C9+90,Queue_Intervals!B2)),0)+IF(B9=Queue_Intervals!A3,MAX(0,MIN(D9,Queue_Intervals!C3)-MAX(C9+90,Queue_Intervals!B3)),0)+IF(B9=Queue_Intervals!A4,MAX(0,MIN(D9,Queue_Intervals!C4)-MAX(C9+90,Queue_Intervals!B4)),0)+IF(B9=Queue_Intervals!A5,MAX(0,MIN(D9,Queue_Intervals!C5)-MAX(C9+90,Queue_Intervals!B5)),0)</x:f>
        <x:v>0</x:v>
      </x:c>
      <x:c r="J9" s="11" t="n">
        <x:f>MAX(0,F9-120)</x:f>
        <x:v>22</x:v>
      </x:c>
      <x:c r="K9" s="11" t="n">
        <x:f>IF(B9=Queue_Intervals!A2,MAX(0,MIN(D9,Queue_Intervals!C2)-MAX(C9+120,Queue_Intervals!B2)),0)+IF(B9=Queue_Intervals!A3,MAX(0,MIN(D9,Queue_Intervals!C3)-MAX(C9+120,Queue_Intervals!B3)),0)+IF(B9=Queue_Intervals!A4,MAX(0,MIN(D9,Queue_Intervals!C4)-MAX(C9+120,Queue_Intervals!B4)),0)+IF(B9=Queue_Intervals!A5,MAX(0,MIN(D9,Queue_Intervals!C5)-MAX(C9+120,Queue_Intervals!B5)),0)</x:f>
        <x:v>0</x:v>
      </x:c>
      <x:c r="L9" s="11" t="n">
        <x:f>MAX(0,F9-150)</x:f>
        <x:v>0</x:v>
      </x:c>
      <x:c r="M9" s="11" t="n">
        <x:f>IF(B9=Queue_Intervals!A2,MAX(0,MIN(D9,Queue_Intervals!C2)-MAX(C9+150,Queue_Intervals!B2)),0)+IF(B9=Queue_Intervals!A3,MAX(0,MIN(D9,Queue_Intervals!C3)-MAX(C9+150,Queue_Intervals!B3)),0)+IF(B9=Queue_Intervals!A4,MAX(0,MIN(D9,Queue_Intervals!C4)-MAX(C9+150,Queue_Intervals!B4)),0)+IF(B9=Queue_Intervals!A5,MAX(0,MIN(D9,Queue_Intervals!C5)-MAX(C9+150,Queue_Intervals!B5)),0)</x:f>
        <x:v>0</x:v>
      </x:c>
    </x:row>
    <x:row r="10" ht="25" customHeight="1">
      <x:c r="A10" s="11" t="str">
        <x:v>133_23</x:v>
      </x:c>
      <x:c r="B10" s="13" t="str">
        <x:v>133</x:v>
      </x:c>
      <x:c r="C10" s="13" t="n">
        <x:v>505</x:v>
      </x:c>
      <x:c r="D10" s="13" t="n">
        <x:v>612</x:v>
      </x:c>
      <x:c r="E10" s="13" t="str">
        <x:v>Walk in</x:v>
      </x:c>
      <x:c r="F10" s="13" t="n">
        <x:v>107</x:v>
      </x:c>
      <x:c r="G10" s="13" t="n">
        <x:v>0</x:v>
      </x:c>
      <x:c r="H10" s="11" t="n">
        <x:f>MAX(0,F10-90)</x:f>
        <x:v>17</x:v>
      </x:c>
      <x:c r="I10" s="11" t="n">
        <x:f>IF(B10=Queue_Intervals!A2,MAX(0,MIN(D10,Queue_Intervals!C2)-MAX(C10+90,Queue_Intervals!B2)),0)+IF(B10=Queue_Intervals!A3,MAX(0,MIN(D10,Queue_Intervals!C3)-MAX(C10+90,Queue_Intervals!B3)),0)+IF(B10=Queue_Intervals!A4,MAX(0,MIN(D10,Queue_Intervals!C4)-MAX(C10+90,Queue_Intervals!B4)),0)+IF(B10=Queue_Intervals!A5,MAX(0,MIN(D10,Queue_Intervals!C5)-MAX(C10+90,Queue_Intervals!B5)),0)</x:f>
        <x:v>0</x:v>
      </x:c>
      <x:c r="J10" s="11" t="n">
        <x:f>MAX(0,F10-120)</x:f>
        <x:v>0</x:v>
      </x:c>
      <x:c r="K10" s="11" t="n">
        <x:f>IF(B10=Queue_Intervals!A2,MAX(0,MIN(D10,Queue_Intervals!C2)-MAX(C10+120,Queue_Intervals!B2)),0)+IF(B10=Queue_Intervals!A3,MAX(0,MIN(D10,Queue_Intervals!C3)-MAX(C10+120,Queue_Intervals!B3)),0)+IF(B10=Queue_Intervals!A4,MAX(0,MIN(D10,Queue_Intervals!C4)-MAX(C10+120,Queue_Intervals!B4)),0)+IF(B10=Queue_Intervals!A5,MAX(0,MIN(D10,Queue_Intervals!C5)-MAX(C10+120,Queue_Intervals!B5)),0)</x:f>
        <x:v>0</x:v>
      </x:c>
      <x:c r="L10" s="11" t="n">
        <x:f>MAX(0,F10-150)</x:f>
        <x:v>0</x:v>
      </x:c>
      <x:c r="M10" s="11" t="n">
        <x:f>IF(B10=Queue_Intervals!A2,MAX(0,MIN(D10,Queue_Intervals!C2)-MAX(C10+150,Queue_Intervals!B2)),0)+IF(B10=Queue_Intervals!A3,MAX(0,MIN(D10,Queue_Intervals!C3)-MAX(C10+150,Queue_Intervals!B3)),0)+IF(B10=Queue_Intervals!A4,MAX(0,MIN(D10,Queue_Intervals!C4)-MAX(C10+150,Queue_Intervals!B4)),0)+IF(B10=Queue_Intervals!A5,MAX(0,MIN(D10,Queue_Intervals!C5)-MAX(C10+150,Queue_Intervals!B5)),0)</x:f>
        <x:v>0</x:v>
      </x:c>
    </x:row>
    <x:row r="11" ht="25" customHeight="1">
      <x:c r="A11" s="11" t="str">
        <x:v>133_24</x:v>
      </x:c>
      <x:c r="B11" s="13" t="str">
        <x:v>133</x:v>
      </x:c>
      <x:c r="C11" s="13" t="n">
        <x:v>513</x:v>
      </x:c>
      <x:c r="D11" s="13" t="n">
        <x:v>570</x:v>
      </x:c>
      <x:c r="E11" s="13" t="str">
        <x:v>Walk in</x:v>
      </x:c>
      <x:c r="F11" s="13" t="n">
        <x:v>57</x:v>
      </x:c>
      <x:c r="G11" s="13" t="n">
        <x:v>0</x:v>
      </x:c>
      <x:c r="H11" s="11" t="n">
        <x:f>MAX(0,F11-90)</x:f>
        <x:v>0</x:v>
      </x:c>
      <x:c r="I11" s="11" t="n">
        <x:f>IF(B11=Queue_Intervals!A2,MAX(0,MIN(D11,Queue_Intervals!C2)-MAX(C11+90,Queue_Intervals!B2)),0)+IF(B11=Queue_Intervals!A3,MAX(0,MIN(D11,Queue_Intervals!C3)-MAX(C11+90,Queue_Intervals!B3)),0)+IF(B11=Queue_Intervals!A4,MAX(0,MIN(D11,Queue_Intervals!C4)-MAX(C11+90,Queue_Intervals!B4)),0)+IF(B11=Queue_Intervals!A5,MAX(0,MIN(D11,Queue_Intervals!C5)-MAX(C11+90,Queue_Intervals!B5)),0)</x:f>
        <x:v>0</x:v>
      </x:c>
      <x:c r="J11" s="11" t="n">
        <x:f>MAX(0,F11-120)</x:f>
        <x:v>0</x:v>
      </x:c>
      <x:c r="K11" s="11" t="n">
        <x:f>IF(B11=Queue_Intervals!A2,MAX(0,MIN(D11,Queue_Intervals!C2)-MAX(C11+120,Queue_Intervals!B2)),0)+IF(B11=Queue_Intervals!A3,MAX(0,MIN(D11,Queue_Intervals!C3)-MAX(C11+120,Queue_Intervals!B3)),0)+IF(B11=Queue_Intervals!A4,MAX(0,MIN(D11,Queue_Intervals!C4)-MAX(C11+120,Queue_Intervals!B4)),0)+IF(B11=Queue_Intervals!A5,MAX(0,MIN(D11,Queue_Intervals!C5)-MAX(C11+120,Queue_Intervals!B5)),0)</x:f>
        <x:v>0</x:v>
      </x:c>
      <x:c r="L11" s="11" t="n">
        <x:f>MAX(0,F11-150)</x:f>
        <x:v>0</x:v>
      </x:c>
      <x:c r="M11" s="11" t="n">
        <x:f>IF(B11=Queue_Intervals!A2,MAX(0,MIN(D11,Queue_Intervals!C2)-MAX(C11+150,Queue_Intervals!B2)),0)+IF(B11=Queue_Intervals!A3,MAX(0,MIN(D11,Queue_Intervals!C3)-MAX(C11+150,Queue_Intervals!B3)),0)+IF(B11=Queue_Intervals!A4,MAX(0,MIN(D11,Queue_Intervals!C4)-MAX(C11+150,Queue_Intervals!B4)),0)+IF(B11=Queue_Intervals!A5,MAX(0,MIN(D11,Queue_Intervals!C5)-MAX(C11+150,Queue_Intervals!B5)),0)</x:f>
        <x:v>0</x:v>
      </x:c>
    </x:row>
    <x:row r="12" ht="25" customHeight="1">
      <x:c r="A12" s="11" t="str">
        <x:v>133_25</x:v>
      </x:c>
      <x:c r="B12" s="13" t="str">
        <x:v>133</x:v>
      </x:c>
      <x:c r="C12" s="13" t="n">
        <x:v>521</x:v>
      </x:c>
      <x:c r="D12" s="13" t="n">
        <x:v>565</x:v>
      </x:c>
      <x:c r="E12" s="13" t="str">
        <x:v>Walk in</x:v>
      </x:c>
      <x:c r="F12" s="13" t="n">
        <x:v>44</x:v>
      </x:c>
      <x:c r="G12" s="13" t="n">
        <x:v>0</x:v>
      </x:c>
      <x:c r="H12" s="11" t="n">
        <x:f>MAX(0,F12-90)</x:f>
        <x:v>0</x:v>
      </x:c>
      <x:c r="I12" s="11" t="n">
        <x:f>IF(B12=Queue_Intervals!A2,MAX(0,MIN(D12,Queue_Intervals!C2)-MAX(C12+90,Queue_Intervals!B2)),0)+IF(B12=Queue_Intervals!A3,MAX(0,MIN(D12,Queue_Intervals!C3)-MAX(C12+90,Queue_Intervals!B3)),0)+IF(B12=Queue_Intervals!A4,MAX(0,MIN(D12,Queue_Intervals!C4)-MAX(C12+90,Queue_Intervals!B4)),0)+IF(B12=Queue_Intervals!A5,MAX(0,MIN(D12,Queue_Intervals!C5)-MAX(C12+90,Queue_Intervals!B5)),0)</x:f>
        <x:v>0</x:v>
      </x:c>
      <x:c r="J12" s="11" t="n">
        <x:f>MAX(0,F12-120)</x:f>
        <x:v>0</x:v>
      </x:c>
      <x:c r="K12" s="11" t="n">
        <x:f>IF(B12=Queue_Intervals!A2,MAX(0,MIN(D12,Queue_Intervals!C2)-MAX(C12+120,Queue_Intervals!B2)),0)+IF(B12=Queue_Intervals!A3,MAX(0,MIN(D12,Queue_Intervals!C3)-MAX(C12+120,Queue_Intervals!B3)),0)+IF(B12=Queue_Intervals!A4,MAX(0,MIN(D12,Queue_Intervals!C4)-MAX(C12+120,Queue_Intervals!B4)),0)+IF(B12=Queue_Intervals!A5,MAX(0,MIN(D12,Queue_Intervals!C5)-MAX(C12+120,Queue_Intervals!B5)),0)</x:f>
        <x:v>0</x:v>
      </x:c>
      <x:c r="L12" s="11" t="n">
        <x:f>MAX(0,F12-150)</x:f>
        <x:v>0</x:v>
      </x:c>
      <x:c r="M12" s="11" t="n">
        <x:f>IF(B12=Queue_Intervals!A2,MAX(0,MIN(D12,Queue_Intervals!C2)-MAX(C12+150,Queue_Intervals!B2)),0)+IF(B12=Queue_Intervals!A3,MAX(0,MIN(D12,Queue_Intervals!C3)-MAX(C12+150,Queue_Intervals!B3)),0)+IF(B12=Queue_Intervals!A4,MAX(0,MIN(D12,Queue_Intervals!C4)-MAX(C12+150,Queue_Intervals!B4)),0)+IF(B12=Queue_Intervals!A5,MAX(0,MIN(D12,Queue_Intervals!C5)-MAX(C12+150,Queue_Intervals!B5)),0)</x:f>
        <x:v>0</x:v>
      </x:c>
    </x:row>
    <x:row r="13" ht="25" customHeight="1">
      <x:c r="A13" s="11" t="str">
        <x:v>133_26</x:v>
      </x:c>
      <x:c r="B13" s="13" t="str">
        <x:v>133</x:v>
      </x:c>
      <x:c r="C13" s="13" t="n">
        <x:v>523</x:v>
      </x:c>
      <x:c r="D13" s="13" t="n">
        <x:v>575</x:v>
      </x:c>
      <x:c r="E13" s="13" t="str">
        <x:v>Walk in</x:v>
      </x:c>
      <x:c r="F13" s="13" t="n">
        <x:v>52</x:v>
      </x:c>
      <x:c r="G13" s="13" t="n">
        <x:v>0</x:v>
      </x:c>
      <x:c r="H13" s="11" t="n">
        <x:f>MAX(0,F13-90)</x:f>
        <x:v>0</x:v>
      </x:c>
      <x:c r="I13" s="11" t="n">
        <x:f>IF(B13=Queue_Intervals!A2,MAX(0,MIN(D13,Queue_Intervals!C2)-MAX(C13+90,Queue_Intervals!B2)),0)+IF(B13=Queue_Intervals!A3,MAX(0,MIN(D13,Queue_Intervals!C3)-MAX(C13+90,Queue_Intervals!B3)),0)+IF(B13=Queue_Intervals!A4,MAX(0,MIN(D13,Queue_Intervals!C4)-MAX(C13+90,Queue_Intervals!B4)),0)+IF(B13=Queue_Intervals!A5,MAX(0,MIN(D13,Queue_Intervals!C5)-MAX(C13+90,Queue_Intervals!B5)),0)</x:f>
        <x:v>0</x:v>
      </x:c>
      <x:c r="J13" s="11" t="n">
        <x:f>MAX(0,F13-120)</x:f>
        <x:v>0</x:v>
      </x:c>
      <x:c r="K13" s="11" t="n">
        <x:f>IF(B13=Queue_Intervals!A2,MAX(0,MIN(D13,Queue_Intervals!C2)-MAX(C13+120,Queue_Intervals!B2)),0)+IF(B13=Queue_Intervals!A3,MAX(0,MIN(D13,Queue_Intervals!C3)-MAX(C13+120,Queue_Intervals!B3)),0)+IF(B13=Queue_Intervals!A4,MAX(0,MIN(D13,Queue_Intervals!C4)-MAX(C13+120,Queue_Intervals!B4)),0)+IF(B13=Queue_Intervals!A5,MAX(0,MIN(D13,Queue_Intervals!C5)-MAX(C13+120,Queue_Intervals!B5)),0)</x:f>
        <x:v>0</x:v>
      </x:c>
      <x:c r="L13" s="11" t="n">
        <x:f>MAX(0,F13-150)</x:f>
        <x:v>0</x:v>
      </x:c>
      <x:c r="M13" s="11" t="n">
        <x:f>IF(B13=Queue_Intervals!A2,MAX(0,MIN(D13,Queue_Intervals!C2)-MAX(C13+150,Queue_Intervals!B2)),0)+IF(B13=Queue_Intervals!A3,MAX(0,MIN(D13,Queue_Intervals!C3)-MAX(C13+150,Queue_Intervals!B3)),0)+IF(B13=Queue_Intervals!A4,MAX(0,MIN(D13,Queue_Intervals!C4)-MAX(C13+150,Queue_Intervals!B4)),0)+IF(B13=Queue_Intervals!A5,MAX(0,MIN(D13,Queue_Intervals!C5)-MAX(C13+150,Queue_Intervals!B5)),0)</x:f>
        <x:v>0</x:v>
      </x:c>
    </x:row>
    <x:row r="14" ht="25" customHeight="1">
      <x:c r="A14" s="11" t="str">
        <x:v>133_31</x:v>
      </x:c>
      <x:c r="B14" s="13" t="str">
        <x:v>133</x:v>
      </x:c>
      <x:c r="C14" s="13" t="n">
        <x:v>545</x:v>
      </x:c>
      <x:c r="D14" s="13" t="n">
        <x:v>600</x:v>
      </x:c>
      <x:c r="E14" s="13" t="str">
        <x:v>Walk in</x:v>
      </x:c>
      <x:c r="F14" s="13" t="n">
        <x:v>55</x:v>
      </x:c>
      <x:c r="G14" s="13" t="n">
        <x:v>0</x:v>
      </x:c>
      <x:c r="H14" s="11" t="n">
        <x:f>MAX(0,F14-90)</x:f>
        <x:v>0</x:v>
      </x:c>
      <x:c r="I14" s="11" t="n">
        <x:f>IF(B14=Queue_Intervals!A2,MAX(0,MIN(D14,Queue_Intervals!C2)-MAX(C14+90,Queue_Intervals!B2)),0)+IF(B14=Queue_Intervals!A3,MAX(0,MIN(D14,Queue_Intervals!C3)-MAX(C14+90,Queue_Intervals!B3)),0)+IF(B14=Queue_Intervals!A4,MAX(0,MIN(D14,Queue_Intervals!C4)-MAX(C14+90,Queue_Intervals!B4)),0)+IF(B14=Queue_Intervals!A5,MAX(0,MIN(D14,Queue_Intervals!C5)-MAX(C14+90,Queue_Intervals!B5)),0)</x:f>
        <x:v>0</x:v>
      </x:c>
      <x:c r="J14" s="11" t="n">
        <x:f>MAX(0,F14-120)</x:f>
        <x:v>0</x:v>
      </x:c>
      <x:c r="K14" s="11" t="n">
        <x:f>IF(B14=Queue_Intervals!A2,MAX(0,MIN(D14,Queue_Intervals!C2)-MAX(C14+120,Queue_Intervals!B2)),0)+IF(B14=Queue_Intervals!A3,MAX(0,MIN(D14,Queue_Intervals!C3)-MAX(C14+120,Queue_Intervals!B3)),0)+IF(B14=Queue_Intervals!A4,MAX(0,MIN(D14,Queue_Intervals!C4)-MAX(C14+120,Queue_Intervals!B4)),0)+IF(B14=Queue_Intervals!A5,MAX(0,MIN(D14,Queue_Intervals!C5)-MAX(C14+120,Queue_Intervals!B5)),0)</x:f>
        <x:v>0</x:v>
      </x:c>
      <x:c r="L14" s="11" t="n">
        <x:f>MAX(0,F14-150)</x:f>
        <x:v>0</x:v>
      </x:c>
      <x:c r="M14" s="11" t="n">
        <x:f>IF(B14=Queue_Intervals!A2,MAX(0,MIN(D14,Queue_Intervals!C2)-MAX(C14+150,Queue_Intervals!B2)),0)+IF(B14=Queue_Intervals!A3,MAX(0,MIN(D14,Queue_Intervals!C3)-MAX(C14+150,Queue_Intervals!B3)),0)+IF(B14=Queue_Intervals!A4,MAX(0,MIN(D14,Queue_Intervals!C4)-MAX(C14+150,Queue_Intervals!B4)),0)+IF(B14=Queue_Intervals!A5,MAX(0,MIN(D14,Queue_Intervals!C5)-MAX(C14+150,Queue_Intervals!B5)),0)</x:f>
        <x:v>0</x:v>
      </x:c>
    </x:row>
    <x:row r="15" ht="25" customHeight="1">
      <x:c r="A15" s="11" t="str">
        <x:v>133_33</x:v>
      </x:c>
      <x:c r="B15" s="13" t="str">
        <x:v>133</x:v>
      </x:c>
      <x:c r="C15" s="13" t="n">
        <x:v>547</x:v>
      </x:c>
      <x:c r="D15" s="13" t="n">
        <x:v>607</x:v>
      </x:c>
      <x:c r="E15" s="13" t="str">
        <x:v>Walk in</x:v>
      </x:c>
      <x:c r="F15" s="13" t="n">
        <x:v>60</x:v>
      </x:c>
      <x:c r="G15" s="13" t="n">
        <x:v>0</x:v>
      </x:c>
      <x:c r="H15" s="11" t="n">
        <x:f>MAX(0,F15-90)</x:f>
        <x:v>0</x:v>
      </x:c>
      <x:c r="I15" s="11" t="n">
        <x:f>IF(B15=Queue_Intervals!A2,MAX(0,MIN(D15,Queue_Intervals!C2)-MAX(C15+90,Queue_Intervals!B2)),0)+IF(B15=Queue_Intervals!A3,MAX(0,MIN(D15,Queue_Intervals!C3)-MAX(C15+90,Queue_Intervals!B3)),0)+IF(B15=Queue_Intervals!A4,MAX(0,MIN(D15,Queue_Intervals!C4)-MAX(C15+90,Queue_Intervals!B4)),0)+IF(B15=Queue_Intervals!A5,MAX(0,MIN(D15,Queue_Intervals!C5)-MAX(C15+90,Queue_Intervals!B5)),0)</x:f>
        <x:v>0</x:v>
      </x:c>
      <x:c r="J15" s="11" t="n">
        <x:f>MAX(0,F15-120)</x:f>
        <x:v>0</x:v>
      </x:c>
      <x:c r="K15" s="11" t="n">
        <x:f>IF(B15=Queue_Intervals!A2,MAX(0,MIN(D15,Queue_Intervals!C2)-MAX(C15+120,Queue_Intervals!B2)),0)+IF(B15=Queue_Intervals!A3,MAX(0,MIN(D15,Queue_Intervals!C3)-MAX(C15+120,Queue_Intervals!B3)),0)+IF(B15=Queue_Intervals!A4,MAX(0,MIN(D15,Queue_Intervals!C4)-MAX(C15+120,Queue_Intervals!B4)),0)+IF(B15=Queue_Intervals!A5,MAX(0,MIN(D15,Queue_Intervals!C5)-MAX(C15+120,Queue_Intervals!B5)),0)</x:f>
        <x:v>0</x:v>
      </x:c>
      <x:c r="L15" s="11" t="n">
        <x:f>MAX(0,F15-150)</x:f>
        <x:v>0</x:v>
      </x:c>
      <x:c r="M15" s="11" t="n">
        <x:f>IF(B15=Queue_Intervals!A2,MAX(0,MIN(D15,Queue_Intervals!C2)-MAX(C15+150,Queue_Intervals!B2)),0)+IF(B15=Queue_Intervals!A3,MAX(0,MIN(D15,Queue_Intervals!C3)-MAX(C15+150,Queue_Intervals!B3)),0)+IF(B15=Queue_Intervals!A4,MAX(0,MIN(D15,Queue_Intervals!C4)-MAX(C15+150,Queue_Intervals!B4)),0)+IF(B15=Queue_Intervals!A5,MAX(0,MIN(D15,Queue_Intervals!C5)-MAX(C15+150,Queue_Intervals!B5)),0)</x:f>
        <x:v>0</x:v>
      </x:c>
    </x:row>
    <x:row r="16" ht="25" customHeight="1">
      <x:c r="A16" s="11" t="str">
        <x:v>133_35</x:v>
      </x:c>
      <x:c r="B16" s="13" t="str">
        <x:v>133</x:v>
      </x:c>
      <x:c r="C16" s="13" t="n">
        <x:v>556</x:v>
      </x:c>
      <x:c r="D16" s="13" t="n">
        <x:v>606</x:v>
      </x:c>
      <x:c r="E16" s="13" t="str">
        <x:v>Walk in</x:v>
      </x:c>
      <x:c r="F16" s="13" t="n">
        <x:v>50</x:v>
      </x:c>
      <x:c r="G16" s="13" t="n">
        <x:v>0</x:v>
      </x:c>
      <x:c r="H16" s="11" t="n">
        <x:f>MAX(0,F16-90)</x:f>
        <x:v>0</x:v>
      </x:c>
      <x:c r="I16" s="11" t="n">
        <x:f>IF(B16=Queue_Intervals!A2,MAX(0,MIN(D16,Queue_Intervals!C2)-MAX(C16+90,Queue_Intervals!B2)),0)+IF(B16=Queue_Intervals!A3,MAX(0,MIN(D16,Queue_Intervals!C3)-MAX(C16+90,Queue_Intervals!B3)),0)+IF(B16=Queue_Intervals!A4,MAX(0,MIN(D16,Queue_Intervals!C4)-MAX(C16+90,Queue_Intervals!B4)),0)+IF(B16=Queue_Intervals!A5,MAX(0,MIN(D16,Queue_Intervals!C5)-MAX(C16+90,Queue_Intervals!B5)),0)</x:f>
        <x:v>0</x:v>
      </x:c>
      <x:c r="J16" s="11" t="n">
        <x:f>MAX(0,F16-120)</x:f>
        <x:v>0</x:v>
      </x:c>
      <x:c r="K16" s="11" t="n">
        <x:f>IF(B16=Queue_Intervals!A2,MAX(0,MIN(D16,Queue_Intervals!C2)-MAX(C16+120,Queue_Intervals!B2)),0)+IF(B16=Queue_Intervals!A3,MAX(0,MIN(D16,Queue_Intervals!C3)-MAX(C16+120,Queue_Intervals!B3)),0)+IF(B16=Queue_Intervals!A4,MAX(0,MIN(D16,Queue_Intervals!C4)-MAX(C16+120,Queue_Intervals!B4)),0)+IF(B16=Queue_Intervals!A5,MAX(0,MIN(D16,Queue_Intervals!C5)-MAX(C16+120,Queue_Intervals!B5)),0)</x:f>
        <x:v>0</x:v>
      </x:c>
      <x:c r="L16" s="11" t="n">
        <x:f>MAX(0,F16-150)</x:f>
        <x:v>0</x:v>
      </x:c>
      <x:c r="M16" s="11" t="n">
        <x:f>IF(B16=Queue_Intervals!A2,MAX(0,MIN(D16,Queue_Intervals!C2)-MAX(C16+150,Queue_Intervals!B2)),0)+IF(B16=Queue_Intervals!A3,MAX(0,MIN(D16,Queue_Intervals!C3)-MAX(C16+150,Queue_Intervals!B3)),0)+IF(B16=Queue_Intervals!A4,MAX(0,MIN(D16,Queue_Intervals!C4)-MAX(C16+150,Queue_Intervals!B4)),0)+IF(B16=Queue_Intervals!A5,MAX(0,MIN(D16,Queue_Intervals!C5)-MAX(C16+150,Queue_Intervals!B5)),0)</x:f>
        <x:v>0</x:v>
      </x:c>
    </x:row>
    <x:row r="17" ht="25" customHeight="1">
      <x:c r="A17" s="11" t="str">
        <x:v>133_40</x:v>
      </x:c>
      <x:c r="B17" s="13" t="str">
        <x:v>133</x:v>
      </x:c>
      <x:c r="C17" s="13" t="n">
        <x:v>574</x:v>
      </x:c>
      <x:c r="D17" s="13" t="n">
        <x:v>640</x:v>
      </x:c>
      <x:c r="E17" s="13" t="str">
        <x:v>Walk in</x:v>
      </x:c>
      <x:c r="F17" s="13" t="n">
        <x:v>66</x:v>
      </x:c>
      <x:c r="G17" s="13" t="n">
        <x:v>0</x:v>
      </x:c>
      <x:c r="H17" s="11" t="n">
        <x:f>MAX(0,F17-90)</x:f>
        <x:v>0</x:v>
      </x:c>
      <x:c r="I17" s="11" t="n">
        <x:f>IF(B17=Queue_Intervals!A2,MAX(0,MIN(D17,Queue_Intervals!C2)-MAX(C17+90,Queue_Intervals!B2)),0)+IF(B17=Queue_Intervals!A3,MAX(0,MIN(D17,Queue_Intervals!C3)-MAX(C17+90,Queue_Intervals!B3)),0)+IF(B17=Queue_Intervals!A4,MAX(0,MIN(D17,Queue_Intervals!C4)-MAX(C17+90,Queue_Intervals!B4)),0)+IF(B17=Queue_Intervals!A5,MAX(0,MIN(D17,Queue_Intervals!C5)-MAX(C17+90,Queue_Intervals!B5)),0)</x:f>
        <x:v>0</x:v>
      </x:c>
      <x:c r="J17" s="11" t="n">
        <x:f>MAX(0,F17-120)</x:f>
        <x:v>0</x:v>
      </x:c>
      <x:c r="K17" s="11" t="n">
        <x:f>IF(B17=Queue_Intervals!A2,MAX(0,MIN(D17,Queue_Intervals!C2)-MAX(C17+120,Queue_Intervals!B2)),0)+IF(B17=Queue_Intervals!A3,MAX(0,MIN(D17,Queue_Intervals!C3)-MAX(C17+120,Queue_Intervals!B3)),0)+IF(B17=Queue_Intervals!A4,MAX(0,MIN(D17,Queue_Intervals!C4)-MAX(C17+120,Queue_Intervals!B4)),0)+IF(B17=Queue_Intervals!A5,MAX(0,MIN(D17,Queue_Intervals!C5)-MAX(C17+120,Queue_Intervals!B5)),0)</x:f>
        <x:v>0</x:v>
      </x:c>
      <x:c r="L17" s="11" t="n">
        <x:f>MAX(0,F17-150)</x:f>
        <x:v>0</x:v>
      </x:c>
      <x:c r="M17" s="11" t="n">
        <x:f>IF(B17=Queue_Intervals!A2,MAX(0,MIN(D17,Queue_Intervals!C2)-MAX(C17+150,Queue_Intervals!B2)),0)+IF(B17=Queue_Intervals!A3,MAX(0,MIN(D17,Queue_Intervals!C3)-MAX(C17+150,Queue_Intervals!B3)),0)+IF(B17=Queue_Intervals!A4,MAX(0,MIN(D17,Queue_Intervals!C4)-MAX(C17+150,Queue_Intervals!B4)),0)+IF(B17=Queue_Intervals!A5,MAX(0,MIN(D17,Queue_Intervals!C5)-MAX(C17+150,Queue_Intervals!B5)),0)</x:f>
        <x:v>0</x:v>
      </x:c>
    </x:row>
    <x:row r="18" ht="25" customHeight="1">
      <x:c r="A18" s="11" t="str">
        <x:v>133_42</x:v>
      </x:c>
      <x:c r="B18" s="13" t="str">
        <x:v>133</x:v>
      </x:c>
      <x:c r="C18" s="13" t="n">
        <x:v>593</x:v>
      </x:c>
      <x:c r="D18" s="13" t="n">
        <x:v>660</x:v>
      </x:c>
      <x:c r="E18" s="13" t="str">
        <x:v>Walk in</x:v>
      </x:c>
      <x:c r="F18" s="13" t="n">
        <x:v>67</x:v>
      </x:c>
      <x:c r="G18" s="13" t="n">
        <x:v>0</x:v>
      </x:c>
      <x:c r="H18" s="11" t="n">
        <x:f>MAX(0,F18-90)</x:f>
        <x:v>0</x:v>
      </x:c>
      <x:c r="I18" s="11" t="n">
        <x:f>IF(B18=Queue_Intervals!A2,MAX(0,MIN(D18,Queue_Intervals!C2)-MAX(C18+90,Queue_Intervals!B2)),0)+IF(B18=Queue_Intervals!A3,MAX(0,MIN(D18,Queue_Intervals!C3)-MAX(C18+90,Queue_Intervals!B3)),0)+IF(B18=Queue_Intervals!A4,MAX(0,MIN(D18,Queue_Intervals!C4)-MAX(C18+90,Queue_Intervals!B4)),0)+IF(B18=Queue_Intervals!A5,MAX(0,MIN(D18,Queue_Intervals!C5)-MAX(C18+90,Queue_Intervals!B5)),0)</x:f>
        <x:v>0</x:v>
      </x:c>
      <x:c r="J18" s="11" t="n">
        <x:f>MAX(0,F18-120)</x:f>
        <x:v>0</x:v>
      </x:c>
      <x:c r="K18" s="11" t="n">
        <x:f>IF(B18=Queue_Intervals!A2,MAX(0,MIN(D18,Queue_Intervals!C2)-MAX(C18+120,Queue_Intervals!B2)),0)+IF(B18=Queue_Intervals!A3,MAX(0,MIN(D18,Queue_Intervals!C3)-MAX(C18+120,Queue_Intervals!B3)),0)+IF(B18=Queue_Intervals!A4,MAX(0,MIN(D18,Queue_Intervals!C4)-MAX(C18+120,Queue_Intervals!B4)),0)+IF(B18=Queue_Intervals!A5,MAX(0,MIN(D18,Queue_Intervals!C5)-MAX(C18+120,Queue_Intervals!B5)),0)</x:f>
        <x:v>0</x:v>
      </x:c>
      <x:c r="L18" s="11" t="n">
        <x:f>MAX(0,F18-150)</x:f>
        <x:v>0</x:v>
      </x:c>
      <x:c r="M18" s="11" t="n">
        <x:f>IF(B18=Queue_Intervals!A2,MAX(0,MIN(D18,Queue_Intervals!C2)-MAX(C18+150,Queue_Intervals!B2)),0)+IF(B18=Queue_Intervals!A3,MAX(0,MIN(D18,Queue_Intervals!C3)-MAX(C18+150,Queue_Intervals!B3)),0)+IF(B18=Queue_Intervals!A4,MAX(0,MIN(D18,Queue_Intervals!C4)-MAX(C18+150,Queue_Intervals!B4)),0)+IF(B18=Queue_Intervals!A5,MAX(0,MIN(D18,Queue_Intervals!C5)-MAX(C18+150,Queue_Intervals!B5)),0)</x:f>
        <x:v>0</x:v>
      </x:c>
    </x:row>
    <x:row r="19" ht="25" customHeight="1">
      <x:c r="A19" s="11" t="str">
        <x:v>133_47</x:v>
      </x:c>
      <x:c r="B19" s="13" t="str">
        <x:v>133</x:v>
      </x:c>
      <x:c r="C19" s="13" t="n">
        <x:v>610</x:v>
      </x:c>
      <x:c r="D19" s="13" t="n">
        <x:v>670</x:v>
      </x:c>
      <x:c r="E19" s="13" t="str">
        <x:v>Walk in</x:v>
      </x:c>
      <x:c r="F19" s="13" t="n">
        <x:v>60</x:v>
      </x:c>
      <x:c r="G19" s="13" t="n">
        <x:v>0</x:v>
      </x:c>
      <x:c r="H19" s="11" t="n">
        <x:f>MAX(0,F19-90)</x:f>
        <x:v>0</x:v>
      </x:c>
      <x:c r="I19" s="11" t="n">
        <x:f>IF(B19=Queue_Intervals!A2,MAX(0,MIN(D19,Queue_Intervals!C2)-MAX(C19+90,Queue_Intervals!B2)),0)+IF(B19=Queue_Intervals!A3,MAX(0,MIN(D19,Queue_Intervals!C3)-MAX(C19+90,Queue_Intervals!B3)),0)+IF(B19=Queue_Intervals!A4,MAX(0,MIN(D19,Queue_Intervals!C4)-MAX(C19+90,Queue_Intervals!B4)),0)+IF(B19=Queue_Intervals!A5,MAX(0,MIN(D19,Queue_Intervals!C5)-MAX(C19+90,Queue_Intervals!B5)),0)</x:f>
        <x:v>0</x:v>
      </x:c>
      <x:c r="J19" s="11" t="n">
        <x:f>MAX(0,F19-120)</x:f>
        <x:v>0</x:v>
      </x:c>
      <x:c r="K19" s="11" t="n">
        <x:f>IF(B19=Queue_Intervals!A2,MAX(0,MIN(D19,Queue_Intervals!C2)-MAX(C19+120,Queue_Intervals!B2)),0)+IF(B19=Queue_Intervals!A3,MAX(0,MIN(D19,Queue_Intervals!C3)-MAX(C19+120,Queue_Intervals!B3)),0)+IF(B19=Queue_Intervals!A4,MAX(0,MIN(D19,Queue_Intervals!C4)-MAX(C19+120,Queue_Intervals!B4)),0)+IF(B19=Queue_Intervals!A5,MAX(0,MIN(D19,Queue_Intervals!C5)-MAX(C19+120,Queue_Intervals!B5)),0)</x:f>
        <x:v>0</x:v>
      </x:c>
      <x:c r="L19" s="11" t="n">
        <x:f>MAX(0,F19-150)</x:f>
        <x:v>0</x:v>
      </x:c>
      <x:c r="M19" s="11" t="n">
        <x:f>IF(B19=Queue_Intervals!A2,MAX(0,MIN(D19,Queue_Intervals!C2)-MAX(C19+150,Queue_Intervals!B2)),0)+IF(B19=Queue_Intervals!A3,MAX(0,MIN(D19,Queue_Intervals!C3)-MAX(C19+150,Queue_Intervals!B3)),0)+IF(B19=Queue_Intervals!A4,MAX(0,MIN(D19,Queue_Intervals!C4)-MAX(C19+150,Queue_Intervals!B4)),0)+IF(B19=Queue_Intervals!A5,MAX(0,MIN(D19,Queue_Intervals!C5)-MAX(C19+150,Queue_Intervals!B5)),0)</x:f>
        <x:v>0</x:v>
      </x:c>
    </x:row>
    <x:row r="20" ht="25" customHeight="1">
      <x:c r="A20" s="11" t="str">
        <x:v>133_49</x:v>
      </x:c>
      <x:c r="B20" s="13" t="str">
        <x:v>133</x:v>
      </x:c>
      <x:c r="C20" s="13" t="n">
        <x:v>632</x:v>
      </x:c>
      <x:c r="D20" s="13" t="n">
        <x:v>660</x:v>
      </x:c>
      <x:c r="E20" s="13" t="str">
        <x:v>Walk in</x:v>
      </x:c>
      <x:c r="F20" s="13" t="n">
        <x:v>28</x:v>
      </x:c>
      <x:c r="G20" s="13" t="n">
        <x:v>0</x:v>
      </x:c>
      <x:c r="H20" s="11" t="n">
        <x:f>MAX(0,F20-90)</x:f>
        <x:v>0</x:v>
      </x:c>
      <x:c r="I20" s="11" t="n">
        <x:f>IF(B20=Queue_Intervals!A2,MAX(0,MIN(D20,Queue_Intervals!C2)-MAX(C20+90,Queue_Intervals!B2)),0)+IF(B20=Queue_Intervals!A3,MAX(0,MIN(D20,Queue_Intervals!C3)-MAX(C20+90,Queue_Intervals!B3)),0)+IF(B20=Queue_Intervals!A4,MAX(0,MIN(D20,Queue_Intervals!C4)-MAX(C20+90,Queue_Intervals!B4)),0)+IF(B20=Queue_Intervals!A5,MAX(0,MIN(D20,Queue_Intervals!C5)-MAX(C20+90,Queue_Intervals!B5)),0)</x:f>
        <x:v>0</x:v>
      </x:c>
      <x:c r="J20" s="11" t="n">
        <x:f>MAX(0,F20-120)</x:f>
        <x:v>0</x:v>
      </x:c>
      <x:c r="K20" s="11" t="n">
        <x:f>IF(B20=Queue_Intervals!A2,MAX(0,MIN(D20,Queue_Intervals!C2)-MAX(C20+120,Queue_Intervals!B2)),0)+IF(B20=Queue_Intervals!A3,MAX(0,MIN(D20,Queue_Intervals!C3)-MAX(C20+120,Queue_Intervals!B3)),0)+IF(B20=Queue_Intervals!A4,MAX(0,MIN(D20,Queue_Intervals!C4)-MAX(C20+120,Queue_Intervals!B4)),0)+IF(B20=Queue_Intervals!A5,MAX(0,MIN(D20,Queue_Intervals!C5)-MAX(C20+120,Queue_Intervals!B5)),0)</x:f>
        <x:v>0</x:v>
      </x:c>
      <x:c r="L20" s="11" t="n">
        <x:f>MAX(0,F20-150)</x:f>
        <x:v>0</x:v>
      </x:c>
      <x:c r="M20" s="11" t="n">
        <x:f>IF(B20=Queue_Intervals!A2,MAX(0,MIN(D20,Queue_Intervals!C2)-MAX(C20+150,Queue_Intervals!B2)),0)+IF(B20=Queue_Intervals!A3,MAX(0,MIN(D20,Queue_Intervals!C3)-MAX(C20+150,Queue_Intervals!B3)),0)+IF(B20=Queue_Intervals!A4,MAX(0,MIN(D20,Queue_Intervals!C4)-MAX(C20+150,Queue_Intervals!B4)),0)+IF(B20=Queue_Intervals!A5,MAX(0,MIN(D20,Queue_Intervals!C5)-MAX(C20+150,Queue_Intervals!B5)),0)</x:f>
        <x:v>0</x:v>
      </x:c>
    </x:row>
    <x:row r="21" ht="25" customHeight="1">
      <x:c r="A21" s="11" t="str">
        <x:v>133_50</x:v>
      </x:c>
      <x:c r="B21" s="13" t="str">
        <x:v>133</x:v>
      </x:c>
      <x:c r="C21" s="13" t="n">
        <x:v>635</x:v>
      </x:c>
      <x:c r="D21" s="13" t="n">
        <x:v>680</x:v>
      </x:c>
      <x:c r="E21" s="13" t="str">
        <x:v>Walk in</x:v>
      </x:c>
      <x:c r="F21" s="13" t="n">
        <x:v>45</x:v>
      </x:c>
      <x:c r="G21" s="13" t="n">
        <x:v>0</x:v>
      </x:c>
      <x:c r="H21" s="11" t="n">
        <x:f>MAX(0,F21-90)</x:f>
        <x:v>0</x:v>
      </x:c>
      <x:c r="I21" s="11" t="n">
        <x:f>IF(B21=Queue_Intervals!A2,MAX(0,MIN(D21,Queue_Intervals!C2)-MAX(C21+90,Queue_Intervals!B2)),0)+IF(B21=Queue_Intervals!A3,MAX(0,MIN(D21,Queue_Intervals!C3)-MAX(C21+90,Queue_Intervals!B3)),0)+IF(B21=Queue_Intervals!A4,MAX(0,MIN(D21,Queue_Intervals!C4)-MAX(C21+90,Queue_Intervals!B4)),0)+IF(B21=Queue_Intervals!A5,MAX(0,MIN(D21,Queue_Intervals!C5)-MAX(C21+90,Queue_Intervals!B5)),0)</x:f>
        <x:v>0</x:v>
      </x:c>
      <x:c r="J21" s="11" t="n">
        <x:f>MAX(0,F21-120)</x:f>
        <x:v>0</x:v>
      </x:c>
      <x:c r="K21" s="11" t="n">
        <x:f>IF(B21=Queue_Intervals!A2,MAX(0,MIN(D21,Queue_Intervals!C2)-MAX(C21+120,Queue_Intervals!B2)),0)+IF(B21=Queue_Intervals!A3,MAX(0,MIN(D21,Queue_Intervals!C3)-MAX(C21+120,Queue_Intervals!B3)),0)+IF(B21=Queue_Intervals!A4,MAX(0,MIN(D21,Queue_Intervals!C4)-MAX(C21+120,Queue_Intervals!B4)),0)+IF(B21=Queue_Intervals!A5,MAX(0,MIN(D21,Queue_Intervals!C5)-MAX(C21+120,Queue_Intervals!B5)),0)</x:f>
        <x:v>0</x:v>
      </x:c>
      <x:c r="L21" s="11" t="n">
        <x:f>MAX(0,F21-150)</x:f>
        <x:v>0</x:v>
      </x:c>
      <x:c r="M21" s="11" t="n">
        <x:f>IF(B21=Queue_Intervals!A2,MAX(0,MIN(D21,Queue_Intervals!C2)-MAX(C21+150,Queue_Intervals!B2)),0)+IF(B21=Queue_Intervals!A3,MAX(0,MIN(D21,Queue_Intervals!C3)-MAX(C21+150,Queue_Intervals!B3)),0)+IF(B21=Queue_Intervals!A4,MAX(0,MIN(D21,Queue_Intervals!C4)-MAX(C21+150,Queue_Intervals!B4)),0)+IF(B21=Queue_Intervals!A5,MAX(0,MIN(D21,Queue_Intervals!C5)-MAX(C21+150,Queue_Intervals!B5)),0)</x:f>
        <x:v>0</x:v>
      </x:c>
    </x:row>
    <x:row r="22" ht="25" customHeight="1">
      <x:c r="A22" s="11" t="str">
        <x:v>133_52</x:v>
      </x:c>
      <x:c r="B22" s="13" t="str">
        <x:v>133</x:v>
      </x:c>
      <x:c r="C22" s="13" t="n">
        <x:v>653</x:v>
      </x:c>
      <x:c r="D22" s="13" t="n">
        <x:v>717</x:v>
      </x:c>
      <x:c r="E22" s="13" t="str">
        <x:v>Walk in</x:v>
      </x:c>
      <x:c r="F22" s="13" t="n">
        <x:v>64</x:v>
      </x:c>
      <x:c r="G22" s="13" t="n">
        <x:v>0</x:v>
      </x:c>
      <x:c r="H22" s="11" t="n">
        <x:f>MAX(0,F22-90)</x:f>
        <x:v>0</x:v>
      </x:c>
      <x:c r="I22" s="11" t="n">
        <x:f>IF(B22=Queue_Intervals!A2,MAX(0,MIN(D22,Queue_Intervals!C2)-MAX(C22+90,Queue_Intervals!B2)),0)+IF(B22=Queue_Intervals!A3,MAX(0,MIN(D22,Queue_Intervals!C3)-MAX(C22+90,Queue_Intervals!B3)),0)+IF(B22=Queue_Intervals!A4,MAX(0,MIN(D22,Queue_Intervals!C4)-MAX(C22+90,Queue_Intervals!B4)),0)+IF(B22=Queue_Intervals!A5,MAX(0,MIN(D22,Queue_Intervals!C5)-MAX(C22+90,Queue_Intervals!B5)),0)</x:f>
        <x:v>0</x:v>
      </x:c>
      <x:c r="J22" s="11" t="n">
        <x:f>MAX(0,F22-120)</x:f>
        <x:v>0</x:v>
      </x:c>
      <x:c r="K22" s="11" t="n">
        <x:f>IF(B22=Queue_Intervals!A2,MAX(0,MIN(D22,Queue_Intervals!C2)-MAX(C22+120,Queue_Intervals!B2)),0)+IF(B22=Queue_Intervals!A3,MAX(0,MIN(D22,Queue_Intervals!C3)-MAX(C22+120,Queue_Intervals!B3)),0)+IF(B22=Queue_Intervals!A4,MAX(0,MIN(D22,Queue_Intervals!C4)-MAX(C22+120,Queue_Intervals!B4)),0)+IF(B22=Queue_Intervals!A5,MAX(0,MIN(D22,Queue_Intervals!C5)-MAX(C22+120,Queue_Intervals!B5)),0)</x:f>
        <x:v>0</x:v>
      </x:c>
      <x:c r="L22" s="11" t="n">
        <x:f>MAX(0,F22-150)</x:f>
        <x:v>0</x:v>
      </x:c>
      <x:c r="M22" s="11" t="n">
        <x:f>IF(B22=Queue_Intervals!A2,MAX(0,MIN(D22,Queue_Intervals!C2)-MAX(C22+150,Queue_Intervals!B2)),0)+IF(B22=Queue_Intervals!A3,MAX(0,MIN(D22,Queue_Intervals!C3)-MAX(C22+150,Queue_Intervals!B3)),0)+IF(B22=Queue_Intervals!A4,MAX(0,MIN(D22,Queue_Intervals!C4)-MAX(C22+150,Queue_Intervals!B4)),0)+IF(B22=Queue_Intervals!A5,MAX(0,MIN(D22,Queue_Intervals!C5)-MAX(C22+150,Queue_Intervals!B5)),0)</x:f>
        <x:v>0</x:v>
      </x:c>
    </x:row>
    <x:row r="23" ht="25" customHeight="1">
      <x:c r="A23" s="11" t="str">
        <x:v>133_53</x:v>
      </x:c>
      <x:c r="B23" s="13" t="str">
        <x:v>133</x:v>
      </x:c>
      <x:c r="C23" s="13" t="n">
        <x:v>658</x:v>
      </x:c>
      <x:c r="D23" s="13" t="n">
        <x:v>717</x:v>
      </x:c>
      <x:c r="E23" s="13" t="str">
        <x:v>Walk in</x:v>
      </x:c>
      <x:c r="F23" s="13" t="n">
        <x:v>59</x:v>
      </x:c>
      <x:c r="G23" s="13" t="n">
        <x:v>0</x:v>
      </x:c>
      <x:c r="H23" s="11" t="n">
        <x:f>MAX(0,F23-90)</x:f>
        <x:v>0</x:v>
      </x:c>
      <x:c r="I23" s="11" t="n">
        <x:f>IF(B23=Queue_Intervals!A2,MAX(0,MIN(D23,Queue_Intervals!C2)-MAX(C23+90,Queue_Intervals!B2)),0)+IF(B23=Queue_Intervals!A3,MAX(0,MIN(D23,Queue_Intervals!C3)-MAX(C23+90,Queue_Intervals!B3)),0)+IF(B23=Queue_Intervals!A4,MAX(0,MIN(D23,Queue_Intervals!C4)-MAX(C23+90,Queue_Intervals!B4)),0)+IF(B23=Queue_Intervals!A5,MAX(0,MIN(D23,Queue_Intervals!C5)-MAX(C23+90,Queue_Intervals!B5)),0)</x:f>
        <x:v>0</x:v>
      </x:c>
      <x:c r="J23" s="11" t="n">
        <x:f>MAX(0,F23-120)</x:f>
        <x:v>0</x:v>
      </x:c>
      <x:c r="K23" s="11" t="n">
        <x:f>IF(B23=Queue_Intervals!A2,MAX(0,MIN(D23,Queue_Intervals!C2)-MAX(C23+120,Queue_Intervals!B2)),0)+IF(B23=Queue_Intervals!A3,MAX(0,MIN(D23,Queue_Intervals!C3)-MAX(C23+120,Queue_Intervals!B3)),0)+IF(B23=Queue_Intervals!A4,MAX(0,MIN(D23,Queue_Intervals!C4)-MAX(C23+120,Queue_Intervals!B4)),0)+IF(B23=Queue_Intervals!A5,MAX(0,MIN(D23,Queue_Intervals!C5)-MAX(C23+120,Queue_Intervals!B5)),0)</x:f>
        <x:v>0</x:v>
      </x:c>
      <x:c r="L23" s="11" t="n">
        <x:f>MAX(0,F23-150)</x:f>
        <x:v>0</x:v>
      </x:c>
      <x:c r="M23" s="11" t="n">
        <x:f>IF(B23=Queue_Intervals!A2,MAX(0,MIN(D23,Queue_Intervals!C2)-MAX(C23+150,Queue_Intervals!B2)),0)+IF(B23=Queue_Intervals!A3,MAX(0,MIN(D23,Queue_Intervals!C3)-MAX(C23+150,Queue_Intervals!B3)),0)+IF(B23=Queue_Intervals!A4,MAX(0,MIN(D23,Queue_Intervals!C4)-MAX(C23+150,Queue_Intervals!B4)),0)+IF(B23=Queue_Intervals!A5,MAX(0,MIN(D23,Queue_Intervals!C5)-MAX(C23+150,Queue_Intervals!B5)),0)</x:f>
        <x:v>0</x:v>
      </x:c>
    </x:row>
    <x:row r="24" ht="25" customHeight="1">
      <x:c r="A24" s="11" t="str">
        <x:v>133_54</x:v>
      </x:c>
      <x:c r="B24" s="13" t="str">
        <x:v>133</x:v>
      </x:c>
      <x:c r="C24" s="13" t="n">
        <x:v>660</x:v>
      </x:c>
      <x:c r="D24" s="13" t="n">
        <x:v>723</x:v>
      </x:c>
      <x:c r="E24" s="13" t="str">
        <x:v>Walk in</x:v>
      </x:c>
      <x:c r="F24" s="13" t="n">
        <x:v>63</x:v>
      </x:c>
      <x:c r="G24" s="13" t="n">
        <x:v>0</x:v>
      </x:c>
      <x:c r="H24" s="11" t="n">
        <x:f>MAX(0,F24-90)</x:f>
        <x:v>0</x:v>
      </x:c>
      <x:c r="I24" s="11" t="n">
        <x:f>IF(B24=Queue_Intervals!A2,MAX(0,MIN(D24,Queue_Intervals!C2)-MAX(C24+90,Queue_Intervals!B2)),0)+IF(B24=Queue_Intervals!A3,MAX(0,MIN(D24,Queue_Intervals!C3)-MAX(C24+90,Queue_Intervals!B3)),0)+IF(B24=Queue_Intervals!A4,MAX(0,MIN(D24,Queue_Intervals!C4)-MAX(C24+90,Queue_Intervals!B4)),0)+IF(B24=Queue_Intervals!A5,MAX(0,MIN(D24,Queue_Intervals!C5)-MAX(C24+90,Queue_Intervals!B5)),0)</x:f>
        <x:v>0</x:v>
      </x:c>
      <x:c r="J24" s="11" t="n">
        <x:f>MAX(0,F24-120)</x:f>
        <x:v>0</x:v>
      </x:c>
      <x:c r="K24" s="11" t="n">
        <x:f>IF(B24=Queue_Intervals!A2,MAX(0,MIN(D24,Queue_Intervals!C2)-MAX(C24+120,Queue_Intervals!B2)),0)+IF(B24=Queue_Intervals!A3,MAX(0,MIN(D24,Queue_Intervals!C3)-MAX(C24+120,Queue_Intervals!B3)),0)+IF(B24=Queue_Intervals!A4,MAX(0,MIN(D24,Queue_Intervals!C4)-MAX(C24+120,Queue_Intervals!B4)),0)+IF(B24=Queue_Intervals!A5,MAX(0,MIN(D24,Queue_Intervals!C5)-MAX(C24+120,Queue_Intervals!B5)),0)</x:f>
        <x:v>0</x:v>
      </x:c>
      <x:c r="L24" s="11" t="n">
        <x:f>MAX(0,F24-150)</x:f>
        <x:v>0</x:v>
      </x:c>
      <x:c r="M24" s="11" t="n">
        <x:f>IF(B24=Queue_Intervals!A2,MAX(0,MIN(D24,Queue_Intervals!C2)-MAX(C24+150,Queue_Intervals!B2)),0)+IF(B24=Queue_Intervals!A3,MAX(0,MIN(D24,Queue_Intervals!C3)-MAX(C24+150,Queue_Intervals!B3)),0)+IF(B24=Queue_Intervals!A4,MAX(0,MIN(D24,Queue_Intervals!C4)-MAX(C24+150,Queue_Intervals!B4)),0)+IF(B24=Queue_Intervals!A5,MAX(0,MIN(D24,Queue_Intervals!C5)-MAX(C24+150,Queue_Intervals!B5)),0)</x:f>
        <x:v>0</x:v>
      </x:c>
    </x:row>
    <x:row r="25" ht="25" customHeight="1">
      <x:c r="A25" s="11" t="str">
        <x:v>133_55</x:v>
      </x:c>
      <x:c r="B25" s="13" t="str">
        <x:v>133</x:v>
      </x:c>
      <x:c r="C25" s="13" t="n">
        <x:v>660</x:v>
      </x:c>
      <x:c r="D25" s="13" t="n">
        <x:v>705</x:v>
      </x:c>
      <x:c r="E25" s="13" t="str">
        <x:v>Walk in</x:v>
      </x:c>
      <x:c r="F25" s="13" t="n">
        <x:v>45</x:v>
      </x:c>
      <x:c r="G25" s="13" t="n">
        <x:v>0</x:v>
      </x:c>
      <x:c r="H25" s="11" t="n">
        <x:f>MAX(0,F25-90)</x:f>
        <x:v>0</x:v>
      </x:c>
      <x:c r="I25" s="11" t="n">
        <x:f>IF(B25=Queue_Intervals!A2,MAX(0,MIN(D25,Queue_Intervals!C2)-MAX(C25+90,Queue_Intervals!B2)),0)+IF(B25=Queue_Intervals!A3,MAX(0,MIN(D25,Queue_Intervals!C3)-MAX(C25+90,Queue_Intervals!B3)),0)+IF(B25=Queue_Intervals!A4,MAX(0,MIN(D25,Queue_Intervals!C4)-MAX(C25+90,Queue_Intervals!B4)),0)+IF(B25=Queue_Intervals!A5,MAX(0,MIN(D25,Queue_Intervals!C5)-MAX(C25+90,Queue_Intervals!B5)),0)</x:f>
        <x:v>0</x:v>
      </x:c>
      <x:c r="J25" s="11" t="n">
        <x:f>MAX(0,F25-120)</x:f>
        <x:v>0</x:v>
      </x:c>
      <x:c r="K25" s="11" t="n">
        <x:f>IF(B25=Queue_Intervals!A2,MAX(0,MIN(D25,Queue_Intervals!C2)-MAX(C25+120,Queue_Intervals!B2)),0)+IF(B25=Queue_Intervals!A3,MAX(0,MIN(D25,Queue_Intervals!C3)-MAX(C25+120,Queue_Intervals!B3)),0)+IF(B25=Queue_Intervals!A4,MAX(0,MIN(D25,Queue_Intervals!C4)-MAX(C25+120,Queue_Intervals!B4)),0)+IF(B25=Queue_Intervals!A5,MAX(0,MIN(D25,Queue_Intervals!C5)-MAX(C25+120,Queue_Intervals!B5)),0)</x:f>
        <x:v>0</x:v>
      </x:c>
      <x:c r="L25" s="11" t="n">
        <x:f>MAX(0,F25-150)</x:f>
        <x:v>0</x:v>
      </x:c>
      <x:c r="M25" s="11" t="n">
        <x:f>IF(B25=Queue_Intervals!A2,MAX(0,MIN(D25,Queue_Intervals!C2)-MAX(C25+150,Queue_Intervals!B2)),0)+IF(B25=Queue_Intervals!A3,MAX(0,MIN(D25,Queue_Intervals!C3)-MAX(C25+150,Queue_Intervals!B3)),0)+IF(B25=Queue_Intervals!A4,MAX(0,MIN(D25,Queue_Intervals!C4)-MAX(C25+150,Queue_Intervals!B4)),0)+IF(B25=Queue_Intervals!A5,MAX(0,MIN(D25,Queue_Intervals!C5)-MAX(C25+150,Queue_Intervals!B5)),0)</x:f>
        <x:v>0</x:v>
      </x:c>
    </x:row>
    <x:row r="26" ht="25" customHeight="1">
      <x:c r="A26" s="11" t="str">
        <x:v>133_57</x:v>
      </x:c>
      <x:c r="B26" s="13" t="str">
        <x:v>133</x:v>
      </x:c>
      <x:c r="C26" s="13" t="n">
        <x:v>676</x:v>
      </x:c>
      <x:c r="D26" s="13" t="n">
        <x:v>720</x:v>
      </x:c>
      <x:c r="E26" s="13" t="str">
        <x:v>Walk in</x:v>
      </x:c>
      <x:c r="F26" s="13" t="n">
        <x:v>44</x:v>
      </x:c>
      <x:c r="G26" s="13" t="n">
        <x:v>0</x:v>
      </x:c>
      <x:c r="H26" s="11" t="n">
        <x:f>MAX(0,F26-90)</x:f>
        <x:v>0</x:v>
      </x:c>
      <x:c r="I26" s="11" t="n">
        <x:f>IF(B26=Queue_Intervals!A2,MAX(0,MIN(D26,Queue_Intervals!C2)-MAX(C26+90,Queue_Intervals!B2)),0)+IF(B26=Queue_Intervals!A3,MAX(0,MIN(D26,Queue_Intervals!C3)-MAX(C26+90,Queue_Intervals!B3)),0)+IF(B26=Queue_Intervals!A4,MAX(0,MIN(D26,Queue_Intervals!C4)-MAX(C26+90,Queue_Intervals!B4)),0)+IF(B26=Queue_Intervals!A5,MAX(0,MIN(D26,Queue_Intervals!C5)-MAX(C26+90,Queue_Intervals!B5)),0)</x:f>
        <x:v>0</x:v>
      </x:c>
      <x:c r="J26" s="11" t="n">
        <x:f>MAX(0,F26-120)</x:f>
        <x:v>0</x:v>
      </x:c>
      <x:c r="K26" s="11" t="n">
        <x:f>IF(B26=Queue_Intervals!A2,MAX(0,MIN(D26,Queue_Intervals!C2)-MAX(C26+120,Queue_Intervals!B2)),0)+IF(B26=Queue_Intervals!A3,MAX(0,MIN(D26,Queue_Intervals!C3)-MAX(C26+120,Queue_Intervals!B3)),0)+IF(B26=Queue_Intervals!A4,MAX(0,MIN(D26,Queue_Intervals!C4)-MAX(C26+120,Queue_Intervals!B4)),0)+IF(B26=Queue_Intervals!A5,MAX(0,MIN(D26,Queue_Intervals!C5)-MAX(C26+120,Queue_Intervals!B5)),0)</x:f>
        <x:v>0</x:v>
      </x:c>
      <x:c r="L26" s="11" t="n">
        <x:f>MAX(0,F26-150)</x:f>
        <x:v>0</x:v>
      </x:c>
      <x:c r="M26" s="11" t="n">
        <x:f>IF(B26=Queue_Intervals!A2,MAX(0,MIN(D26,Queue_Intervals!C2)-MAX(C26+150,Queue_Intervals!B2)),0)+IF(B26=Queue_Intervals!A3,MAX(0,MIN(D26,Queue_Intervals!C3)-MAX(C26+150,Queue_Intervals!B3)),0)+IF(B26=Queue_Intervals!A4,MAX(0,MIN(D26,Queue_Intervals!C4)-MAX(C26+150,Queue_Intervals!B4)),0)+IF(B26=Queue_Intervals!A5,MAX(0,MIN(D26,Queue_Intervals!C5)-MAX(C26+150,Queue_Intervals!B5)),0)</x:f>
        <x:v>0</x:v>
      </x:c>
    </x:row>
    <x:row r="27" ht="25" customHeight="1">
      <x:c r="A27" s="11" t="str">
        <x:v>143_1</x:v>
      </x:c>
      <x:c r="B27" s="13" t="str">
        <x:v>143</x:v>
      </x:c>
      <x:c r="C27" s="13" t="n">
        <x:v>389</x:v>
      </x:c>
      <x:c r="D27" s="13" t="n">
        <x:v>614</x:v>
      </x:c>
      <x:c r="E27" s="13" t="str">
        <x:v>Walk in</x:v>
      </x:c>
      <x:c r="F27" s="13" t="n">
        <x:v>225</x:v>
      </x:c>
      <x:c r="G27" s="13" t="n">
        <x:v>1</x:v>
      </x:c>
      <x:c r="H27" s="11" t="n">
        <x:f>MAX(0,F27-90)</x:f>
        <x:v>135</x:v>
      </x:c>
      <x:c r="I27" s="11" t="n">
        <x:f>IF(B27=Queue_Intervals!A2,MAX(0,MIN(D27,Queue_Intervals!C2)-MAX(C27+90,Queue_Intervals!B2)),0)+IF(B27=Queue_Intervals!A3,MAX(0,MIN(D27,Queue_Intervals!C3)-MAX(C27+90,Queue_Intervals!B3)),0)+IF(B27=Queue_Intervals!A4,MAX(0,MIN(D27,Queue_Intervals!C4)-MAX(C27+90,Queue_Intervals!B4)),0)+IF(B27=Queue_Intervals!A5,MAX(0,MIN(D27,Queue_Intervals!C5)-MAX(C27+90,Queue_Intervals!B5)),0)</x:f>
        <x:v>81</x:v>
      </x:c>
      <x:c r="J27" s="11" t="n">
        <x:f>MAX(0,F27-120)</x:f>
        <x:v>105</x:v>
      </x:c>
      <x:c r="K27" s="11" t="n">
        <x:f>IF(B27=Queue_Intervals!A2,MAX(0,MIN(D27,Queue_Intervals!C2)-MAX(C27+120,Queue_Intervals!B2)),0)+IF(B27=Queue_Intervals!A3,MAX(0,MIN(D27,Queue_Intervals!C3)-MAX(C27+120,Queue_Intervals!B3)),0)+IF(B27=Queue_Intervals!A4,MAX(0,MIN(D27,Queue_Intervals!C4)-MAX(C27+120,Queue_Intervals!B4)),0)+IF(B27=Queue_Intervals!A5,MAX(0,MIN(D27,Queue_Intervals!C5)-MAX(C27+120,Queue_Intervals!B5)),0)</x:f>
        <x:v>77</x:v>
      </x:c>
      <x:c r="L27" s="11" t="n">
        <x:f>MAX(0,F27-150)</x:f>
        <x:v>75</x:v>
      </x:c>
      <x:c r="M27" s="11" t="n">
        <x:f>IF(B27=Queue_Intervals!A2,MAX(0,MIN(D27,Queue_Intervals!C2)-MAX(C27+150,Queue_Intervals!B2)),0)+IF(B27=Queue_Intervals!A3,MAX(0,MIN(D27,Queue_Intervals!C3)-MAX(C27+150,Queue_Intervals!B3)),0)+IF(B27=Queue_Intervals!A4,MAX(0,MIN(D27,Queue_Intervals!C4)-MAX(C27+150,Queue_Intervals!B4)),0)+IF(B27=Queue_Intervals!A5,MAX(0,MIN(D27,Queue_Intervals!C5)-MAX(C27+150,Queue_Intervals!B5)),0)</x:f>
        <x:v>55</x:v>
      </x:c>
    </x:row>
    <x:row r="28" ht="25" customHeight="1">
      <x:c r="A28" s="11" t="str">
        <x:v>143_2</x:v>
      </x:c>
      <x:c r="B28" s="13" t="str">
        <x:v>143</x:v>
      </x:c>
      <x:c r="C28" s="13" t="n">
        <x:v>392</x:v>
      </x:c>
      <x:c r="D28" s="13" t="n">
        <x:v>482</x:v>
      </x:c>
      <x:c r="E28" s="13" t="str">
        <x:v>Walk in</x:v>
      </x:c>
      <x:c r="F28" s="13" t="n">
        <x:v>90</x:v>
      </x:c>
      <x:c r="G28" s="13" t="n">
        <x:v>1</x:v>
      </x:c>
      <x:c r="H28" s="11" t="n">
        <x:f>MAX(0,F28-90)</x:f>
        <x:v>0</x:v>
      </x:c>
      <x:c r="I28" s="11" t="n">
        <x:f>IF(B28=Queue_Intervals!A2,MAX(0,MIN(D28,Queue_Intervals!C2)-MAX(C28+90,Queue_Intervals!B2)),0)+IF(B28=Queue_Intervals!A3,MAX(0,MIN(D28,Queue_Intervals!C3)-MAX(C28+90,Queue_Intervals!B3)),0)+IF(B28=Queue_Intervals!A4,MAX(0,MIN(D28,Queue_Intervals!C4)-MAX(C28+90,Queue_Intervals!B4)),0)+IF(B28=Queue_Intervals!A5,MAX(0,MIN(D28,Queue_Intervals!C5)-MAX(C28+90,Queue_Intervals!B5)),0)</x:f>
        <x:v>0</x:v>
      </x:c>
      <x:c r="J28" s="11" t="n">
        <x:f>MAX(0,F28-120)</x:f>
        <x:v>0</x:v>
      </x:c>
      <x:c r="K28" s="11" t="n">
        <x:f>IF(B28=Queue_Intervals!A2,MAX(0,MIN(D28,Queue_Intervals!C2)-MAX(C28+120,Queue_Intervals!B2)),0)+IF(B28=Queue_Intervals!A3,MAX(0,MIN(D28,Queue_Intervals!C3)-MAX(C28+120,Queue_Intervals!B3)),0)+IF(B28=Queue_Intervals!A4,MAX(0,MIN(D28,Queue_Intervals!C4)-MAX(C28+120,Queue_Intervals!B4)),0)+IF(B28=Queue_Intervals!A5,MAX(0,MIN(D28,Queue_Intervals!C5)-MAX(C28+120,Queue_Intervals!B5)),0)</x:f>
        <x:v>0</x:v>
      </x:c>
      <x:c r="L28" s="11" t="n">
        <x:f>MAX(0,F28-150)</x:f>
        <x:v>0</x:v>
      </x:c>
      <x:c r="M28" s="11" t="n">
        <x:f>IF(B28=Queue_Intervals!A2,MAX(0,MIN(D28,Queue_Intervals!C2)-MAX(C28+150,Queue_Intervals!B2)),0)+IF(B28=Queue_Intervals!A3,MAX(0,MIN(D28,Queue_Intervals!C3)-MAX(C28+150,Queue_Intervals!B3)),0)+IF(B28=Queue_Intervals!A4,MAX(0,MIN(D28,Queue_Intervals!C4)-MAX(C28+150,Queue_Intervals!B4)),0)+IF(B28=Queue_Intervals!A5,MAX(0,MIN(D28,Queue_Intervals!C5)-MAX(C28+150,Queue_Intervals!B5)),0)</x:f>
        <x:v>0</x:v>
      </x:c>
    </x:row>
    <x:row r="29" ht="25" customHeight="1">
      <x:c r="A29" s="11" t="str">
        <x:v>143_3</x:v>
      </x:c>
      <x:c r="B29" s="13" t="str">
        <x:v>143</x:v>
      </x:c>
      <x:c r="C29" s="13" t="n">
        <x:v>393</x:v>
      </x:c>
      <x:c r="D29" s="13" t="n">
        <x:v>467</x:v>
      </x:c>
      <x:c r="E29" s="13" t="str">
        <x:v>Walk in</x:v>
      </x:c>
      <x:c r="F29" s="13" t="n">
        <x:v>74</x:v>
      </x:c>
      <x:c r="G29" s="13" t="n">
        <x:v>1</x:v>
      </x:c>
      <x:c r="H29" s="11" t="n">
        <x:f>MAX(0,F29-90)</x:f>
        <x:v>0</x:v>
      </x:c>
      <x:c r="I29" s="11" t="n">
        <x:f>IF(B29=Queue_Intervals!A2,MAX(0,MIN(D29,Queue_Intervals!C2)-MAX(C29+90,Queue_Intervals!B2)),0)+IF(B29=Queue_Intervals!A3,MAX(0,MIN(D29,Queue_Intervals!C3)-MAX(C29+90,Queue_Intervals!B3)),0)+IF(B29=Queue_Intervals!A4,MAX(0,MIN(D29,Queue_Intervals!C4)-MAX(C29+90,Queue_Intervals!B4)),0)+IF(B29=Queue_Intervals!A5,MAX(0,MIN(D29,Queue_Intervals!C5)-MAX(C29+90,Queue_Intervals!B5)),0)</x:f>
        <x:v>0</x:v>
      </x:c>
      <x:c r="J29" s="11" t="n">
        <x:f>MAX(0,F29-120)</x:f>
        <x:v>0</x:v>
      </x:c>
      <x:c r="K29" s="11" t="n">
        <x:f>IF(B29=Queue_Intervals!A2,MAX(0,MIN(D29,Queue_Intervals!C2)-MAX(C29+120,Queue_Intervals!B2)),0)+IF(B29=Queue_Intervals!A3,MAX(0,MIN(D29,Queue_Intervals!C3)-MAX(C29+120,Queue_Intervals!B3)),0)+IF(B29=Queue_Intervals!A4,MAX(0,MIN(D29,Queue_Intervals!C4)-MAX(C29+120,Queue_Intervals!B4)),0)+IF(B29=Queue_Intervals!A5,MAX(0,MIN(D29,Queue_Intervals!C5)-MAX(C29+120,Queue_Intervals!B5)),0)</x:f>
        <x:v>0</x:v>
      </x:c>
      <x:c r="L29" s="11" t="n">
        <x:f>MAX(0,F29-150)</x:f>
        <x:v>0</x:v>
      </x:c>
      <x:c r="M29" s="11" t="n">
        <x:f>IF(B29=Queue_Intervals!A2,MAX(0,MIN(D29,Queue_Intervals!C2)-MAX(C29+150,Queue_Intervals!B2)),0)+IF(B29=Queue_Intervals!A3,MAX(0,MIN(D29,Queue_Intervals!C3)-MAX(C29+150,Queue_Intervals!B3)),0)+IF(B29=Queue_Intervals!A4,MAX(0,MIN(D29,Queue_Intervals!C4)-MAX(C29+150,Queue_Intervals!B4)),0)+IF(B29=Queue_Intervals!A5,MAX(0,MIN(D29,Queue_Intervals!C5)-MAX(C29+150,Queue_Intervals!B5)),0)</x:f>
        <x:v>0</x:v>
      </x:c>
    </x:row>
    <x:row r="30" ht="25" customHeight="1">
      <x:c r="A30" s="11" t="str">
        <x:v>143_4</x:v>
      </x:c>
      <x:c r="B30" s="13" t="str">
        <x:v>143</x:v>
      </x:c>
      <x:c r="C30" s="13" t="n">
        <x:v>393</x:v>
      </x:c>
      <x:c r="D30" s="13" t="n">
        <x:v>489</x:v>
      </x:c>
      <x:c r="E30" s="13" t="str">
        <x:v>Walk in</x:v>
      </x:c>
      <x:c r="F30" s="13" t="n">
        <x:v>96</x:v>
      </x:c>
      <x:c r="G30" s="13" t="n">
        <x:v>1</x:v>
      </x:c>
      <x:c r="H30" s="11" t="n">
        <x:f>MAX(0,F30-90)</x:f>
        <x:v>6</x:v>
      </x:c>
      <x:c r="I30" s="11" t="n">
        <x:f>IF(B30=Queue_Intervals!A2,MAX(0,MIN(D30,Queue_Intervals!C2)-MAX(C30+90,Queue_Intervals!B2)),0)+IF(B30=Queue_Intervals!A3,MAX(0,MIN(D30,Queue_Intervals!C3)-MAX(C30+90,Queue_Intervals!B3)),0)+IF(B30=Queue_Intervals!A4,MAX(0,MIN(D30,Queue_Intervals!C4)-MAX(C30+90,Queue_Intervals!B4)),0)+IF(B30=Queue_Intervals!A5,MAX(0,MIN(D30,Queue_Intervals!C5)-MAX(C30+90,Queue_Intervals!B5)),0)</x:f>
        <x:v>0</x:v>
      </x:c>
      <x:c r="J30" s="11" t="n">
        <x:f>MAX(0,F30-120)</x:f>
        <x:v>0</x:v>
      </x:c>
      <x:c r="K30" s="11" t="n">
        <x:f>IF(B30=Queue_Intervals!A2,MAX(0,MIN(D30,Queue_Intervals!C2)-MAX(C30+120,Queue_Intervals!B2)),0)+IF(B30=Queue_Intervals!A3,MAX(0,MIN(D30,Queue_Intervals!C3)-MAX(C30+120,Queue_Intervals!B3)),0)+IF(B30=Queue_Intervals!A4,MAX(0,MIN(D30,Queue_Intervals!C4)-MAX(C30+120,Queue_Intervals!B4)),0)+IF(B30=Queue_Intervals!A5,MAX(0,MIN(D30,Queue_Intervals!C5)-MAX(C30+120,Queue_Intervals!B5)),0)</x:f>
        <x:v>0</x:v>
      </x:c>
      <x:c r="L30" s="11" t="n">
        <x:f>MAX(0,F30-150)</x:f>
        <x:v>0</x:v>
      </x:c>
      <x:c r="M30" s="11" t="n">
        <x:f>IF(B30=Queue_Intervals!A2,MAX(0,MIN(D30,Queue_Intervals!C2)-MAX(C30+150,Queue_Intervals!B2)),0)+IF(B30=Queue_Intervals!A3,MAX(0,MIN(D30,Queue_Intervals!C3)-MAX(C30+150,Queue_Intervals!B3)),0)+IF(B30=Queue_Intervals!A4,MAX(0,MIN(D30,Queue_Intervals!C4)-MAX(C30+150,Queue_Intervals!B4)),0)+IF(B30=Queue_Intervals!A5,MAX(0,MIN(D30,Queue_Intervals!C5)-MAX(C30+150,Queue_Intervals!B5)),0)</x:f>
        <x:v>0</x:v>
      </x:c>
    </x:row>
    <x:row r="31" ht="25" customHeight="1">
      <x:c r="A31" s="11" t="str">
        <x:v>143_5</x:v>
      </x:c>
      <x:c r="B31" s="13" t="str">
        <x:v>143</x:v>
      </x:c>
      <x:c r="C31" s="13" t="n">
        <x:v>396</x:v>
      </x:c>
      <x:c r="D31" s="13" t="n">
        <x:v>465</x:v>
      </x:c>
      <x:c r="E31" s="13" t="str">
        <x:v>Walk in</x:v>
      </x:c>
      <x:c r="F31" s="13" t="n">
        <x:v>69</x:v>
      </x:c>
      <x:c r="G31" s="13" t="n">
        <x:v>1</x:v>
      </x:c>
      <x:c r="H31" s="11" t="n">
        <x:f>MAX(0,F31-90)</x:f>
        <x:v>0</x:v>
      </x:c>
      <x:c r="I31" s="11" t="n">
        <x:f>IF(B31=Queue_Intervals!A2,MAX(0,MIN(D31,Queue_Intervals!C2)-MAX(C31+90,Queue_Intervals!B2)),0)+IF(B31=Queue_Intervals!A3,MAX(0,MIN(D31,Queue_Intervals!C3)-MAX(C31+90,Queue_Intervals!B3)),0)+IF(B31=Queue_Intervals!A4,MAX(0,MIN(D31,Queue_Intervals!C4)-MAX(C31+90,Queue_Intervals!B4)),0)+IF(B31=Queue_Intervals!A5,MAX(0,MIN(D31,Queue_Intervals!C5)-MAX(C31+90,Queue_Intervals!B5)),0)</x:f>
        <x:v>0</x:v>
      </x:c>
      <x:c r="J31" s="11" t="n">
        <x:f>MAX(0,F31-120)</x:f>
        <x:v>0</x:v>
      </x:c>
      <x:c r="K31" s="11" t="n">
        <x:f>IF(B31=Queue_Intervals!A2,MAX(0,MIN(D31,Queue_Intervals!C2)-MAX(C31+120,Queue_Intervals!B2)),0)+IF(B31=Queue_Intervals!A3,MAX(0,MIN(D31,Queue_Intervals!C3)-MAX(C31+120,Queue_Intervals!B3)),0)+IF(B31=Queue_Intervals!A4,MAX(0,MIN(D31,Queue_Intervals!C4)-MAX(C31+120,Queue_Intervals!B4)),0)+IF(B31=Queue_Intervals!A5,MAX(0,MIN(D31,Queue_Intervals!C5)-MAX(C31+120,Queue_Intervals!B5)),0)</x:f>
        <x:v>0</x:v>
      </x:c>
      <x:c r="L31" s="11" t="n">
        <x:f>MAX(0,F31-150)</x:f>
        <x:v>0</x:v>
      </x:c>
      <x:c r="M31" s="11" t="n">
        <x:f>IF(B31=Queue_Intervals!A2,MAX(0,MIN(D31,Queue_Intervals!C2)-MAX(C31+150,Queue_Intervals!B2)),0)+IF(B31=Queue_Intervals!A3,MAX(0,MIN(D31,Queue_Intervals!C3)-MAX(C31+150,Queue_Intervals!B3)),0)+IF(B31=Queue_Intervals!A4,MAX(0,MIN(D31,Queue_Intervals!C4)-MAX(C31+150,Queue_Intervals!B4)),0)+IF(B31=Queue_Intervals!A5,MAX(0,MIN(D31,Queue_Intervals!C5)-MAX(C31+150,Queue_Intervals!B5)),0)</x:f>
        <x:v>0</x:v>
      </x:c>
    </x:row>
    <x:row r="32" ht="25" customHeight="1">
      <x:c r="A32" s="11" t="str">
        <x:v>143_6</x:v>
      </x:c>
      <x:c r="B32" s="13" t="str">
        <x:v>143</x:v>
      </x:c>
      <x:c r="C32" s="13" t="n">
        <x:v>404</x:v>
      </x:c>
      <x:c r="D32" s="13" t="n">
        <x:v>436</x:v>
      </x:c>
      <x:c r="E32" s="13" t="str">
        <x:v>Walk in</x:v>
      </x:c>
      <x:c r="F32" s="13" t="n">
        <x:v>32</x:v>
      </x:c>
      <x:c r="G32" s="13" t="n">
        <x:v>1</x:v>
      </x:c>
      <x:c r="H32" s="11" t="n">
        <x:f>MAX(0,F32-90)</x:f>
        <x:v>0</x:v>
      </x:c>
      <x:c r="I32" s="11" t="n">
        <x:f>IF(B32=Queue_Intervals!A2,MAX(0,MIN(D32,Queue_Intervals!C2)-MAX(C32+90,Queue_Intervals!B2)),0)+IF(B32=Queue_Intervals!A3,MAX(0,MIN(D32,Queue_Intervals!C3)-MAX(C32+90,Queue_Intervals!B3)),0)+IF(B32=Queue_Intervals!A4,MAX(0,MIN(D32,Queue_Intervals!C4)-MAX(C32+90,Queue_Intervals!B4)),0)+IF(B32=Queue_Intervals!A5,MAX(0,MIN(D32,Queue_Intervals!C5)-MAX(C32+90,Queue_Intervals!B5)),0)</x:f>
        <x:v>0</x:v>
      </x:c>
      <x:c r="J32" s="11" t="n">
        <x:f>MAX(0,F32-120)</x:f>
        <x:v>0</x:v>
      </x:c>
      <x:c r="K32" s="11" t="n">
        <x:f>IF(B32=Queue_Intervals!A2,MAX(0,MIN(D32,Queue_Intervals!C2)-MAX(C32+120,Queue_Intervals!B2)),0)+IF(B32=Queue_Intervals!A3,MAX(0,MIN(D32,Queue_Intervals!C3)-MAX(C32+120,Queue_Intervals!B3)),0)+IF(B32=Queue_Intervals!A4,MAX(0,MIN(D32,Queue_Intervals!C4)-MAX(C32+120,Queue_Intervals!B4)),0)+IF(B32=Queue_Intervals!A5,MAX(0,MIN(D32,Queue_Intervals!C5)-MAX(C32+120,Queue_Intervals!B5)),0)</x:f>
        <x:v>0</x:v>
      </x:c>
      <x:c r="L32" s="11" t="n">
        <x:f>MAX(0,F32-150)</x:f>
        <x:v>0</x:v>
      </x:c>
      <x:c r="M32" s="11" t="n">
        <x:f>IF(B32=Queue_Intervals!A2,MAX(0,MIN(D32,Queue_Intervals!C2)-MAX(C32+150,Queue_Intervals!B2)),0)+IF(B32=Queue_Intervals!A3,MAX(0,MIN(D32,Queue_Intervals!C3)-MAX(C32+150,Queue_Intervals!B3)),0)+IF(B32=Queue_Intervals!A4,MAX(0,MIN(D32,Queue_Intervals!C4)-MAX(C32+150,Queue_Intervals!B4)),0)+IF(B32=Queue_Intervals!A5,MAX(0,MIN(D32,Queue_Intervals!C5)-MAX(C32+150,Queue_Intervals!B5)),0)</x:f>
        <x:v>0</x:v>
      </x:c>
    </x:row>
    <x:row r="33" ht="25" customHeight="1">
      <x:c r="A33" s="11" t="str">
        <x:v>143_7</x:v>
      </x:c>
      <x:c r="B33" s="13" t="str">
        <x:v>143</x:v>
      </x:c>
      <x:c r="C33" s="13" t="n">
        <x:v>404</x:v>
      </x:c>
      <x:c r="D33" s="13" t="n">
        <x:v>507</x:v>
      </x:c>
      <x:c r="E33" s="13" t="str">
        <x:v>Walk in</x:v>
      </x:c>
      <x:c r="F33" s="13" t="n">
        <x:v>103</x:v>
      </x:c>
      <x:c r="G33" s="13" t="n">
        <x:v>1</x:v>
      </x:c>
      <x:c r="H33" s="11" t="n">
        <x:f>MAX(0,F33-90)</x:f>
        <x:v>13</x:v>
      </x:c>
      <x:c r="I33" s="11" t="n">
        <x:f>IF(B33=Queue_Intervals!A2,MAX(0,MIN(D33,Queue_Intervals!C2)-MAX(C33+90,Queue_Intervals!B2)),0)+IF(B33=Queue_Intervals!A3,MAX(0,MIN(D33,Queue_Intervals!C3)-MAX(C33+90,Queue_Intervals!B3)),0)+IF(B33=Queue_Intervals!A4,MAX(0,MIN(D33,Queue_Intervals!C4)-MAX(C33+90,Queue_Intervals!B4)),0)+IF(B33=Queue_Intervals!A5,MAX(0,MIN(D33,Queue_Intervals!C5)-MAX(C33+90,Queue_Intervals!B5)),0)</x:f>
        <x:v>2</x:v>
      </x:c>
      <x:c r="J33" s="11" t="n">
        <x:f>MAX(0,F33-120)</x:f>
        <x:v>0</x:v>
      </x:c>
      <x:c r="K33" s="11" t="n">
        <x:f>IF(B33=Queue_Intervals!A2,MAX(0,MIN(D33,Queue_Intervals!C2)-MAX(C33+120,Queue_Intervals!B2)),0)+IF(B33=Queue_Intervals!A3,MAX(0,MIN(D33,Queue_Intervals!C3)-MAX(C33+120,Queue_Intervals!B3)),0)+IF(B33=Queue_Intervals!A4,MAX(0,MIN(D33,Queue_Intervals!C4)-MAX(C33+120,Queue_Intervals!B4)),0)+IF(B33=Queue_Intervals!A5,MAX(0,MIN(D33,Queue_Intervals!C5)-MAX(C33+120,Queue_Intervals!B5)),0)</x:f>
        <x:v>0</x:v>
      </x:c>
      <x:c r="L33" s="11" t="n">
        <x:f>MAX(0,F33-150)</x:f>
        <x:v>0</x:v>
      </x:c>
      <x:c r="M33" s="11" t="n">
        <x:f>IF(B33=Queue_Intervals!A2,MAX(0,MIN(D33,Queue_Intervals!C2)-MAX(C33+150,Queue_Intervals!B2)),0)+IF(B33=Queue_Intervals!A3,MAX(0,MIN(D33,Queue_Intervals!C3)-MAX(C33+150,Queue_Intervals!B3)),0)+IF(B33=Queue_Intervals!A4,MAX(0,MIN(D33,Queue_Intervals!C4)-MAX(C33+150,Queue_Intervals!B4)),0)+IF(B33=Queue_Intervals!A5,MAX(0,MIN(D33,Queue_Intervals!C5)-MAX(C33+150,Queue_Intervals!B5)),0)</x:f>
        <x:v>0</x:v>
      </x:c>
    </x:row>
    <x:row r="34" ht="25" customHeight="1">
      <x:c r="A34" s="11" t="str">
        <x:v>143_8</x:v>
      </x:c>
      <x:c r="B34" s="13" t="str">
        <x:v>143</x:v>
      </x:c>
      <x:c r="C34" s="13" t="n">
        <x:v>404</x:v>
      </x:c>
      <x:c r="D34" s="13" t="n">
        <x:v>468</x:v>
      </x:c>
      <x:c r="E34" s="13" t="str">
        <x:v>Walk in</x:v>
      </x:c>
      <x:c r="F34" s="13" t="n">
        <x:v>64</x:v>
      </x:c>
      <x:c r="G34" s="13" t="n">
        <x:v>1</x:v>
      </x:c>
      <x:c r="H34" s="11" t="n">
        <x:f>MAX(0,F34-90)</x:f>
        <x:v>0</x:v>
      </x:c>
      <x:c r="I34" s="11" t="n">
        <x:f>IF(B34=Queue_Intervals!A2,MAX(0,MIN(D34,Queue_Intervals!C2)-MAX(C34+90,Queue_Intervals!B2)),0)+IF(B34=Queue_Intervals!A3,MAX(0,MIN(D34,Queue_Intervals!C3)-MAX(C34+90,Queue_Intervals!B3)),0)+IF(B34=Queue_Intervals!A4,MAX(0,MIN(D34,Queue_Intervals!C4)-MAX(C34+90,Queue_Intervals!B4)),0)+IF(B34=Queue_Intervals!A5,MAX(0,MIN(D34,Queue_Intervals!C5)-MAX(C34+90,Queue_Intervals!B5)),0)</x:f>
        <x:v>0</x:v>
      </x:c>
      <x:c r="J34" s="11" t="n">
        <x:f>MAX(0,F34-120)</x:f>
        <x:v>0</x:v>
      </x:c>
      <x:c r="K34" s="11" t="n">
        <x:f>IF(B34=Queue_Intervals!A2,MAX(0,MIN(D34,Queue_Intervals!C2)-MAX(C34+120,Queue_Intervals!B2)),0)+IF(B34=Queue_Intervals!A3,MAX(0,MIN(D34,Queue_Intervals!C3)-MAX(C34+120,Queue_Intervals!B3)),0)+IF(B34=Queue_Intervals!A4,MAX(0,MIN(D34,Queue_Intervals!C4)-MAX(C34+120,Queue_Intervals!B4)),0)+IF(B34=Queue_Intervals!A5,MAX(0,MIN(D34,Queue_Intervals!C5)-MAX(C34+120,Queue_Intervals!B5)),0)</x:f>
        <x:v>0</x:v>
      </x:c>
      <x:c r="L34" s="11" t="n">
        <x:f>MAX(0,F34-150)</x:f>
        <x:v>0</x:v>
      </x:c>
      <x:c r="M34" s="11" t="n">
        <x:f>IF(B34=Queue_Intervals!A2,MAX(0,MIN(D34,Queue_Intervals!C2)-MAX(C34+150,Queue_Intervals!B2)),0)+IF(B34=Queue_Intervals!A3,MAX(0,MIN(D34,Queue_Intervals!C3)-MAX(C34+150,Queue_Intervals!B3)),0)+IF(B34=Queue_Intervals!A4,MAX(0,MIN(D34,Queue_Intervals!C4)-MAX(C34+150,Queue_Intervals!B4)),0)+IF(B34=Queue_Intervals!A5,MAX(0,MIN(D34,Queue_Intervals!C5)-MAX(C34+150,Queue_Intervals!B5)),0)</x:f>
        <x:v>0</x:v>
      </x:c>
    </x:row>
    <x:row r="35" ht="25" customHeight="1">
      <x:c r="A35" s="11" t="str">
        <x:v>143_9</x:v>
      </x:c>
      <x:c r="B35" s="13" t="str">
        <x:v>143</x:v>
      </x:c>
      <x:c r="C35" s="13" t="n">
        <x:v>408</x:v>
      </x:c>
      <x:c r="D35" s="13" t="n">
        <x:v>470</x:v>
      </x:c>
      <x:c r="E35" s="13" t="str">
        <x:v>Walk in</x:v>
      </x:c>
      <x:c r="F35" s="13" t="n">
        <x:v>62</x:v>
      </x:c>
      <x:c r="G35" s="13" t="n">
        <x:v>1</x:v>
      </x:c>
      <x:c r="H35" s="11" t="n">
        <x:f>MAX(0,F35-90)</x:f>
        <x:v>0</x:v>
      </x:c>
      <x:c r="I35" s="11" t="n">
        <x:f>IF(B35=Queue_Intervals!A2,MAX(0,MIN(D35,Queue_Intervals!C2)-MAX(C35+90,Queue_Intervals!B2)),0)+IF(B35=Queue_Intervals!A3,MAX(0,MIN(D35,Queue_Intervals!C3)-MAX(C35+90,Queue_Intervals!B3)),0)+IF(B35=Queue_Intervals!A4,MAX(0,MIN(D35,Queue_Intervals!C4)-MAX(C35+90,Queue_Intervals!B4)),0)+IF(B35=Queue_Intervals!A5,MAX(0,MIN(D35,Queue_Intervals!C5)-MAX(C35+90,Queue_Intervals!B5)),0)</x:f>
        <x:v>0</x:v>
      </x:c>
      <x:c r="J35" s="11" t="n">
        <x:f>MAX(0,F35-120)</x:f>
        <x:v>0</x:v>
      </x:c>
      <x:c r="K35" s="11" t="n">
        <x:f>IF(B35=Queue_Intervals!A2,MAX(0,MIN(D35,Queue_Intervals!C2)-MAX(C35+120,Queue_Intervals!B2)),0)+IF(B35=Queue_Intervals!A3,MAX(0,MIN(D35,Queue_Intervals!C3)-MAX(C35+120,Queue_Intervals!B3)),0)+IF(B35=Queue_Intervals!A4,MAX(0,MIN(D35,Queue_Intervals!C4)-MAX(C35+120,Queue_Intervals!B4)),0)+IF(B35=Queue_Intervals!A5,MAX(0,MIN(D35,Queue_Intervals!C5)-MAX(C35+120,Queue_Intervals!B5)),0)</x:f>
        <x:v>0</x:v>
      </x:c>
      <x:c r="L35" s="11" t="n">
        <x:f>MAX(0,F35-150)</x:f>
        <x:v>0</x:v>
      </x:c>
      <x:c r="M35" s="11" t="n">
        <x:f>IF(B35=Queue_Intervals!A2,MAX(0,MIN(D35,Queue_Intervals!C2)-MAX(C35+150,Queue_Intervals!B2)),0)+IF(B35=Queue_Intervals!A3,MAX(0,MIN(D35,Queue_Intervals!C3)-MAX(C35+150,Queue_Intervals!B3)),0)+IF(B35=Queue_Intervals!A4,MAX(0,MIN(D35,Queue_Intervals!C4)-MAX(C35+150,Queue_Intervals!B4)),0)+IF(B35=Queue_Intervals!A5,MAX(0,MIN(D35,Queue_Intervals!C5)-MAX(C35+150,Queue_Intervals!B5)),0)</x:f>
        <x:v>0</x:v>
      </x:c>
    </x:row>
    <x:row r="36" ht="25" customHeight="1">
      <x:c r="A36" s="11" t="str">
        <x:v>143_10</x:v>
      </x:c>
      <x:c r="B36" s="13" t="str">
        <x:v>143</x:v>
      </x:c>
      <x:c r="C36" s="13" t="n">
        <x:v>437</x:v>
      </x:c>
      <x:c r="D36" s="13" t="n">
        <x:v>566</x:v>
      </x:c>
      <x:c r="E36" s="13" t="str">
        <x:v>Walk in</x:v>
      </x:c>
      <x:c r="F36" s="13" t="n">
        <x:v>129</x:v>
      </x:c>
      <x:c r="G36" s="13" t="n">
        <x:v>1</x:v>
      </x:c>
      <x:c r="H36" s="11" t="n">
        <x:f>MAX(0,F36-90)</x:f>
        <x:v>39</x:v>
      </x:c>
      <x:c r="I36" s="11" t="n">
        <x:f>IF(B36=Queue_Intervals!A2,MAX(0,MIN(D36,Queue_Intervals!C2)-MAX(C36+90,Queue_Intervals!B2)),0)+IF(B36=Queue_Intervals!A3,MAX(0,MIN(D36,Queue_Intervals!C3)-MAX(C36+90,Queue_Intervals!B3)),0)+IF(B36=Queue_Intervals!A4,MAX(0,MIN(D36,Queue_Intervals!C4)-MAX(C36+90,Queue_Intervals!B4)),0)+IF(B36=Queue_Intervals!A5,MAX(0,MIN(D36,Queue_Intervals!C5)-MAX(C36+90,Queue_Intervals!B5)),0)</x:f>
        <x:v>31</x:v>
      </x:c>
      <x:c r="J36" s="11" t="n">
        <x:f>MAX(0,F36-120)</x:f>
        <x:v>9</x:v>
      </x:c>
      <x:c r="K36" s="11" t="n">
        <x:f>IF(B36=Queue_Intervals!A2,MAX(0,MIN(D36,Queue_Intervals!C2)-MAX(C36+120,Queue_Intervals!B2)),0)+IF(B36=Queue_Intervals!A3,MAX(0,MIN(D36,Queue_Intervals!C3)-MAX(C36+120,Queue_Intervals!B3)),0)+IF(B36=Queue_Intervals!A4,MAX(0,MIN(D36,Queue_Intervals!C4)-MAX(C36+120,Queue_Intervals!B4)),0)+IF(B36=Queue_Intervals!A5,MAX(0,MIN(D36,Queue_Intervals!C5)-MAX(C36+120,Queue_Intervals!B5)),0)</x:f>
        <x:v>9</x:v>
      </x:c>
      <x:c r="L36" s="11" t="n">
        <x:f>MAX(0,F36-150)</x:f>
        <x:v>0</x:v>
      </x:c>
      <x:c r="M36" s="11" t="n">
        <x:f>IF(B36=Queue_Intervals!A2,MAX(0,MIN(D36,Queue_Intervals!C2)-MAX(C36+150,Queue_Intervals!B2)),0)+IF(B36=Queue_Intervals!A3,MAX(0,MIN(D36,Queue_Intervals!C3)-MAX(C36+150,Queue_Intervals!B3)),0)+IF(B36=Queue_Intervals!A4,MAX(0,MIN(D36,Queue_Intervals!C4)-MAX(C36+150,Queue_Intervals!B4)),0)+IF(B36=Queue_Intervals!A5,MAX(0,MIN(D36,Queue_Intervals!C5)-MAX(C36+150,Queue_Intervals!B5)),0)</x:f>
        <x:v>0</x:v>
      </x:c>
    </x:row>
    <x:row r="37" ht="25" customHeight="1">
      <x:c r="A37" s="11" t="str">
        <x:v>143_11</x:v>
      </x:c>
      <x:c r="B37" s="13" t="str">
        <x:v>143</x:v>
      </x:c>
      <x:c r="C37" s="13" t="n">
        <x:v>428</x:v>
      </x:c>
      <x:c r="D37" s="13" t="n">
        <x:v>470</x:v>
      </x:c>
      <x:c r="E37" s="13" t="str">
        <x:v>Walk in</x:v>
      </x:c>
      <x:c r="F37" s="13" t="n">
        <x:v>42</x:v>
      </x:c>
      <x:c r="G37" s="13" t="n">
        <x:v>1</x:v>
      </x:c>
      <x:c r="H37" s="11" t="n">
        <x:f>MAX(0,F37-90)</x:f>
        <x:v>0</x:v>
      </x:c>
      <x:c r="I37" s="11" t="n">
        <x:f>IF(B37=Queue_Intervals!A2,MAX(0,MIN(D37,Queue_Intervals!C2)-MAX(C37+90,Queue_Intervals!B2)),0)+IF(B37=Queue_Intervals!A3,MAX(0,MIN(D37,Queue_Intervals!C3)-MAX(C37+90,Queue_Intervals!B3)),0)+IF(B37=Queue_Intervals!A4,MAX(0,MIN(D37,Queue_Intervals!C4)-MAX(C37+90,Queue_Intervals!B4)),0)+IF(B37=Queue_Intervals!A5,MAX(0,MIN(D37,Queue_Intervals!C5)-MAX(C37+90,Queue_Intervals!B5)),0)</x:f>
        <x:v>0</x:v>
      </x:c>
      <x:c r="J37" s="11" t="n">
        <x:f>MAX(0,F37-120)</x:f>
        <x:v>0</x:v>
      </x:c>
      <x:c r="K37" s="11" t="n">
        <x:f>IF(B37=Queue_Intervals!A2,MAX(0,MIN(D37,Queue_Intervals!C2)-MAX(C37+120,Queue_Intervals!B2)),0)+IF(B37=Queue_Intervals!A3,MAX(0,MIN(D37,Queue_Intervals!C3)-MAX(C37+120,Queue_Intervals!B3)),0)+IF(B37=Queue_Intervals!A4,MAX(0,MIN(D37,Queue_Intervals!C4)-MAX(C37+120,Queue_Intervals!B4)),0)+IF(B37=Queue_Intervals!A5,MAX(0,MIN(D37,Queue_Intervals!C5)-MAX(C37+120,Queue_Intervals!B5)),0)</x:f>
        <x:v>0</x:v>
      </x:c>
      <x:c r="L37" s="11" t="n">
        <x:f>MAX(0,F37-150)</x:f>
        <x:v>0</x:v>
      </x:c>
      <x:c r="M37" s="11" t="n">
        <x:f>IF(B37=Queue_Intervals!A2,MAX(0,MIN(D37,Queue_Intervals!C2)-MAX(C37+150,Queue_Intervals!B2)),0)+IF(B37=Queue_Intervals!A3,MAX(0,MIN(D37,Queue_Intervals!C3)-MAX(C37+150,Queue_Intervals!B3)),0)+IF(B37=Queue_Intervals!A4,MAX(0,MIN(D37,Queue_Intervals!C4)-MAX(C37+150,Queue_Intervals!B4)),0)+IF(B37=Queue_Intervals!A5,MAX(0,MIN(D37,Queue_Intervals!C5)-MAX(C37+150,Queue_Intervals!B5)),0)</x:f>
        <x:v>0</x:v>
      </x:c>
    </x:row>
    <x:row r="38" ht="25" customHeight="1">
      <x:c r="A38" s="11" t="str">
        <x:v>143_14</x:v>
      </x:c>
      <x:c r="B38" s="13" t="str">
        <x:v>143</x:v>
      </x:c>
      <x:c r="C38" s="13" t="n">
        <x:v>446</x:v>
      </x:c>
      <x:c r="D38" s="13" t="n">
        <x:v>516</x:v>
      </x:c>
      <x:c r="E38" s="13" t="str">
        <x:v>Walk in</x:v>
      </x:c>
      <x:c r="F38" s="13" t="n">
        <x:v>70</x:v>
      </x:c>
      <x:c r="G38" s="13" t="n">
        <x:v>1</x:v>
      </x:c>
      <x:c r="H38" s="11" t="n">
        <x:f>MAX(0,F38-90)</x:f>
        <x:v>0</x:v>
      </x:c>
      <x:c r="I38" s="11" t="n">
        <x:f>IF(B38=Queue_Intervals!A2,MAX(0,MIN(D38,Queue_Intervals!C2)-MAX(C38+90,Queue_Intervals!B2)),0)+IF(B38=Queue_Intervals!A3,MAX(0,MIN(D38,Queue_Intervals!C3)-MAX(C38+90,Queue_Intervals!B3)),0)+IF(B38=Queue_Intervals!A4,MAX(0,MIN(D38,Queue_Intervals!C4)-MAX(C38+90,Queue_Intervals!B4)),0)+IF(B38=Queue_Intervals!A5,MAX(0,MIN(D38,Queue_Intervals!C5)-MAX(C38+90,Queue_Intervals!B5)),0)</x:f>
        <x:v>0</x:v>
      </x:c>
      <x:c r="J38" s="11" t="n">
        <x:f>MAX(0,F38-120)</x:f>
        <x:v>0</x:v>
      </x:c>
      <x:c r="K38" s="11" t="n">
        <x:f>IF(B38=Queue_Intervals!A2,MAX(0,MIN(D38,Queue_Intervals!C2)-MAX(C38+120,Queue_Intervals!B2)),0)+IF(B38=Queue_Intervals!A3,MAX(0,MIN(D38,Queue_Intervals!C3)-MAX(C38+120,Queue_Intervals!B3)),0)+IF(B38=Queue_Intervals!A4,MAX(0,MIN(D38,Queue_Intervals!C4)-MAX(C38+120,Queue_Intervals!B4)),0)+IF(B38=Queue_Intervals!A5,MAX(0,MIN(D38,Queue_Intervals!C5)-MAX(C38+120,Queue_Intervals!B5)),0)</x:f>
        <x:v>0</x:v>
      </x:c>
      <x:c r="L38" s="11" t="n">
        <x:f>MAX(0,F38-150)</x:f>
        <x:v>0</x:v>
      </x:c>
      <x:c r="M38" s="11" t="n">
        <x:f>IF(B38=Queue_Intervals!A2,MAX(0,MIN(D38,Queue_Intervals!C2)-MAX(C38+150,Queue_Intervals!B2)),0)+IF(B38=Queue_Intervals!A3,MAX(0,MIN(D38,Queue_Intervals!C3)-MAX(C38+150,Queue_Intervals!B3)),0)+IF(B38=Queue_Intervals!A4,MAX(0,MIN(D38,Queue_Intervals!C4)-MAX(C38+150,Queue_Intervals!B4)),0)+IF(B38=Queue_Intervals!A5,MAX(0,MIN(D38,Queue_Intervals!C5)-MAX(C38+150,Queue_Intervals!B5)),0)</x:f>
        <x:v>0</x:v>
      </x:c>
    </x:row>
    <x:row r="39" ht="25" customHeight="1">
      <x:c r="A39" s="11" t="str">
        <x:v>143_16</x:v>
      </x:c>
      <x:c r="B39" s="13" t="str">
        <x:v>143</x:v>
      </x:c>
      <x:c r="C39" s="13" t="n">
        <x:v>449</x:v>
      </x:c>
      <x:c r="D39" s="13" t="n">
        <x:v>518</x:v>
      </x:c>
      <x:c r="E39" s="13" t="str">
        <x:v>Walk in</x:v>
      </x:c>
      <x:c r="F39" s="13" t="n">
        <x:v>69</x:v>
      </x:c>
      <x:c r="G39" s="13" t="n">
        <x:v>1</x:v>
      </x:c>
      <x:c r="H39" s="11" t="n">
        <x:f>MAX(0,F39-90)</x:f>
        <x:v>0</x:v>
      </x:c>
      <x:c r="I39" s="11" t="n">
        <x:f>IF(B39=Queue_Intervals!A2,MAX(0,MIN(D39,Queue_Intervals!C2)-MAX(C39+90,Queue_Intervals!B2)),0)+IF(B39=Queue_Intervals!A3,MAX(0,MIN(D39,Queue_Intervals!C3)-MAX(C39+90,Queue_Intervals!B3)),0)+IF(B39=Queue_Intervals!A4,MAX(0,MIN(D39,Queue_Intervals!C4)-MAX(C39+90,Queue_Intervals!B4)),0)+IF(B39=Queue_Intervals!A5,MAX(0,MIN(D39,Queue_Intervals!C5)-MAX(C39+90,Queue_Intervals!B5)),0)</x:f>
        <x:v>0</x:v>
      </x:c>
      <x:c r="J39" s="11" t="n">
        <x:f>MAX(0,F39-120)</x:f>
        <x:v>0</x:v>
      </x:c>
      <x:c r="K39" s="11" t="n">
        <x:f>IF(B39=Queue_Intervals!A2,MAX(0,MIN(D39,Queue_Intervals!C2)-MAX(C39+120,Queue_Intervals!B2)),0)+IF(B39=Queue_Intervals!A3,MAX(0,MIN(D39,Queue_Intervals!C3)-MAX(C39+120,Queue_Intervals!B3)),0)+IF(B39=Queue_Intervals!A4,MAX(0,MIN(D39,Queue_Intervals!C4)-MAX(C39+120,Queue_Intervals!B4)),0)+IF(B39=Queue_Intervals!A5,MAX(0,MIN(D39,Queue_Intervals!C5)-MAX(C39+120,Queue_Intervals!B5)),0)</x:f>
        <x:v>0</x:v>
      </x:c>
      <x:c r="L39" s="11" t="n">
        <x:f>MAX(0,F39-150)</x:f>
        <x:v>0</x:v>
      </x:c>
      <x:c r="M39" s="11" t="n">
        <x:f>IF(B39=Queue_Intervals!A2,MAX(0,MIN(D39,Queue_Intervals!C2)-MAX(C39+150,Queue_Intervals!B2)),0)+IF(B39=Queue_Intervals!A3,MAX(0,MIN(D39,Queue_Intervals!C3)-MAX(C39+150,Queue_Intervals!B3)),0)+IF(B39=Queue_Intervals!A4,MAX(0,MIN(D39,Queue_Intervals!C4)-MAX(C39+150,Queue_Intervals!B4)),0)+IF(B39=Queue_Intervals!A5,MAX(0,MIN(D39,Queue_Intervals!C5)-MAX(C39+150,Queue_Intervals!B5)),0)</x:f>
        <x:v>0</x:v>
      </x:c>
    </x:row>
    <x:row r="40" ht="25" customHeight="1">
      <x:c r="A40" s="11" t="str">
        <x:v>143_19</x:v>
      </x:c>
      <x:c r="B40" s="13" t="str">
        <x:v>143</x:v>
      </x:c>
      <x:c r="C40" s="13" t="n">
        <x:v>460</x:v>
      </x:c>
      <x:c r="D40" s="13" t="n">
        <x:v>571</x:v>
      </x:c>
      <x:c r="E40" s="13" t="str">
        <x:v>Walk in</x:v>
      </x:c>
      <x:c r="F40" s="13" t="n">
        <x:v>111</x:v>
      </x:c>
      <x:c r="G40" s="13" t="n">
        <x:v>1</x:v>
      </x:c>
      <x:c r="H40" s="11" t="n">
        <x:f>MAX(0,F40-90)</x:f>
        <x:v>21</x:v>
      </x:c>
      <x:c r="I40" s="11" t="n">
        <x:f>IF(B40=Queue_Intervals!A2,MAX(0,MIN(D40,Queue_Intervals!C2)-MAX(C40+90,Queue_Intervals!B2)),0)+IF(B40=Queue_Intervals!A3,MAX(0,MIN(D40,Queue_Intervals!C3)-MAX(C40+90,Queue_Intervals!B3)),0)+IF(B40=Queue_Intervals!A4,MAX(0,MIN(D40,Queue_Intervals!C4)-MAX(C40+90,Queue_Intervals!B4)),0)+IF(B40=Queue_Intervals!A5,MAX(0,MIN(D40,Queue_Intervals!C5)-MAX(C40+90,Queue_Intervals!B5)),0)</x:f>
        <x:v>21</x:v>
      </x:c>
      <x:c r="J40" s="11" t="n">
        <x:f>MAX(0,F40-120)</x:f>
        <x:v>0</x:v>
      </x:c>
      <x:c r="K40" s="11" t="n">
        <x:f>IF(B40=Queue_Intervals!A2,MAX(0,MIN(D40,Queue_Intervals!C2)-MAX(C40+120,Queue_Intervals!B2)),0)+IF(B40=Queue_Intervals!A3,MAX(0,MIN(D40,Queue_Intervals!C3)-MAX(C40+120,Queue_Intervals!B3)),0)+IF(B40=Queue_Intervals!A4,MAX(0,MIN(D40,Queue_Intervals!C4)-MAX(C40+120,Queue_Intervals!B4)),0)+IF(B40=Queue_Intervals!A5,MAX(0,MIN(D40,Queue_Intervals!C5)-MAX(C40+120,Queue_Intervals!B5)),0)</x:f>
        <x:v>0</x:v>
      </x:c>
      <x:c r="L40" s="11" t="n">
        <x:f>MAX(0,F40-150)</x:f>
        <x:v>0</x:v>
      </x:c>
      <x:c r="M40" s="11" t="n">
        <x:f>IF(B40=Queue_Intervals!A2,MAX(0,MIN(D40,Queue_Intervals!C2)-MAX(C40+150,Queue_Intervals!B2)),0)+IF(B40=Queue_Intervals!A3,MAX(0,MIN(D40,Queue_Intervals!C3)-MAX(C40+150,Queue_Intervals!B3)),0)+IF(B40=Queue_Intervals!A4,MAX(0,MIN(D40,Queue_Intervals!C4)-MAX(C40+150,Queue_Intervals!B4)),0)+IF(B40=Queue_Intervals!A5,MAX(0,MIN(D40,Queue_Intervals!C5)-MAX(C40+150,Queue_Intervals!B5)),0)</x:f>
        <x:v>0</x:v>
      </x:c>
    </x:row>
    <x:row r="41" ht="25" customHeight="1">
      <x:c r="A41" s="11" t="str">
        <x:v>143_20</x:v>
      </x:c>
      <x:c r="B41" s="13" t="str">
        <x:v>143</x:v>
      </x:c>
      <x:c r="C41" s="13" t="n">
        <x:v>467</x:v>
      </x:c>
      <x:c r="D41" s="13" t="n">
        <x:v>493</x:v>
      </x:c>
      <x:c r="E41" s="13" t="str">
        <x:v>Walk in</x:v>
      </x:c>
      <x:c r="F41" s="13" t="n">
        <x:v>26</x:v>
      </x:c>
      <x:c r="G41" s="13" t="n">
        <x:v>1</x:v>
      </x:c>
      <x:c r="H41" s="11" t="n">
        <x:f>MAX(0,F41-90)</x:f>
        <x:v>0</x:v>
      </x:c>
      <x:c r="I41" s="11" t="n">
        <x:f>IF(B41=Queue_Intervals!A2,MAX(0,MIN(D41,Queue_Intervals!C2)-MAX(C41+90,Queue_Intervals!B2)),0)+IF(B41=Queue_Intervals!A3,MAX(0,MIN(D41,Queue_Intervals!C3)-MAX(C41+90,Queue_Intervals!B3)),0)+IF(B41=Queue_Intervals!A4,MAX(0,MIN(D41,Queue_Intervals!C4)-MAX(C41+90,Queue_Intervals!B4)),0)+IF(B41=Queue_Intervals!A5,MAX(0,MIN(D41,Queue_Intervals!C5)-MAX(C41+90,Queue_Intervals!B5)),0)</x:f>
        <x:v>0</x:v>
      </x:c>
      <x:c r="J41" s="11" t="n">
        <x:f>MAX(0,F41-120)</x:f>
        <x:v>0</x:v>
      </x:c>
      <x:c r="K41" s="11" t="n">
        <x:f>IF(B41=Queue_Intervals!A2,MAX(0,MIN(D41,Queue_Intervals!C2)-MAX(C41+120,Queue_Intervals!B2)),0)+IF(B41=Queue_Intervals!A3,MAX(0,MIN(D41,Queue_Intervals!C3)-MAX(C41+120,Queue_Intervals!B3)),0)+IF(B41=Queue_Intervals!A4,MAX(0,MIN(D41,Queue_Intervals!C4)-MAX(C41+120,Queue_Intervals!B4)),0)+IF(B41=Queue_Intervals!A5,MAX(0,MIN(D41,Queue_Intervals!C5)-MAX(C41+120,Queue_Intervals!B5)),0)</x:f>
        <x:v>0</x:v>
      </x:c>
      <x:c r="L41" s="11" t="n">
        <x:f>MAX(0,F41-150)</x:f>
        <x:v>0</x:v>
      </x:c>
      <x:c r="M41" s="11" t="n">
        <x:f>IF(B41=Queue_Intervals!A2,MAX(0,MIN(D41,Queue_Intervals!C2)-MAX(C41+150,Queue_Intervals!B2)),0)+IF(B41=Queue_Intervals!A3,MAX(0,MIN(D41,Queue_Intervals!C3)-MAX(C41+150,Queue_Intervals!B3)),0)+IF(B41=Queue_Intervals!A4,MAX(0,MIN(D41,Queue_Intervals!C4)-MAX(C41+150,Queue_Intervals!B4)),0)+IF(B41=Queue_Intervals!A5,MAX(0,MIN(D41,Queue_Intervals!C5)-MAX(C41+150,Queue_Intervals!B5)),0)</x:f>
        <x:v>0</x:v>
      </x:c>
    </x:row>
    <x:row r="42" ht="25" customHeight="1">
      <x:c r="A42" s="11" t="str">
        <x:v>143_22</x:v>
      </x:c>
      <x:c r="B42" s="13" t="str">
        <x:v>143</x:v>
      </x:c>
      <x:c r="C42" s="13" t="n">
        <x:v>471</x:v>
      </x:c>
      <x:c r="D42" s="13" t="n">
        <x:v>615</x:v>
      </x:c>
      <x:c r="E42" s="13" t="str">
        <x:v>Walk in</x:v>
      </x:c>
      <x:c r="F42" s="13" t="n">
        <x:v>144</x:v>
      </x:c>
      <x:c r="G42" s="13" t="n">
        <x:v>1</x:v>
      </x:c>
      <x:c r="H42" s="11" t="n">
        <x:f>MAX(0,F42-90)</x:f>
        <x:v>54</x:v>
      </x:c>
      <x:c r="I42" s="11" t="n">
        <x:f>IF(B42=Queue_Intervals!A2,MAX(0,MIN(D42,Queue_Intervals!C2)-MAX(C42+90,Queue_Intervals!B2)),0)+IF(B42=Queue_Intervals!A3,MAX(0,MIN(D42,Queue_Intervals!C3)-MAX(C42+90,Queue_Intervals!B3)),0)+IF(B42=Queue_Intervals!A4,MAX(0,MIN(D42,Queue_Intervals!C4)-MAX(C42+90,Queue_Intervals!B4)),0)+IF(B42=Queue_Intervals!A5,MAX(0,MIN(D42,Queue_Intervals!C5)-MAX(C42+90,Queue_Intervals!B5)),0)</x:f>
        <x:v>33</x:v>
      </x:c>
      <x:c r="J42" s="11" t="n">
        <x:f>MAX(0,F42-120)</x:f>
        <x:v>24</x:v>
      </x:c>
      <x:c r="K42" s="11" t="n">
        <x:f>IF(B42=Queue_Intervals!A2,MAX(0,MIN(D42,Queue_Intervals!C2)-MAX(C42+120,Queue_Intervals!B2)),0)+IF(B42=Queue_Intervals!A3,MAX(0,MIN(D42,Queue_Intervals!C3)-MAX(C42+120,Queue_Intervals!B3)),0)+IF(B42=Queue_Intervals!A4,MAX(0,MIN(D42,Queue_Intervals!C4)-MAX(C42+120,Queue_Intervals!B4)),0)+IF(B42=Queue_Intervals!A5,MAX(0,MIN(D42,Queue_Intervals!C5)-MAX(C42+120,Queue_Intervals!B5)),0)</x:f>
        <x:v>3</x:v>
      </x:c>
      <x:c r="L42" s="11" t="n">
        <x:f>MAX(0,F42-150)</x:f>
        <x:v>0</x:v>
      </x:c>
      <x:c r="M42" s="11" t="n">
        <x:f>IF(B42=Queue_Intervals!A2,MAX(0,MIN(D42,Queue_Intervals!C2)-MAX(C42+150,Queue_Intervals!B2)),0)+IF(B42=Queue_Intervals!A3,MAX(0,MIN(D42,Queue_Intervals!C3)-MAX(C42+150,Queue_Intervals!B3)),0)+IF(B42=Queue_Intervals!A4,MAX(0,MIN(D42,Queue_Intervals!C4)-MAX(C42+150,Queue_Intervals!B4)),0)+IF(B42=Queue_Intervals!A5,MAX(0,MIN(D42,Queue_Intervals!C5)-MAX(C42+150,Queue_Intervals!B5)),0)</x:f>
        <x:v>0</x:v>
      </x:c>
    </x:row>
    <x:row r="43" ht="25" customHeight="1">
      <x:c r="A43" s="11" t="str">
        <x:v>143_26</x:v>
      </x:c>
      <x:c r="B43" s="13" t="str">
        <x:v>143</x:v>
      </x:c>
      <x:c r="C43" s="13" t="n">
        <x:v>485</x:v>
      </x:c>
      <x:c r="D43" s="13" t="n">
        <x:v>561</x:v>
      </x:c>
      <x:c r="E43" s="13" t="str">
        <x:v>Walk in</x:v>
      </x:c>
      <x:c r="F43" s="13" t="n">
        <x:v>76</x:v>
      </x:c>
      <x:c r="G43" s="13" t="n">
        <x:v>1</x:v>
      </x:c>
      <x:c r="H43" s="11" t="n">
        <x:f>MAX(0,F43-90)</x:f>
        <x:v>0</x:v>
      </x:c>
      <x:c r="I43" s="11" t="n">
        <x:f>IF(B43=Queue_Intervals!A2,MAX(0,MIN(D43,Queue_Intervals!C2)-MAX(C43+90,Queue_Intervals!B2)),0)+IF(B43=Queue_Intervals!A3,MAX(0,MIN(D43,Queue_Intervals!C3)-MAX(C43+90,Queue_Intervals!B3)),0)+IF(B43=Queue_Intervals!A4,MAX(0,MIN(D43,Queue_Intervals!C4)-MAX(C43+90,Queue_Intervals!B4)),0)+IF(B43=Queue_Intervals!A5,MAX(0,MIN(D43,Queue_Intervals!C5)-MAX(C43+90,Queue_Intervals!B5)),0)</x:f>
        <x:v>0</x:v>
      </x:c>
      <x:c r="J43" s="11" t="n">
        <x:f>MAX(0,F43-120)</x:f>
        <x:v>0</x:v>
      </x:c>
      <x:c r="K43" s="11" t="n">
        <x:f>IF(B43=Queue_Intervals!A2,MAX(0,MIN(D43,Queue_Intervals!C2)-MAX(C43+120,Queue_Intervals!B2)),0)+IF(B43=Queue_Intervals!A3,MAX(0,MIN(D43,Queue_Intervals!C3)-MAX(C43+120,Queue_Intervals!B3)),0)+IF(B43=Queue_Intervals!A4,MAX(0,MIN(D43,Queue_Intervals!C4)-MAX(C43+120,Queue_Intervals!B4)),0)+IF(B43=Queue_Intervals!A5,MAX(0,MIN(D43,Queue_Intervals!C5)-MAX(C43+120,Queue_Intervals!B5)),0)</x:f>
        <x:v>0</x:v>
      </x:c>
      <x:c r="L43" s="11" t="n">
        <x:f>MAX(0,F43-150)</x:f>
        <x:v>0</x:v>
      </x:c>
      <x:c r="M43" s="11" t="n">
        <x:f>IF(B43=Queue_Intervals!A2,MAX(0,MIN(D43,Queue_Intervals!C2)-MAX(C43+150,Queue_Intervals!B2)),0)+IF(B43=Queue_Intervals!A3,MAX(0,MIN(D43,Queue_Intervals!C3)-MAX(C43+150,Queue_Intervals!B3)),0)+IF(B43=Queue_Intervals!A4,MAX(0,MIN(D43,Queue_Intervals!C4)-MAX(C43+150,Queue_Intervals!B4)),0)+IF(B43=Queue_Intervals!A5,MAX(0,MIN(D43,Queue_Intervals!C5)-MAX(C43+150,Queue_Intervals!B5)),0)</x:f>
        <x:v>0</x:v>
      </x:c>
    </x:row>
    <x:row r="44" ht="25" customHeight="1">
      <x:c r="A44" s="11" t="str">
        <x:v>143_27</x:v>
      </x:c>
      <x:c r="B44" s="13" t="str">
        <x:v>143</x:v>
      </x:c>
      <x:c r="C44" s="13" t="n">
        <x:v>486</x:v>
      </x:c>
      <x:c r="D44" s="13" t="n">
        <x:v>508</x:v>
      </x:c>
      <x:c r="E44" s="13" t="str">
        <x:v>Walk in</x:v>
      </x:c>
      <x:c r="F44" s="13" t="n">
        <x:v>22</x:v>
      </x:c>
      <x:c r="G44" s="13" t="n">
        <x:v>1</x:v>
      </x:c>
      <x:c r="H44" s="11" t="n">
        <x:f>MAX(0,F44-90)</x:f>
        <x:v>0</x:v>
      </x:c>
      <x:c r="I44" s="11" t="n">
        <x:f>IF(B44=Queue_Intervals!A2,MAX(0,MIN(D44,Queue_Intervals!C2)-MAX(C44+90,Queue_Intervals!B2)),0)+IF(B44=Queue_Intervals!A3,MAX(0,MIN(D44,Queue_Intervals!C3)-MAX(C44+90,Queue_Intervals!B3)),0)+IF(B44=Queue_Intervals!A4,MAX(0,MIN(D44,Queue_Intervals!C4)-MAX(C44+90,Queue_Intervals!B4)),0)+IF(B44=Queue_Intervals!A5,MAX(0,MIN(D44,Queue_Intervals!C5)-MAX(C44+90,Queue_Intervals!B5)),0)</x:f>
        <x:v>0</x:v>
      </x:c>
      <x:c r="J44" s="11" t="n">
        <x:f>MAX(0,F44-120)</x:f>
        <x:v>0</x:v>
      </x:c>
      <x:c r="K44" s="11" t="n">
        <x:f>IF(B44=Queue_Intervals!A2,MAX(0,MIN(D44,Queue_Intervals!C2)-MAX(C44+120,Queue_Intervals!B2)),0)+IF(B44=Queue_Intervals!A3,MAX(0,MIN(D44,Queue_Intervals!C3)-MAX(C44+120,Queue_Intervals!B3)),0)+IF(B44=Queue_Intervals!A4,MAX(0,MIN(D44,Queue_Intervals!C4)-MAX(C44+120,Queue_Intervals!B4)),0)+IF(B44=Queue_Intervals!A5,MAX(0,MIN(D44,Queue_Intervals!C5)-MAX(C44+120,Queue_Intervals!B5)),0)</x:f>
        <x:v>0</x:v>
      </x:c>
      <x:c r="L44" s="11" t="n">
        <x:f>MAX(0,F44-150)</x:f>
        <x:v>0</x:v>
      </x:c>
      <x:c r="M44" s="11" t="n">
        <x:f>IF(B44=Queue_Intervals!A2,MAX(0,MIN(D44,Queue_Intervals!C2)-MAX(C44+150,Queue_Intervals!B2)),0)+IF(B44=Queue_Intervals!A3,MAX(0,MIN(D44,Queue_Intervals!C3)-MAX(C44+150,Queue_Intervals!B3)),0)+IF(B44=Queue_Intervals!A4,MAX(0,MIN(D44,Queue_Intervals!C4)-MAX(C44+150,Queue_Intervals!B4)),0)+IF(B44=Queue_Intervals!A5,MAX(0,MIN(D44,Queue_Intervals!C5)-MAX(C44+150,Queue_Intervals!B5)),0)</x:f>
        <x:v>0</x:v>
      </x:c>
    </x:row>
    <x:row r="45" ht="25" customHeight="1">
      <x:c r="A45" s="11" t="str">
        <x:v>143_30</x:v>
      </x:c>
      <x:c r="B45" s="13" t="str">
        <x:v>143</x:v>
      </x:c>
      <x:c r="C45" s="13" t="n">
        <x:v>494</x:v>
      </x:c>
      <x:c r="D45" s="13" t="n">
        <x:v>586</x:v>
      </x:c>
      <x:c r="E45" s="13" t="str">
        <x:v>Walk in</x:v>
      </x:c>
      <x:c r="F45" s="13" t="n">
        <x:v>92</x:v>
      </x:c>
      <x:c r="G45" s="13" t="n">
        <x:v>1</x:v>
      </x:c>
      <x:c r="H45" s="11" t="n">
        <x:f>MAX(0,F45-90)</x:f>
        <x:v>2</x:v>
      </x:c>
      <x:c r="I45" s="11" t="n">
        <x:f>IF(B45=Queue_Intervals!A2,MAX(0,MIN(D45,Queue_Intervals!C2)-MAX(C45+90,Queue_Intervals!B2)),0)+IF(B45=Queue_Intervals!A3,MAX(0,MIN(D45,Queue_Intervals!C3)-MAX(C45+90,Queue_Intervals!B3)),0)+IF(B45=Queue_Intervals!A4,MAX(0,MIN(D45,Queue_Intervals!C4)-MAX(C45+90,Queue_Intervals!B4)),0)+IF(B45=Queue_Intervals!A5,MAX(0,MIN(D45,Queue_Intervals!C5)-MAX(C45+90,Queue_Intervals!B5)),0)</x:f>
        <x:v>2</x:v>
      </x:c>
      <x:c r="J45" s="11" t="n">
        <x:f>MAX(0,F45-120)</x:f>
        <x:v>0</x:v>
      </x:c>
      <x:c r="K45" s="11" t="n">
        <x:f>IF(B45=Queue_Intervals!A2,MAX(0,MIN(D45,Queue_Intervals!C2)-MAX(C45+120,Queue_Intervals!B2)),0)+IF(B45=Queue_Intervals!A3,MAX(0,MIN(D45,Queue_Intervals!C3)-MAX(C45+120,Queue_Intervals!B3)),0)+IF(B45=Queue_Intervals!A4,MAX(0,MIN(D45,Queue_Intervals!C4)-MAX(C45+120,Queue_Intervals!B4)),0)+IF(B45=Queue_Intervals!A5,MAX(0,MIN(D45,Queue_Intervals!C5)-MAX(C45+120,Queue_Intervals!B5)),0)</x:f>
        <x:v>0</x:v>
      </x:c>
      <x:c r="L45" s="11" t="n">
        <x:f>MAX(0,F45-150)</x:f>
        <x:v>0</x:v>
      </x:c>
      <x:c r="M45" s="11" t="n">
        <x:f>IF(B45=Queue_Intervals!A2,MAX(0,MIN(D45,Queue_Intervals!C2)-MAX(C45+150,Queue_Intervals!B2)),0)+IF(B45=Queue_Intervals!A3,MAX(0,MIN(D45,Queue_Intervals!C3)-MAX(C45+150,Queue_Intervals!B3)),0)+IF(B45=Queue_Intervals!A4,MAX(0,MIN(D45,Queue_Intervals!C4)-MAX(C45+150,Queue_Intervals!B4)),0)+IF(B45=Queue_Intervals!A5,MAX(0,MIN(D45,Queue_Intervals!C5)-MAX(C45+150,Queue_Intervals!B5)),0)</x:f>
        <x:v>0</x:v>
      </x:c>
    </x:row>
    <x:row r="46" ht="25" customHeight="1">
      <x:c r="A46" s="11" t="str">
        <x:v>143_31</x:v>
      </x:c>
      <x:c r="B46" s="13" t="str">
        <x:v>143</x:v>
      </x:c>
      <x:c r="C46" s="13" t="n">
        <x:v>500</x:v>
      </x:c>
      <x:c r="D46" s="13" t="n">
        <x:v>581</x:v>
      </x:c>
      <x:c r="E46" s="13" t="str">
        <x:v>Walk in</x:v>
      </x:c>
      <x:c r="F46" s="13" t="n">
        <x:v>81</x:v>
      </x:c>
      <x:c r="G46" s="13" t="n">
        <x:v>1</x:v>
      </x:c>
      <x:c r="H46" s="11" t="n">
        <x:f>MAX(0,F46-90)</x:f>
        <x:v>0</x:v>
      </x:c>
      <x:c r="I46" s="11" t="n">
        <x:f>IF(B46=Queue_Intervals!A2,MAX(0,MIN(D46,Queue_Intervals!C2)-MAX(C46+90,Queue_Intervals!B2)),0)+IF(B46=Queue_Intervals!A3,MAX(0,MIN(D46,Queue_Intervals!C3)-MAX(C46+90,Queue_Intervals!B3)),0)+IF(B46=Queue_Intervals!A4,MAX(0,MIN(D46,Queue_Intervals!C4)-MAX(C46+90,Queue_Intervals!B4)),0)+IF(B46=Queue_Intervals!A5,MAX(0,MIN(D46,Queue_Intervals!C5)-MAX(C46+90,Queue_Intervals!B5)),0)</x:f>
        <x:v>0</x:v>
      </x:c>
      <x:c r="J46" s="11" t="n">
        <x:f>MAX(0,F46-120)</x:f>
        <x:v>0</x:v>
      </x:c>
      <x:c r="K46" s="11" t="n">
        <x:f>IF(B46=Queue_Intervals!A2,MAX(0,MIN(D46,Queue_Intervals!C2)-MAX(C46+120,Queue_Intervals!B2)),0)+IF(B46=Queue_Intervals!A3,MAX(0,MIN(D46,Queue_Intervals!C3)-MAX(C46+120,Queue_Intervals!B3)),0)+IF(B46=Queue_Intervals!A4,MAX(0,MIN(D46,Queue_Intervals!C4)-MAX(C46+120,Queue_Intervals!B4)),0)+IF(B46=Queue_Intervals!A5,MAX(0,MIN(D46,Queue_Intervals!C5)-MAX(C46+120,Queue_Intervals!B5)),0)</x:f>
        <x:v>0</x:v>
      </x:c>
      <x:c r="L46" s="11" t="n">
        <x:f>MAX(0,F46-150)</x:f>
        <x:v>0</x:v>
      </x:c>
      <x:c r="M46" s="11" t="n">
        <x:f>IF(B46=Queue_Intervals!A2,MAX(0,MIN(D46,Queue_Intervals!C2)-MAX(C46+150,Queue_Intervals!B2)),0)+IF(B46=Queue_Intervals!A3,MAX(0,MIN(D46,Queue_Intervals!C3)-MAX(C46+150,Queue_Intervals!B3)),0)+IF(B46=Queue_Intervals!A4,MAX(0,MIN(D46,Queue_Intervals!C4)-MAX(C46+150,Queue_Intervals!B4)),0)+IF(B46=Queue_Intervals!A5,MAX(0,MIN(D46,Queue_Intervals!C5)-MAX(C46+150,Queue_Intervals!B5)),0)</x:f>
        <x:v>0</x:v>
      </x:c>
    </x:row>
    <x:row r="47" ht="25" customHeight="1">
      <x:c r="A47" s="11" t="str">
        <x:v>143_32</x:v>
      </x:c>
      <x:c r="B47" s="13" t="str">
        <x:v>143</x:v>
      </x:c>
      <x:c r="C47" s="13" t="n">
        <x:v>497</x:v>
      </x:c>
      <x:c r="D47" s="13" t="n">
        <x:v>570</x:v>
      </x:c>
      <x:c r="E47" s="13" t="str">
        <x:v>Walk in</x:v>
      </x:c>
      <x:c r="F47" s="13" t="n">
        <x:v>73</x:v>
      </x:c>
      <x:c r="G47" s="13" t="n">
        <x:v>1</x:v>
      </x:c>
      <x:c r="H47" s="11" t="n">
        <x:f>MAX(0,F47-90)</x:f>
        <x:v>0</x:v>
      </x:c>
      <x:c r="I47" s="11" t="n">
        <x:f>IF(B47=Queue_Intervals!A2,MAX(0,MIN(D47,Queue_Intervals!C2)-MAX(C47+90,Queue_Intervals!B2)),0)+IF(B47=Queue_Intervals!A3,MAX(0,MIN(D47,Queue_Intervals!C3)-MAX(C47+90,Queue_Intervals!B3)),0)+IF(B47=Queue_Intervals!A4,MAX(0,MIN(D47,Queue_Intervals!C4)-MAX(C47+90,Queue_Intervals!B4)),0)+IF(B47=Queue_Intervals!A5,MAX(0,MIN(D47,Queue_Intervals!C5)-MAX(C47+90,Queue_Intervals!B5)),0)</x:f>
        <x:v>0</x:v>
      </x:c>
      <x:c r="J47" s="11" t="n">
        <x:f>MAX(0,F47-120)</x:f>
        <x:v>0</x:v>
      </x:c>
      <x:c r="K47" s="11" t="n">
        <x:f>IF(B47=Queue_Intervals!A2,MAX(0,MIN(D47,Queue_Intervals!C2)-MAX(C47+120,Queue_Intervals!B2)),0)+IF(B47=Queue_Intervals!A3,MAX(0,MIN(D47,Queue_Intervals!C3)-MAX(C47+120,Queue_Intervals!B3)),0)+IF(B47=Queue_Intervals!A4,MAX(0,MIN(D47,Queue_Intervals!C4)-MAX(C47+120,Queue_Intervals!B4)),0)+IF(B47=Queue_Intervals!A5,MAX(0,MIN(D47,Queue_Intervals!C5)-MAX(C47+120,Queue_Intervals!B5)),0)</x:f>
        <x:v>0</x:v>
      </x:c>
      <x:c r="L47" s="11" t="n">
        <x:f>MAX(0,F47-150)</x:f>
        <x:v>0</x:v>
      </x:c>
      <x:c r="M47" s="11" t="n">
        <x:f>IF(B47=Queue_Intervals!A2,MAX(0,MIN(D47,Queue_Intervals!C2)-MAX(C47+150,Queue_Intervals!B2)),0)+IF(B47=Queue_Intervals!A3,MAX(0,MIN(D47,Queue_Intervals!C3)-MAX(C47+150,Queue_Intervals!B3)),0)+IF(B47=Queue_Intervals!A4,MAX(0,MIN(D47,Queue_Intervals!C4)-MAX(C47+150,Queue_Intervals!B4)),0)+IF(B47=Queue_Intervals!A5,MAX(0,MIN(D47,Queue_Intervals!C5)-MAX(C47+150,Queue_Intervals!B5)),0)</x:f>
        <x:v>0</x:v>
      </x:c>
    </x:row>
    <x:row r="48" ht="25" customHeight="1">
      <x:c r="A48" s="11" t="str">
        <x:v>143_33</x:v>
      </x:c>
      <x:c r="B48" s="13" t="str">
        <x:v>143</x:v>
      </x:c>
      <x:c r="C48" s="13" t="n">
        <x:v>509</x:v>
      </x:c>
      <x:c r="D48" s="13" t="n">
        <x:v>586</x:v>
      </x:c>
      <x:c r="E48" s="13" t="str">
        <x:v>Walk in</x:v>
      </x:c>
      <x:c r="F48" s="13" t="n">
        <x:v>77</x:v>
      </x:c>
      <x:c r="G48" s="13" t="n">
        <x:v>1</x:v>
      </x:c>
      <x:c r="H48" s="11" t="n">
        <x:f>MAX(0,F48-90)</x:f>
        <x:v>0</x:v>
      </x:c>
      <x:c r="I48" s="11" t="n">
        <x:f>IF(B48=Queue_Intervals!A2,MAX(0,MIN(D48,Queue_Intervals!C2)-MAX(C48+90,Queue_Intervals!B2)),0)+IF(B48=Queue_Intervals!A3,MAX(0,MIN(D48,Queue_Intervals!C3)-MAX(C48+90,Queue_Intervals!B3)),0)+IF(B48=Queue_Intervals!A4,MAX(0,MIN(D48,Queue_Intervals!C4)-MAX(C48+90,Queue_Intervals!B4)),0)+IF(B48=Queue_Intervals!A5,MAX(0,MIN(D48,Queue_Intervals!C5)-MAX(C48+90,Queue_Intervals!B5)),0)</x:f>
        <x:v>0</x:v>
      </x:c>
      <x:c r="J48" s="11" t="n">
        <x:f>MAX(0,F48-120)</x:f>
        <x:v>0</x:v>
      </x:c>
      <x:c r="K48" s="11" t="n">
        <x:f>IF(B48=Queue_Intervals!A2,MAX(0,MIN(D48,Queue_Intervals!C2)-MAX(C48+120,Queue_Intervals!B2)),0)+IF(B48=Queue_Intervals!A3,MAX(0,MIN(D48,Queue_Intervals!C3)-MAX(C48+120,Queue_Intervals!B3)),0)+IF(B48=Queue_Intervals!A4,MAX(0,MIN(D48,Queue_Intervals!C4)-MAX(C48+120,Queue_Intervals!B4)),0)+IF(B48=Queue_Intervals!A5,MAX(0,MIN(D48,Queue_Intervals!C5)-MAX(C48+120,Queue_Intervals!B5)),0)</x:f>
        <x:v>0</x:v>
      </x:c>
      <x:c r="L48" s="11" t="n">
        <x:f>MAX(0,F48-150)</x:f>
        <x:v>0</x:v>
      </x:c>
      <x:c r="M48" s="11" t="n">
        <x:f>IF(B48=Queue_Intervals!A2,MAX(0,MIN(D48,Queue_Intervals!C2)-MAX(C48+150,Queue_Intervals!B2)),0)+IF(B48=Queue_Intervals!A3,MAX(0,MIN(D48,Queue_Intervals!C3)-MAX(C48+150,Queue_Intervals!B3)),0)+IF(B48=Queue_Intervals!A4,MAX(0,MIN(D48,Queue_Intervals!C4)-MAX(C48+150,Queue_Intervals!B4)),0)+IF(B48=Queue_Intervals!A5,MAX(0,MIN(D48,Queue_Intervals!C5)-MAX(C48+150,Queue_Intervals!B5)),0)</x:f>
        <x:v>0</x:v>
      </x:c>
    </x:row>
    <x:row r="49" ht="25" customHeight="1">
      <x:c r="A49" s="11" t="str">
        <x:v>143_34</x:v>
      </x:c>
      <x:c r="B49" s="13" t="str">
        <x:v>143</x:v>
      </x:c>
      <x:c r="C49" s="13" t="n">
        <x:v>500</x:v>
      </x:c>
      <x:c r="D49" s="13" t="n">
        <x:v>600</x:v>
      </x:c>
      <x:c r="E49" s="13" t="str">
        <x:v>Walk in</x:v>
      </x:c>
      <x:c r="F49" s="13" t="n">
        <x:v>100</x:v>
      </x:c>
      <x:c r="G49" s="13" t="n">
        <x:v>1</x:v>
      </x:c>
      <x:c r="H49" s="11" t="n">
        <x:f>MAX(0,F49-90)</x:f>
        <x:v>10</x:v>
      </x:c>
      <x:c r="I49" s="11" t="n">
        <x:f>IF(B49=Queue_Intervals!A2,MAX(0,MIN(D49,Queue_Intervals!C2)-MAX(C49+90,Queue_Intervals!B2)),0)+IF(B49=Queue_Intervals!A3,MAX(0,MIN(D49,Queue_Intervals!C3)-MAX(C49+90,Queue_Intervals!B3)),0)+IF(B49=Queue_Intervals!A4,MAX(0,MIN(D49,Queue_Intervals!C4)-MAX(C49+90,Queue_Intervals!B4)),0)+IF(B49=Queue_Intervals!A5,MAX(0,MIN(D49,Queue_Intervals!C5)-MAX(C49+90,Queue_Intervals!B5)),0)</x:f>
        <x:v>4</x:v>
      </x:c>
      <x:c r="J49" s="11" t="n">
        <x:f>MAX(0,F49-120)</x:f>
        <x:v>0</x:v>
      </x:c>
      <x:c r="K49" s="11" t="n">
        <x:f>IF(B49=Queue_Intervals!A2,MAX(0,MIN(D49,Queue_Intervals!C2)-MAX(C49+120,Queue_Intervals!B2)),0)+IF(B49=Queue_Intervals!A3,MAX(0,MIN(D49,Queue_Intervals!C3)-MAX(C49+120,Queue_Intervals!B3)),0)+IF(B49=Queue_Intervals!A4,MAX(0,MIN(D49,Queue_Intervals!C4)-MAX(C49+120,Queue_Intervals!B4)),0)+IF(B49=Queue_Intervals!A5,MAX(0,MIN(D49,Queue_Intervals!C5)-MAX(C49+120,Queue_Intervals!B5)),0)</x:f>
        <x:v>0</x:v>
      </x:c>
      <x:c r="L49" s="11" t="n">
        <x:f>MAX(0,F49-150)</x:f>
        <x:v>0</x:v>
      </x:c>
      <x:c r="M49" s="11" t="n">
        <x:f>IF(B49=Queue_Intervals!A2,MAX(0,MIN(D49,Queue_Intervals!C2)-MAX(C49+150,Queue_Intervals!B2)),0)+IF(B49=Queue_Intervals!A3,MAX(0,MIN(D49,Queue_Intervals!C3)-MAX(C49+150,Queue_Intervals!B3)),0)+IF(B49=Queue_Intervals!A4,MAX(0,MIN(D49,Queue_Intervals!C4)-MAX(C49+150,Queue_Intervals!B4)),0)+IF(B49=Queue_Intervals!A5,MAX(0,MIN(D49,Queue_Intervals!C5)-MAX(C49+150,Queue_Intervals!B5)),0)</x:f>
        <x:v>0</x:v>
      </x:c>
    </x:row>
    <x:row r="50" ht="25" customHeight="1">
      <x:c r="A50" s="11" t="str">
        <x:v>143_36</x:v>
      </x:c>
      <x:c r="B50" s="13" t="str">
        <x:v>143</x:v>
      </x:c>
      <x:c r="C50" s="13" t="n">
        <x:v>503</x:v>
      </x:c>
      <x:c r="D50" s="13" t="n">
        <x:v>552</x:v>
      </x:c>
      <x:c r="E50" s="13" t="str">
        <x:v>Walk in</x:v>
      </x:c>
      <x:c r="F50" s="13" t="n">
        <x:v>49</x:v>
      </x:c>
      <x:c r="G50" s="13" t="n">
        <x:v>1</x:v>
      </x:c>
      <x:c r="H50" s="11" t="n">
        <x:f>MAX(0,F50-90)</x:f>
        <x:v>0</x:v>
      </x:c>
      <x:c r="I50" s="11" t="n">
        <x:f>IF(B50=Queue_Intervals!A2,MAX(0,MIN(D50,Queue_Intervals!C2)-MAX(C50+90,Queue_Intervals!B2)),0)+IF(B50=Queue_Intervals!A3,MAX(0,MIN(D50,Queue_Intervals!C3)-MAX(C50+90,Queue_Intervals!B3)),0)+IF(B50=Queue_Intervals!A4,MAX(0,MIN(D50,Queue_Intervals!C4)-MAX(C50+90,Queue_Intervals!B4)),0)+IF(B50=Queue_Intervals!A5,MAX(0,MIN(D50,Queue_Intervals!C5)-MAX(C50+90,Queue_Intervals!B5)),0)</x:f>
        <x:v>0</x:v>
      </x:c>
      <x:c r="J50" s="11" t="n">
        <x:f>MAX(0,F50-120)</x:f>
        <x:v>0</x:v>
      </x:c>
      <x:c r="K50" s="11" t="n">
        <x:f>IF(B50=Queue_Intervals!A2,MAX(0,MIN(D50,Queue_Intervals!C2)-MAX(C50+120,Queue_Intervals!B2)),0)+IF(B50=Queue_Intervals!A3,MAX(0,MIN(D50,Queue_Intervals!C3)-MAX(C50+120,Queue_Intervals!B3)),0)+IF(B50=Queue_Intervals!A4,MAX(0,MIN(D50,Queue_Intervals!C4)-MAX(C50+120,Queue_Intervals!B4)),0)+IF(B50=Queue_Intervals!A5,MAX(0,MIN(D50,Queue_Intervals!C5)-MAX(C50+120,Queue_Intervals!B5)),0)</x:f>
        <x:v>0</x:v>
      </x:c>
      <x:c r="L50" s="11" t="n">
        <x:f>MAX(0,F50-150)</x:f>
        <x:v>0</x:v>
      </x:c>
      <x:c r="M50" s="11" t="n">
        <x:f>IF(B50=Queue_Intervals!A2,MAX(0,MIN(D50,Queue_Intervals!C2)-MAX(C50+150,Queue_Intervals!B2)),0)+IF(B50=Queue_Intervals!A3,MAX(0,MIN(D50,Queue_Intervals!C3)-MAX(C50+150,Queue_Intervals!B3)),0)+IF(B50=Queue_Intervals!A4,MAX(0,MIN(D50,Queue_Intervals!C4)-MAX(C50+150,Queue_Intervals!B4)),0)+IF(B50=Queue_Intervals!A5,MAX(0,MIN(D50,Queue_Intervals!C5)-MAX(C50+150,Queue_Intervals!B5)),0)</x:f>
        <x:v>0</x:v>
      </x:c>
    </x:row>
    <x:row r="51" ht="25" customHeight="1">
      <x:c r="A51" s="11" t="str">
        <x:v>143_37</x:v>
      </x:c>
      <x:c r="B51" s="13" t="str">
        <x:v>143</x:v>
      </x:c>
      <x:c r="C51" s="13" t="n">
        <x:v>528</x:v>
      </x:c>
      <x:c r="D51" s="13" t="n">
        <x:v>605</x:v>
      </x:c>
      <x:c r="E51" s="13" t="str">
        <x:v>Walk in</x:v>
      </x:c>
      <x:c r="F51" s="13" t="n">
        <x:v>77</x:v>
      </x:c>
      <x:c r="G51" s="13" t="n">
        <x:v>1</x:v>
      </x:c>
      <x:c r="H51" s="11" t="n">
        <x:f>MAX(0,F51-90)</x:f>
        <x:v>0</x:v>
      </x:c>
      <x:c r="I51" s="11" t="n">
        <x:f>IF(B51=Queue_Intervals!A2,MAX(0,MIN(D51,Queue_Intervals!C2)-MAX(C51+90,Queue_Intervals!B2)),0)+IF(B51=Queue_Intervals!A3,MAX(0,MIN(D51,Queue_Intervals!C3)-MAX(C51+90,Queue_Intervals!B3)),0)+IF(B51=Queue_Intervals!A4,MAX(0,MIN(D51,Queue_Intervals!C4)-MAX(C51+90,Queue_Intervals!B4)),0)+IF(B51=Queue_Intervals!A5,MAX(0,MIN(D51,Queue_Intervals!C5)-MAX(C51+90,Queue_Intervals!B5)),0)</x:f>
        <x:v>0</x:v>
      </x:c>
      <x:c r="J51" s="11" t="n">
        <x:f>MAX(0,F51-120)</x:f>
        <x:v>0</x:v>
      </x:c>
      <x:c r="K51" s="11" t="n">
        <x:f>IF(B51=Queue_Intervals!A2,MAX(0,MIN(D51,Queue_Intervals!C2)-MAX(C51+120,Queue_Intervals!B2)),0)+IF(B51=Queue_Intervals!A3,MAX(0,MIN(D51,Queue_Intervals!C3)-MAX(C51+120,Queue_Intervals!B3)),0)+IF(B51=Queue_Intervals!A4,MAX(0,MIN(D51,Queue_Intervals!C4)-MAX(C51+120,Queue_Intervals!B4)),0)+IF(B51=Queue_Intervals!A5,MAX(0,MIN(D51,Queue_Intervals!C5)-MAX(C51+120,Queue_Intervals!B5)),0)</x:f>
        <x:v>0</x:v>
      </x:c>
      <x:c r="L51" s="11" t="n">
        <x:f>MAX(0,F51-150)</x:f>
        <x:v>0</x:v>
      </x:c>
      <x:c r="M51" s="11" t="n">
        <x:f>IF(B51=Queue_Intervals!A2,MAX(0,MIN(D51,Queue_Intervals!C2)-MAX(C51+150,Queue_Intervals!B2)),0)+IF(B51=Queue_Intervals!A3,MAX(0,MIN(D51,Queue_Intervals!C3)-MAX(C51+150,Queue_Intervals!B3)),0)+IF(B51=Queue_Intervals!A4,MAX(0,MIN(D51,Queue_Intervals!C4)-MAX(C51+150,Queue_Intervals!B4)),0)+IF(B51=Queue_Intervals!A5,MAX(0,MIN(D51,Queue_Intervals!C5)-MAX(C51+150,Queue_Intervals!B5)),0)</x:f>
        <x:v>0</x:v>
      </x:c>
    </x:row>
    <x:row r="52" ht="25" customHeight="1">
      <x:c r="A52" s="11" t="str">
        <x:v>143_38</x:v>
      </x:c>
      <x:c r="B52" s="13" t="str">
        <x:v>143</x:v>
      </x:c>
      <x:c r="C52" s="13" t="n">
        <x:v>509</x:v>
      </x:c>
      <x:c r="D52" s="13" t="n">
        <x:v>621</x:v>
      </x:c>
      <x:c r="E52" s="13" t="str">
        <x:v>Walk in</x:v>
      </x:c>
      <x:c r="F52" s="13" t="n">
        <x:v>112</x:v>
      </x:c>
      <x:c r="G52" s="13" t="n">
        <x:v>1</x:v>
      </x:c>
      <x:c r="H52" s="11" t="n">
        <x:f>MAX(0,F52-90)</x:f>
        <x:v>22</x:v>
      </x:c>
      <x:c r="I52" s="11" t="n">
        <x:f>IF(B52=Queue_Intervals!A2,MAX(0,MIN(D52,Queue_Intervals!C2)-MAX(C52+90,Queue_Intervals!B2)),0)+IF(B52=Queue_Intervals!A3,MAX(0,MIN(D52,Queue_Intervals!C3)-MAX(C52+90,Queue_Intervals!B3)),0)+IF(B52=Queue_Intervals!A4,MAX(0,MIN(D52,Queue_Intervals!C4)-MAX(C52+90,Queue_Intervals!B4)),0)+IF(B52=Queue_Intervals!A5,MAX(0,MIN(D52,Queue_Intervals!C5)-MAX(C52+90,Queue_Intervals!B5)),0)</x:f>
        <x:v>0</x:v>
      </x:c>
      <x:c r="J52" s="11" t="n">
        <x:f>MAX(0,F52-120)</x:f>
        <x:v>0</x:v>
      </x:c>
      <x:c r="K52" s="11" t="n">
        <x:f>IF(B52=Queue_Intervals!A2,MAX(0,MIN(D52,Queue_Intervals!C2)-MAX(C52+120,Queue_Intervals!B2)),0)+IF(B52=Queue_Intervals!A3,MAX(0,MIN(D52,Queue_Intervals!C3)-MAX(C52+120,Queue_Intervals!B3)),0)+IF(B52=Queue_Intervals!A4,MAX(0,MIN(D52,Queue_Intervals!C4)-MAX(C52+120,Queue_Intervals!B4)),0)+IF(B52=Queue_Intervals!A5,MAX(0,MIN(D52,Queue_Intervals!C5)-MAX(C52+120,Queue_Intervals!B5)),0)</x:f>
        <x:v>0</x:v>
      </x:c>
      <x:c r="L52" s="11" t="n">
        <x:f>MAX(0,F52-150)</x:f>
        <x:v>0</x:v>
      </x:c>
      <x:c r="M52" s="11" t="n">
        <x:f>IF(B52=Queue_Intervals!A2,MAX(0,MIN(D52,Queue_Intervals!C2)-MAX(C52+150,Queue_Intervals!B2)),0)+IF(B52=Queue_Intervals!A3,MAX(0,MIN(D52,Queue_Intervals!C3)-MAX(C52+150,Queue_Intervals!B3)),0)+IF(B52=Queue_Intervals!A4,MAX(0,MIN(D52,Queue_Intervals!C4)-MAX(C52+150,Queue_Intervals!B4)),0)+IF(B52=Queue_Intervals!A5,MAX(0,MIN(D52,Queue_Intervals!C5)-MAX(C52+150,Queue_Intervals!B5)),0)</x:f>
        <x:v>0</x:v>
      </x:c>
    </x:row>
    <x:row r="53" ht="25" customHeight="1">
      <x:c r="A53" s="11" t="str">
        <x:v>143_39</x:v>
      </x:c>
      <x:c r="B53" s="13" t="str">
        <x:v>143</x:v>
      </x:c>
      <x:c r="C53" s="13" t="n">
        <x:v>514</x:v>
      </x:c>
      <x:c r="D53" s="13" t="n">
        <x:v>649</x:v>
      </x:c>
      <x:c r="E53" s="13" t="str">
        <x:v>Walk in</x:v>
      </x:c>
      <x:c r="F53" s="13" t="n">
        <x:v>135</x:v>
      </x:c>
      <x:c r="G53" s="13" t="n">
        <x:v>1</x:v>
      </x:c>
      <x:c r="H53" s="11" t="n">
        <x:f>MAX(0,F53-90)</x:f>
        <x:v>45</x:v>
      </x:c>
      <x:c r="I53" s="11" t="n">
        <x:f>IF(B53=Queue_Intervals!A2,MAX(0,MIN(D53,Queue_Intervals!C2)-MAX(C53+90,Queue_Intervals!B2)),0)+IF(B53=Queue_Intervals!A3,MAX(0,MIN(D53,Queue_Intervals!C3)-MAX(C53+90,Queue_Intervals!B3)),0)+IF(B53=Queue_Intervals!A4,MAX(0,MIN(D53,Queue_Intervals!C4)-MAX(C53+90,Queue_Intervals!B4)),0)+IF(B53=Queue_Intervals!A5,MAX(0,MIN(D53,Queue_Intervals!C5)-MAX(C53+90,Queue_Intervals!B5)),0)</x:f>
        <x:v>0</x:v>
      </x:c>
      <x:c r="J53" s="11" t="n">
        <x:f>MAX(0,F53-120)</x:f>
        <x:v>15</x:v>
      </x:c>
      <x:c r="K53" s="11" t="n">
        <x:f>IF(B53=Queue_Intervals!A2,MAX(0,MIN(D53,Queue_Intervals!C2)-MAX(C53+120,Queue_Intervals!B2)),0)+IF(B53=Queue_Intervals!A3,MAX(0,MIN(D53,Queue_Intervals!C3)-MAX(C53+120,Queue_Intervals!B3)),0)+IF(B53=Queue_Intervals!A4,MAX(0,MIN(D53,Queue_Intervals!C4)-MAX(C53+120,Queue_Intervals!B4)),0)+IF(B53=Queue_Intervals!A5,MAX(0,MIN(D53,Queue_Intervals!C5)-MAX(C53+120,Queue_Intervals!B5)),0)</x:f>
        <x:v>0</x:v>
      </x:c>
      <x:c r="L53" s="11" t="n">
        <x:f>MAX(0,F53-150)</x:f>
        <x:v>0</x:v>
      </x:c>
      <x:c r="M53" s="11" t="n">
        <x:f>IF(B53=Queue_Intervals!A2,MAX(0,MIN(D53,Queue_Intervals!C2)-MAX(C53+150,Queue_Intervals!B2)),0)+IF(B53=Queue_Intervals!A3,MAX(0,MIN(D53,Queue_Intervals!C3)-MAX(C53+150,Queue_Intervals!B3)),0)+IF(B53=Queue_Intervals!A4,MAX(0,MIN(D53,Queue_Intervals!C4)-MAX(C53+150,Queue_Intervals!B4)),0)+IF(B53=Queue_Intervals!A5,MAX(0,MIN(D53,Queue_Intervals!C5)-MAX(C53+150,Queue_Intervals!B5)),0)</x:f>
        <x:v>0</x:v>
      </x:c>
    </x:row>
    <x:row r="54" ht="25" customHeight="1">
      <x:c r="A54" s="11" t="str">
        <x:v>143_42</x:v>
      </x:c>
      <x:c r="B54" s="13" t="str">
        <x:v>143</x:v>
      </x:c>
      <x:c r="C54" s="13" t="n">
        <x:v>530</x:v>
      </x:c>
      <x:c r="D54" s="13" t="n">
        <x:v>557</x:v>
      </x:c>
      <x:c r="E54" s="13" t="str">
        <x:v>Walk in</x:v>
      </x:c>
      <x:c r="F54" s="13" t="n">
        <x:v>27</x:v>
      </x:c>
      <x:c r="G54" s="13" t="n">
        <x:v>1</x:v>
      </x:c>
      <x:c r="H54" s="11" t="n">
        <x:f>MAX(0,F54-90)</x:f>
        <x:v>0</x:v>
      </x:c>
      <x:c r="I54" s="11" t="n">
        <x:f>IF(B54=Queue_Intervals!A2,MAX(0,MIN(D54,Queue_Intervals!C2)-MAX(C54+90,Queue_Intervals!B2)),0)+IF(B54=Queue_Intervals!A3,MAX(0,MIN(D54,Queue_Intervals!C3)-MAX(C54+90,Queue_Intervals!B3)),0)+IF(B54=Queue_Intervals!A4,MAX(0,MIN(D54,Queue_Intervals!C4)-MAX(C54+90,Queue_Intervals!B4)),0)+IF(B54=Queue_Intervals!A5,MAX(0,MIN(D54,Queue_Intervals!C5)-MAX(C54+90,Queue_Intervals!B5)),0)</x:f>
        <x:v>0</x:v>
      </x:c>
      <x:c r="J54" s="11" t="n">
        <x:f>MAX(0,F54-120)</x:f>
        <x:v>0</x:v>
      </x:c>
      <x:c r="K54" s="11" t="n">
        <x:f>IF(B54=Queue_Intervals!A2,MAX(0,MIN(D54,Queue_Intervals!C2)-MAX(C54+120,Queue_Intervals!B2)),0)+IF(B54=Queue_Intervals!A3,MAX(0,MIN(D54,Queue_Intervals!C3)-MAX(C54+120,Queue_Intervals!B3)),0)+IF(B54=Queue_Intervals!A4,MAX(0,MIN(D54,Queue_Intervals!C4)-MAX(C54+120,Queue_Intervals!B4)),0)+IF(B54=Queue_Intervals!A5,MAX(0,MIN(D54,Queue_Intervals!C5)-MAX(C54+120,Queue_Intervals!B5)),0)</x:f>
        <x:v>0</x:v>
      </x:c>
      <x:c r="L54" s="11" t="n">
        <x:f>MAX(0,F54-150)</x:f>
        <x:v>0</x:v>
      </x:c>
      <x:c r="M54" s="11" t="n">
        <x:f>IF(B54=Queue_Intervals!A2,MAX(0,MIN(D54,Queue_Intervals!C2)-MAX(C54+150,Queue_Intervals!B2)),0)+IF(B54=Queue_Intervals!A3,MAX(0,MIN(D54,Queue_Intervals!C3)-MAX(C54+150,Queue_Intervals!B3)),0)+IF(B54=Queue_Intervals!A4,MAX(0,MIN(D54,Queue_Intervals!C4)-MAX(C54+150,Queue_Intervals!B4)),0)+IF(B54=Queue_Intervals!A5,MAX(0,MIN(D54,Queue_Intervals!C5)-MAX(C54+150,Queue_Intervals!B5)),0)</x:f>
        <x:v>0</x:v>
      </x:c>
    </x:row>
    <x:row r="55" ht="25" customHeight="1">
      <x:c r="A55" s="11" t="str">
        <x:v>143_43</x:v>
      </x:c>
      <x:c r="B55" s="13" t="str">
        <x:v>143</x:v>
      </x:c>
      <x:c r="C55" s="13" t="n">
        <x:v>531</x:v>
      </x:c>
      <x:c r="D55" s="13" t="n">
        <x:v>581</x:v>
      </x:c>
      <x:c r="E55" s="13" t="str">
        <x:v>Walk in</x:v>
      </x:c>
      <x:c r="F55" s="13" t="n">
        <x:v>50</x:v>
      </x:c>
      <x:c r="G55" s="13" t="n">
        <x:v>1</x:v>
      </x:c>
      <x:c r="H55" s="11" t="n">
        <x:f>MAX(0,F55-90)</x:f>
        <x:v>0</x:v>
      </x:c>
      <x:c r="I55" s="11" t="n">
        <x:f>IF(B55=Queue_Intervals!A2,MAX(0,MIN(D55,Queue_Intervals!C2)-MAX(C55+90,Queue_Intervals!B2)),0)+IF(B55=Queue_Intervals!A3,MAX(0,MIN(D55,Queue_Intervals!C3)-MAX(C55+90,Queue_Intervals!B3)),0)+IF(B55=Queue_Intervals!A4,MAX(0,MIN(D55,Queue_Intervals!C4)-MAX(C55+90,Queue_Intervals!B4)),0)+IF(B55=Queue_Intervals!A5,MAX(0,MIN(D55,Queue_Intervals!C5)-MAX(C55+90,Queue_Intervals!B5)),0)</x:f>
        <x:v>0</x:v>
      </x:c>
      <x:c r="J55" s="11" t="n">
        <x:f>MAX(0,F55-120)</x:f>
        <x:v>0</x:v>
      </x:c>
      <x:c r="K55" s="11" t="n">
        <x:f>IF(B55=Queue_Intervals!A2,MAX(0,MIN(D55,Queue_Intervals!C2)-MAX(C55+120,Queue_Intervals!B2)),0)+IF(B55=Queue_Intervals!A3,MAX(0,MIN(D55,Queue_Intervals!C3)-MAX(C55+120,Queue_Intervals!B3)),0)+IF(B55=Queue_Intervals!A4,MAX(0,MIN(D55,Queue_Intervals!C4)-MAX(C55+120,Queue_Intervals!B4)),0)+IF(B55=Queue_Intervals!A5,MAX(0,MIN(D55,Queue_Intervals!C5)-MAX(C55+120,Queue_Intervals!B5)),0)</x:f>
        <x:v>0</x:v>
      </x:c>
      <x:c r="L55" s="11" t="n">
        <x:f>MAX(0,F55-150)</x:f>
        <x:v>0</x:v>
      </x:c>
      <x:c r="M55" s="11" t="n">
        <x:f>IF(B55=Queue_Intervals!A2,MAX(0,MIN(D55,Queue_Intervals!C2)-MAX(C55+150,Queue_Intervals!B2)),0)+IF(B55=Queue_Intervals!A3,MAX(0,MIN(D55,Queue_Intervals!C3)-MAX(C55+150,Queue_Intervals!B3)),0)+IF(B55=Queue_Intervals!A4,MAX(0,MIN(D55,Queue_Intervals!C4)-MAX(C55+150,Queue_Intervals!B4)),0)+IF(B55=Queue_Intervals!A5,MAX(0,MIN(D55,Queue_Intervals!C5)-MAX(C55+150,Queue_Intervals!B5)),0)</x:f>
        <x:v>0</x:v>
      </x:c>
    </x:row>
    <x:row r="56" ht="25" customHeight="1">
      <x:c r="A56" s="11" t="str">
        <x:v>143_47</x:v>
      </x:c>
      <x:c r="B56" s="13" t="str">
        <x:v>143</x:v>
      </x:c>
      <x:c r="C56" s="13" t="n">
        <x:v>540</x:v>
      </x:c>
      <x:c r="D56" s="13" t="n">
        <x:v>609</x:v>
      </x:c>
      <x:c r="E56" s="13" t="str">
        <x:v>Walk in</x:v>
      </x:c>
      <x:c r="F56" s="13" t="n">
        <x:v>69</x:v>
      </x:c>
      <x:c r="G56" s="13" t="n">
        <x:v>1</x:v>
      </x:c>
      <x:c r="H56" s="11" t="n">
        <x:f>MAX(0,F56-90)</x:f>
        <x:v>0</x:v>
      </x:c>
      <x:c r="I56" s="11" t="n">
        <x:f>IF(B56=Queue_Intervals!A2,MAX(0,MIN(D56,Queue_Intervals!C2)-MAX(C56+90,Queue_Intervals!B2)),0)+IF(B56=Queue_Intervals!A3,MAX(0,MIN(D56,Queue_Intervals!C3)-MAX(C56+90,Queue_Intervals!B3)),0)+IF(B56=Queue_Intervals!A4,MAX(0,MIN(D56,Queue_Intervals!C4)-MAX(C56+90,Queue_Intervals!B4)),0)+IF(B56=Queue_Intervals!A5,MAX(0,MIN(D56,Queue_Intervals!C5)-MAX(C56+90,Queue_Intervals!B5)),0)</x:f>
        <x:v>0</x:v>
      </x:c>
      <x:c r="J56" s="11" t="n">
        <x:f>MAX(0,F56-120)</x:f>
        <x:v>0</x:v>
      </x:c>
      <x:c r="K56" s="11" t="n">
        <x:f>IF(B56=Queue_Intervals!A2,MAX(0,MIN(D56,Queue_Intervals!C2)-MAX(C56+120,Queue_Intervals!B2)),0)+IF(B56=Queue_Intervals!A3,MAX(0,MIN(D56,Queue_Intervals!C3)-MAX(C56+120,Queue_Intervals!B3)),0)+IF(B56=Queue_Intervals!A4,MAX(0,MIN(D56,Queue_Intervals!C4)-MAX(C56+120,Queue_Intervals!B4)),0)+IF(B56=Queue_Intervals!A5,MAX(0,MIN(D56,Queue_Intervals!C5)-MAX(C56+120,Queue_Intervals!B5)),0)</x:f>
        <x:v>0</x:v>
      </x:c>
      <x:c r="L56" s="11" t="n">
        <x:f>MAX(0,F56-150)</x:f>
        <x:v>0</x:v>
      </x:c>
      <x:c r="M56" s="11" t="n">
        <x:f>IF(B56=Queue_Intervals!A2,MAX(0,MIN(D56,Queue_Intervals!C2)-MAX(C56+150,Queue_Intervals!B2)),0)+IF(B56=Queue_Intervals!A3,MAX(0,MIN(D56,Queue_Intervals!C3)-MAX(C56+150,Queue_Intervals!B3)),0)+IF(B56=Queue_Intervals!A4,MAX(0,MIN(D56,Queue_Intervals!C4)-MAX(C56+150,Queue_Intervals!B4)),0)+IF(B56=Queue_Intervals!A5,MAX(0,MIN(D56,Queue_Intervals!C5)-MAX(C56+150,Queue_Intervals!B5)),0)</x:f>
        <x:v>0</x:v>
      </x:c>
    </x:row>
    <x:row r="57" ht="25" customHeight="1">
      <x:c r="A57" s="11" t="str">
        <x:v>143_48</x:v>
      </x:c>
      <x:c r="B57" s="13" t="str">
        <x:v>143</x:v>
      </x:c>
      <x:c r="C57" s="13" t="n">
        <x:v>552</x:v>
      </x:c>
      <x:c r="D57" s="13" t="n">
        <x:v>660</x:v>
      </x:c>
      <x:c r="E57" s="13" t="str">
        <x:v>Walk in</x:v>
      </x:c>
      <x:c r="F57" s="13" t="n">
        <x:v>108</x:v>
      </x:c>
      <x:c r="G57" s="13" t="n">
        <x:v>1</x:v>
      </x:c>
      <x:c r="H57" s="11" t="n">
        <x:f>MAX(0,F57-90)</x:f>
        <x:v>18</x:v>
      </x:c>
      <x:c r="I57" s="11" t="n">
        <x:f>IF(B57=Queue_Intervals!A2,MAX(0,MIN(D57,Queue_Intervals!C2)-MAX(C57+90,Queue_Intervals!B2)),0)+IF(B57=Queue_Intervals!A3,MAX(0,MIN(D57,Queue_Intervals!C3)-MAX(C57+90,Queue_Intervals!B3)),0)+IF(B57=Queue_Intervals!A4,MAX(0,MIN(D57,Queue_Intervals!C4)-MAX(C57+90,Queue_Intervals!B4)),0)+IF(B57=Queue_Intervals!A5,MAX(0,MIN(D57,Queue_Intervals!C5)-MAX(C57+90,Queue_Intervals!B5)),0)</x:f>
        <x:v>0</x:v>
      </x:c>
      <x:c r="J57" s="11" t="n">
        <x:f>MAX(0,F57-120)</x:f>
        <x:v>0</x:v>
      </x:c>
      <x:c r="K57" s="11" t="n">
        <x:f>IF(B57=Queue_Intervals!A2,MAX(0,MIN(D57,Queue_Intervals!C2)-MAX(C57+120,Queue_Intervals!B2)),0)+IF(B57=Queue_Intervals!A3,MAX(0,MIN(D57,Queue_Intervals!C3)-MAX(C57+120,Queue_Intervals!B3)),0)+IF(B57=Queue_Intervals!A4,MAX(0,MIN(D57,Queue_Intervals!C4)-MAX(C57+120,Queue_Intervals!B4)),0)+IF(B57=Queue_Intervals!A5,MAX(0,MIN(D57,Queue_Intervals!C5)-MAX(C57+120,Queue_Intervals!B5)),0)</x:f>
        <x:v>0</x:v>
      </x:c>
      <x:c r="L57" s="11" t="n">
        <x:f>MAX(0,F57-150)</x:f>
        <x:v>0</x:v>
      </x:c>
      <x:c r="M57" s="11" t="n">
        <x:f>IF(B57=Queue_Intervals!A2,MAX(0,MIN(D57,Queue_Intervals!C2)-MAX(C57+150,Queue_Intervals!B2)),0)+IF(B57=Queue_Intervals!A3,MAX(0,MIN(D57,Queue_Intervals!C3)-MAX(C57+150,Queue_Intervals!B3)),0)+IF(B57=Queue_Intervals!A4,MAX(0,MIN(D57,Queue_Intervals!C4)-MAX(C57+150,Queue_Intervals!B4)),0)+IF(B57=Queue_Intervals!A5,MAX(0,MIN(D57,Queue_Intervals!C5)-MAX(C57+150,Queue_Intervals!B5)),0)</x:f>
        <x:v>0</x:v>
      </x:c>
    </x:row>
    <x:row r="58" ht="25" customHeight="1">
      <x:c r="A58" s="11" t="str">
        <x:v>143_49</x:v>
      </x:c>
      <x:c r="B58" s="13" t="str">
        <x:v>143</x:v>
      </x:c>
      <x:c r="C58" s="13" t="n">
        <x:v>563</x:v>
      </x:c>
      <x:c r="D58" s="13" t="n">
        <x:v>608</x:v>
      </x:c>
      <x:c r="E58" s="13" t="str">
        <x:v>Walk in</x:v>
      </x:c>
      <x:c r="F58" s="13" t="n">
        <x:v>45</x:v>
      </x:c>
      <x:c r="G58" s="13" t="n">
        <x:v>1</x:v>
      </x:c>
      <x:c r="H58" s="11" t="n">
        <x:f>MAX(0,F58-90)</x:f>
        <x:v>0</x:v>
      </x:c>
      <x:c r="I58" s="11" t="n">
        <x:f>IF(B58=Queue_Intervals!A2,MAX(0,MIN(D58,Queue_Intervals!C2)-MAX(C58+90,Queue_Intervals!B2)),0)+IF(B58=Queue_Intervals!A3,MAX(0,MIN(D58,Queue_Intervals!C3)-MAX(C58+90,Queue_Intervals!B3)),0)+IF(B58=Queue_Intervals!A4,MAX(0,MIN(D58,Queue_Intervals!C4)-MAX(C58+90,Queue_Intervals!B4)),0)+IF(B58=Queue_Intervals!A5,MAX(0,MIN(D58,Queue_Intervals!C5)-MAX(C58+90,Queue_Intervals!B5)),0)</x:f>
        <x:v>0</x:v>
      </x:c>
      <x:c r="J58" s="11" t="n">
        <x:f>MAX(0,F58-120)</x:f>
        <x:v>0</x:v>
      </x:c>
      <x:c r="K58" s="11" t="n">
        <x:f>IF(B58=Queue_Intervals!A2,MAX(0,MIN(D58,Queue_Intervals!C2)-MAX(C58+120,Queue_Intervals!B2)),0)+IF(B58=Queue_Intervals!A3,MAX(0,MIN(D58,Queue_Intervals!C3)-MAX(C58+120,Queue_Intervals!B3)),0)+IF(B58=Queue_Intervals!A4,MAX(0,MIN(D58,Queue_Intervals!C4)-MAX(C58+120,Queue_Intervals!B4)),0)+IF(B58=Queue_Intervals!A5,MAX(0,MIN(D58,Queue_Intervals!C5)-MAX(C58+120,Queue_Intervals!B5)),0)</x:f>
        <x:v>0</x:v>
      </x:c>
      <x:c r="L58" s="11" t="n">
        <x:f>MAX(0,F58-150)</x:f>
        <x:v>0</x:v>
      </x:c>
      <x:c r="M58" s="11" t="n">
        <x:f>IF(B58=Queue_Intervals!A2,MAX(0,MIN(D58,Queue_Intervals!C2)-MAX(C58+150,Queue_Intervals!B2)),0)+IF(B58=Queue_Intervals!A3,MAX(0,MIN(D58,Queue_Intervals!C3)-MAX(C58+150,Queue_Intervals!B3)),0)+IF(B58=Queue_Intervals!A4,MAX(0,MIN(D58,Queue_Intervals!C4)-MAX(C58+150,Queue_Intervals!B4)),0)+IF(B58=Queue_Intervals!A5,MAX(0,MIN(D58,Queue_Intervals!C5)-MAX(C58+150,Queue_Intervals!B5)),0)</x:f>
        <x:v>0</x:v>
      </x:c>
    </x:row>
    <x:row r="59" ht="25" customHeight="1">
      <x:c r="A59" s="11" t="str">
        <x:v>143_50</x:v>
      </x:c>
      <x:c r="B59" s="13" t="str">
        <x:v>143</x:v>
      </x:c>
      <x:c r="C59" s="13" t="n">
        <x:v>564</x:v>
      </x:c>
      <x:c r="D59" s="13" t="n">
        <x:v>585</x:v>
      </x:c>
      <x:c r="E59" s="13" t="str">
        <x:v>Walk in</x:v>
      </x:c>
      <x:c r="F59" s="13" t="n">
        <x:v>21</x:v>
      </x:c>
      <x:c r="G59" s="13" t="n">
        <x:v>1</x:v>
      </x:c>
      <x:c r="H59" s="11" t="n">
        <x:f>MAX(0,F59-90)</x:f>
        <x:v>0</x:v>
      </x:c>
      <x:c r="I59" s="11" t="n">
        <x:f>IF(B59=Queue_Intervals!A2,MAX(0,MIN(D59,Queue_Intervals!C2)-MAX(C59+90,Queue_Intervals!B2)),0)+IF(B59=Queue_Intervals!A3,MAX(0,MIN(D59,Queue_Intervals!C3)-MAX(C59+90,Queue_Intervals!B3)),0)+IF(B59=Queue_Intervals!A4,MAX(0,MIN(D59,Queue_Intervals!C4)-MAX(C59+90,Queue_Intervals!B4)),0)+IF(B59=Queue_Intervals!A5,MAX(0,MIN(D59,Queue_Intervals!C5)-MAX(C59+90,Queue_Intervals!B5)),0)</x:f>
        <x:v>0</x:v>
      </x:c>
      <x:c r="J59" s="11" t="n">
        <x:f>MAX(0,F59-120)</x:f>
        <x:v>0</x:v>
      </x:c>
      <x:c r="K59" s="11" t="n">
        <x:f>IF(B59=Queue_Intervals!A2,MAX(0,MIN(D59,Queue_Intervals!C2)-MAX(C59+120,Queue_Intervals!B2)),0)+IF(B59=Queue_Intervals!A3,MAX(0,MIN(D59,Queue_Intervals!C3)-MAX(C59+120,Queue_Intervals!B3)),0)+IF(B59=Queue_Intervals!A4,MAX(0,MIN(D59,Queue_Intervals!C4)-MAX(C59+120,Queue_Intervals!B4)),0)+IF(B59=Queue_Intervals!A5,MAX(0,MIN(D59,Queue_Intervals!C5)-MAX(C59+120,Queue_Intervals!B5)),0)</x:f>
        <x:v>0</x:v>
      </x:c>
      <x:c r="L59" s="11" t="n">
        <x:f>MAX(0,F59-150)</x:f>
        <x:v>0</x:v>
      </x:c>
      <x:c r="M59" s="11" t="n">
        <x:f>IF(B59=Queue_Intervals!A2,MAX(0,MIN(D59,Queue_Intervals!C2)-MAX(C59+150,Queue_Intervals!B2)),0)+IF(B59=Queue_Intervals!A3,MAX(0,MIN(D59,Queue_Intervals!C3)-MAX(C59+150,Queue_Intervals!B3)),0)+IF(B59=Queue_Intervals!A4,MAX(0,MIN(D59,Queue_Intervals!C4)-MAX(C59+150,Queue_Intervals!B4)),0)+IF(B59=Queue_Intervals!A5,MAX(0,MIN(D59,Queue_Intervals!C5)-MAX(C59+150,Queue_Intervals!B5)),0)</x:f>
        <x:v>0</x:v>
      </x:c>
    </x:row>
    <x:row r="60" ht="25" customHeight="1">
      <x:c r="A60" s="11" t="str">
        <x:v>143_55</x:v>
      </x:c>
      <x:c r="B60" s="13" t="str">
        <x:v>143</x:v>
      </x:c>
      <x:c r="C60" s="13" t="n">
        <x:v>576</x:v>
      </x:c>
      <x:c r="D60" s="13" t="n">
        <x:v>708</x:v>
      </x:c>
      <x:c r="E60" s="13" t="str">
        <x:v>Walk in</x:v>
      </x:c>
      <x:c r="F60" s="13" t="n">
        <x:v>132</x:v>
      </x:c>
      <x:c r="G60" s="13" t="n">
        <x:v>1</x:v>
      </x:c>
      <x:c r="H60" s="11" t="n">
        <x:f>MAX(0,F60-90)</x:f>
        <x:v>42</x:v>
      </x:c>
      <x:c r="I60" s="11" t="n">
        <x:f>IF(B60=Queue_Intervals!A2,MAX(0,MIN(D60,Queue_Intervals!C2)-MAX(C60+90,Queue_Intervals!B2)),0)+IF(B60=Queue_Intervals!A3,MAX(0,MIN(D60,Queue_Intervals!C3)-MAX(C60+90,Queue_Intervals!B3)),0)+IF(B60=Queue_Intervals!A4,MAX(0,MIN(D60,Queue_Intervals!C4)-MAX(C60+90,Queue_Intervals!B4)),0)+IF(B60=Queue_Intervals!A5,MAX(0,MIN(D60,Queue_Intervals!C5)-MAX(C60+90,Queue_Intervals!B5)),0)</x:f>
        <x:v>0</x:v>
      </x:c>
      <x:c r="J60" s="11" t="n">
        <x:f>MAX(0,F60-120)</x:f>
        <x:v>12</x:v>
      </x:c>
      <x:c r="K60" s="11" t="n">
        <x:f>IF(B60=Queue_Intervals!A2,MAX(0,MIN(D60,Queue_Intervals!C2)-MAX(C60+120,Queue_Intervals!B2)),0)+IF(B60=Queue_Intervals!A3,MAX(0,MIN(D60,Queue_Intervals!C3)-MAX(C60+120,Queue_Intervals!B3)),0)+IF(B60=Queue_Intervals!A4,MAX(0,MIN(D60,Queue_Intervals!C4)-MAX(C60+120,Queue_Intervals!B4)),0)+IF(B60=Queue_Intervals!A5,MAX(0,MIN(D60,Queue_Intervals!C5)-MAX(C60+120,Queue_Intervals!B5)),0)</x:f>
        <x:v>0</x:v>
      </x:c>
      <x:c r="L60" s="11" t="n">
        <x:f>MAX(0,F60-150)</x:f>
        <x:v>0</x:v>
      </x:c>
      <x:c r="M60" s="11" t="n">
        <x:f>IF(B60=Queue_Intervals!A2,MAX(0,MIN(D60,Queue_Intervals!C2)-MAX(C60+150,Queue_Intervals!B2)),0)+IF(B60=Queue_Intervals!A3,MAX(0,MIN(D60,Queue_Intervals!C3)-MAX(C60+150,Queue_Intervals!B3)),0)+IF(B60=Queue_Intervals!A4,MAX(0,MIN(D60,Queue_Intervals!C4)-MAX(C60+150,Queue_Intervals!B4)),0)+IF(B60=Queue_Intervals!A5,MAX(0,MIN(D60,Queue_Intervals!C5)-MAX(C60+150,Queue_Intervals!B5)),0)</x:f>
        <x:v>0</x:v>
      </x:c>
    </x:row>
    <x:row r="61" ht="25" customHeight="1">
      <x:c r="A61" s="11" t="str">
        <x:v>143_57</x:v>
      </x:c>
      <x:c r="B61" s="13" t="str">
        <x:v>143</x:v>
      </x:c>
      <x:c r="C61" s="13" t="n">
        <x:v>579</x:v>
      </x:c>
      <x:c r="D61" s="13" t="n">
        <x:v>627</x:v>
      </x:c>
      <x:c r="E61" s="13" t="str">
        <x:v>Walk in</x:v>
      </x:c>
      <x:c r="F61" s="13" t="n">
        <x:v>48</x:v>
      </x:c>
      <x:c r="G61" s="13" t="n">
        <x:v>1</x:v>
      </x:c>
      <x:c r="H61" s="11" t="n">
        <x:f>MAX(0,F61-90)</x:f>
        <x:v>0</x:v>
      </x:c>
      <x:c r="I61" s="11" t="n">
        <x:f>IF(B61=Queue_Intervals!A2,MAX(0,MIN(D61,Queue_Intervals!C2)-MAX(C61+90,Queue_Intervals!B2)),0)+IF(B61=Queue_Intervals!A3,MAX(0,MIN(D61,Queue_Intervals!C3)-MAX(C61+90,Queue_Intervals!B3)),0)+IF(B61=Queue_Intervals!A4,MAX(0,MIN(D61,Queue_Intervals!C4)-MAX(C61+90,Queue_Intervals!B4)),0)+IF(B61=Queue_Intervals!A5,MAX(0,MIN(D61,Queue_Intervals!C5)-MAX(C61+90,Queue_Intervals!B5)),0)</x:f>
        <x:v>0</x:v>
      </x:c>
      <x:c r="J61" s="11" t="n">
        <x:f>MAX(0,F61-120)</x:f>
        <x:v>0</x:v>
      </x:c>
      <x:c r="K61" s="11" t="n">
        <x:f>IF(B61=Queue_Intervals!A2,MAX(0,MIN(D61,Queue_Intervals!C2)-MAX(C61+120,Queue_Intervals!B2)),0)+IF(B61=Queue_Intervals!A3,MAX(0,MIN(D61,Queue_Intervals!C3)-MAX(C61+120,Queue_Intervals!B3)),0)+IF(B61=Queue_Intervals!A4,MAX(0,MIN(D61,Queue_Intervals!C4)-MAX(C61+120,Queue_Intervals!B4)),0)+IF(B61=Queue_Intervals!A5,MAX(0,MIN(D61,Queue_Intervals!C5)-MAX(C61+120,Queue_Intervals!B5)),0)</x:f>
        <x:v>0</x:v>
      </x:c>
      <x:c r="L61" s="11" t="n">
        <x:f>MAX(0,F61-150)</x:f>
        <x:v>0</x:v>
      </x:c>
      <x:c r="M61" s="11" t="n">
        <x:f>IF(B61=Queue_Intervals!A2,MAX(0,MIN(D61,Queue_Intervals!C2)-MAX(C61+150,Queue_Intervals!B2)),0)+IF(B61=Queue_Intervals!A3,MAX(0,MIN(D61,Queue_Intervals!C3)-MAX(C61+150,Queue_Intervals!B3)),0)+IF(B61=Queue_Intervals!A4,MAX(0,MIN(D61,Queue_Intervals!C4)-MAX(C61+150,Queue_Intervals!B4)),0)+IF(B61=Queue_Intervals!A5,MAX(0,MIN(D61,Queue_Intervals!C5)-MAX(C61+150,Queue_Intervals!B5)),0)</x:f>
        <x:v>0</x:v>
      </x:c>
    </x:row>
    <x:row r="62" ht="25" customHeight="1">
      <x:c r="A62" s="11" t="str">
        <x:v>143_59</x:v>
      </x:c>
      <x:c r="B62" s="13" t="str">
        <x:v>143</x:v>
      </x:c>
      <x:c r="C62" s="13" t="n">
        <x:v>582</x:v>
      </x:c>
      <x:c r="D62" s="13" t="n">
        <x:v>663</x:v>
      </x:c>
      <x:c r="E62" s="13" t="str">
        <x:v>Walk in</x:v>
      </x:c>
      <x:c r="F62" s="13" t="n">
        <x:v>81</x:v>
      </x:c>
      <x:c r="G62" s="13" t="n">
        <x:v>1</x:v>
      </x:c>
      <x:c r="H62" s="11" t="n">
        <x:f>MAX(0,F62-90)</x:f>
        <x:v>0</x:v>
      </x:c>
      <x:c r="I62" s="11" t="n">
        <x:f>IF(B62=Queue_Intervals!A2,MAX(0,MIN(D62,Queue_Intervals!C2)-MAX(C62+90,Queue_Intervals!B2)),0)+IF(B62=Queue_Intervals!A3,MAX(0,MIN(D62,Queue_Intervals!C3)-MAX(C62+90,Queue_Intervals!B3)),0)+IF(B62=Queue_Intervals!A4,MAX(0,MIN(D62,Queue_Intervals!C4)-MAX(C62+90,Queue_Intervals!B4)),0)+IF(B62=Queue_Intervals!A5,MAX(0,MIN(D62,Queue_Intervals!C5)-MAX(C62+90,Queue_Intervals!B5)),0)</x:f>
        <x:v>0</x:v>
      </x:c>
      <x:c r="J62" s="11" t="n">
        <x:f>MAX(0,F62-120)</x:f>
        <x:v>0</x:v>
      </x:c>
      <x:c r="K62" s="11" t="n">
        <x:f>IF(B62=Queue_Intervals!A2,MAX(0,MIN(D62,Queue_Intervals!C2)-MAX(C62+120,Queue_Intervals!B2)),0)+IF(B62=Queue_Intervals!A3,MAX(0,MIN(D62,Queue_Intervals!C3)-MAX(C62+120,Queue_Intervals!B3)),0)+IF(B62=Queue_Intervals!A4,MAX(0,MIN(D62,Queue_Intervals!C4)-MAX(C62+120,Queue_Intervals!B4)),0)+IF(B62=Queue_Intervals!A5,MAX(0,MIN(D62,Queue_Intervals!C5)-MAX(C62+120,Queue_Intervals!B5)),0)</x:f>
        <x:v>0</x:v>
      </x:c>
      <x:c r="L62" s="11" t="n">
        <x:f>MAX(0,F62-150)</x:f>
        <x:v>0</x:v>
      </x:c>
      <x:c r="M62" s="11" t="n">
        <x:f>IF(B62=Queue_Intervals!A2,MAX(0,MIN(D62,Queue_Intervals!C2)-MAX(C62+150,Queue_Intervals!B2)),0)+IF(B62=Queue_Intervals!A3,MAX(0,MIN(D62,Queue_Intervals!C3)-MAX(C62+150,Queue_Intervals!B3)),0)+IF(B62=Queue_Intervals!A4,MAX(0,MIN(D62,Queue_Intervals!C4)-MAX(C62+150,Queue_Intervals!B4)),0)+IF(B62=Queue_Intervals!A5,MAX(0,MIN(D62,Queue_Intervals!C5)-MAX(C62+150,Queue_Intervals!B5)),0)</x:f>
        <x:v>0</x:v>
      </x:c>
    </x:row>
    <x:row r="63" ht="25" customHeight="1">
      <x:c r="A63" s="11" t="str">
        <x:v>143_60</x:v>
      </x:c>
      <x:c r="B63" s="13" t="str">
        <x:v>143</x:v>
      </x:c>
      <x:c r="C63" s="13" t="n">
        <x:v>588</x:v>
      </x:c>
      <x:c r="D63" s="13" t="n">
        <x:v>681</x:v>
      </x:c>
      <x:c r="E63" s="13" t="str">
        <x:v>Walk in</x:v>
      </x:c>
      <x:c r="F63" s="13" t="n">
        <x:v>93</x:v>
      </x:c>
      <x:c r="G63" s="13" t="n">
        <x:v>1</x:v>
      </x:c>
      <x:c r="H63" s="11" t="n">
        <x:f>MAX(0,F63-90)</x:f>
        <x:v>3</x:v>
      </x:c>
      <x:c r="I63" s="11" t="n">
        <x:f>IF(B63=Queue_Intervals!A2,MAX(0,MIN(D63,Queue_Intervals!C2)-MAX(C63+90,Queue_Intervals!B2)),0)+IF(B63=Queue_Intervals!A3,MAX(0,MIN(D63,Queue_Intervals!C3)-MAX(C63+90,Queue_Intervals!B3)),0)+IF(B63=Queue_Intervals!A4,MAX(0,MIN(D63,Queue_Intervals!C4)-MAX(C63+90,Queue_Intervals!B4)),0)+IF(B63=Queue_Intervals!A5,MAX(0,MIN(D63,Queue_Intervals!C5)-MAX(C63+90,Queue_Intervals!B5)),0)</x:f>
        <x:v>0</x:v>
      </x:c>
      <x:c r="J63" s="11" t="n">
        <x:f>MAX(0,F63-120)</x:f>
        <x:v>0</x:v>
      </x:c>
      <x:c r="K63" s="11" t="n">
        <x:f>IF(B63=Queue_Intervals!A2,MAX(0,MIN(D63,Queue_Intervals!C2)-MAX(C63+120,Queue_Intervals!B2)),0)+IF(B63=Queue_Intervals!A3,MAX(0,MIN(D63,Queue_Intervals!C3)-MAX(C63+120,Queue_Intervals!B3)),0)+IF(B63=Queue_Intervals!A4,MAX(0,MIN(D63,Queue_Intervals!C4)-MAX(C63+120,Queue_Intervals!B4)),0)+IF(B63=Queue_Intervals!A5,MAX(0,MIN(D63,Queue_Intervals!C5)-MAX(C63+120,Queue_Intervals!B5)),0)</x:f>
        <x:v>0</x:v>
      </x:c>
      <x:c r="L63" s="11" t="n">
        <x:f>MAX(0,F63-150)</x:f>
        <x:v>0</x:v>
      </x:c>
      <x:c r="M63" s="11" t="n">
        <x:f>IF(B63=Queue_Intervals!A2,MAX(0,MIN(D63,Queue_Intervals!C2)-MAX(C63+150,Queue_Intervals!B2)),0)+IF(B63=Queue_Intervals!A3,MAX(0,MIN(D63,Queue_Intervals!C3)-MAX(C63+150,Queue_Intervals!B3)),0)+IF(B63=Queue_Intervals!A4,MAX(0,MIN(D63,Queue_Intervals!C4)-MAX(C63+150,Queue_Intervals!B4)),0)+IF(B63=Queue_Intervals!A5,MAX(0,MIN(D63,Queue_Intervals!C5)-MAX(C63+150,Queue_Intervals!B5)),0)</x:f>
        <x:v>0</x:v>
      </x:c>
    </x:row>
    <x:row r="64" ht="25" customHeight="1">
      <x:c r="A64" s="11" t="str">
        <x:v>143_61</x:v>
      </x:c>
      <x:c r="B64" s="13" t="str">
        <x:v>143</x:v>
      </x:c>
      <x:c r="C64" s="13" t="n">
        <x:v>594</x:v>
      </x:c>
      <x:c r="D64" s="13" t="n">
        <x:v>656</x:v>
      </x:c>
      <x:c r="E64" s="13" t="str">
        <x:v>Walk in</x:v>
      </x:c>
      <x:c r="F64" s="13" t="n">
        <x:v>62</x:v>
      </x:c>
      <x:c r="G64" s="13" t="n">
        <x:v>1</x:v>
      </x:c>
      <x:c r="H64" s="11" t="n">
        <x:f>MAX(0,F64-90)</x:f>
        <x:v>0</x:v>
      </x:c>
      <x:c r="I64" s="11" t="n">
        <x:f>IF(B64=Queue_Intervals!A2,MAX(0,MIN(D64,Queue_Intervals!C2)-MAX(C64+90,Queue_Intervals!B2)),0)+IF(B64=Queue_Intervals!A3,MAX(0,MIN(D64,Queue_Intervals!C3)-MAX(C64+90,Queue_Intervals!B3)),0)+IF(B64=Queue_Intervals!A4,MAX(0,MIN(D64,Queue_Intervals!C4)-MAX(C64+90,Queue_Intervals!B4)),0)+IF(B64=Queue_Intervals!A5,MAX(0,MIN(D64,Queue_Intervals!C5)-MAX(C64+90,Queue_Intervals!B5)),0)</x:f>
        <x:v>0</x:v>
      </x:c>
      <x:c r="J64" s="11" t="n">
        <x:f>MAX(0,F64-120)</x:f>
        <x:v>0</x:v>
      </x:c>
      <x:c r="K64" s="11" t="n">
        <x:f>IF(B64=Queue_Intervals!A2,MAX(0,MIN(D64,Queue_Intervals!C2)-MAX(C64+120,Queue_Intervals!B2)),0)+IF(B64=Queue_Intervals!A3,MAX(0,MIN(D64,Queue_Intervals!C3)-MAX(C64+120,Queue_Intervals!B3)),0)+IF(B64=Queue_Intervals!A4,MAX(0,MIN(D64,Queue_Intervals!C4)-MAX(C64+120,Queue_Intervals!B4)),0)+IF(B64=Queue_Intervals!A5,MAX(0,MIN(D64,Queue_Intervals!C5)-MAX(C64+120,Queue_Intervals!B5)),0)</x:f>
        <x:v>0</x:v>
      </x:c>
      <x:c r="L64" s="11" t="n">
        <x:f>MAX(0,F64-150)</x:f>
        <x:v>0</x:v>
      </x:c>
      <x:c r="M64" s="11" t="n">
        <x:f>IF(B64=Queue_Intervals!A2,MAX(0,MIN(D64,Queue_Intervals!C2)-MAX(C64+150,Queue_Intervals!B2)),0)+IF(B64=Queue_Intervals!A3,MAX(0,MIN(D64,Queue_Intervals!C3)-MAX(C64+150,Queue_Intervals!B3)),0)+IF(B64=Queue_Intervals!A4,MAX(0,MIN(D64,Queue_Intervals!C4)-MAX(C64+150,Queue_Intervals!B4)),0)+IF(B64=Queue_Intervals!A5,MAX(0,MIN(D64,Queue_Intervals!C5)-MAX(C64+150,Queue_Intervals!B5)),0)</x:f>
        <x:v>0</x:v>
      </x:c>
    </x:row>
    <x:row r="65" ht="25" customHeight="1">
      <x:c r="A65" s="11" t="str">
        <x:v>143_62</x:v>
      </x:c>
      <x:c r="B65" s="13" t="str">
        <x:v>143</x:v>
      </x:c>
      <x:c r="C65" s="13" t="n">
        <x:v>591</x:v>
      </x:c>
      <x:c r="D65" s="13" t="n">
        <x:v>683</x:v>
      </x:c>
      <x:c r="E65" s="13" t="str">
        <x:v>Walk in</x:v>
      </x:c>
      <x:c r="F65" s="13" t="n">
        <x:v>92</x:v>
      </x:c>
      <x:c r="G65" s="13" t="n">
        <x:v>1</x:v>
      </x:c>
      <x:c r="H65" s="11" t="n">
        <x:f>MAX(0,F65-90)</x:f>
        <x:v>2</x:v>
      </x:c>
      <x:c r="I65" s="11" t="n">
        <x:f>IF(B65=Queue_Intervals!A2,MAX(0,MIN(D65,Queue_Intervals!C2)-MAX(C65+90,Queue_Intervals!B2)),0)+IF(B65=Queue_Intervals!A3,MAX(0,MIN(D65,Queue_Intervals!C3)-MAX(C65+90,Queue_Intervals!B3)),0)+IF(B65=Queue_Intervals!A4,MAX(0,MIN(D65,Queue_Intervals!C4)-MAX(C65+90,Queue_Intervals!B4)),0)+IF(B65=Queue_Intervals!A5,MAX(0,MIN(D65,Queue_Intervals!C5)-MAX(C65+90,Queue_Intervals!B5)),0)</x:f>
        <x:v>0</x:v>
      </x:c>
      <x:c r="J65" s="11" t="n">
        <x:f>MAX(0,F65-120)</x:f>
        <x:v>0</x:v>
      </x:c>
      <x:c r="K65" s="11" t="n">
        <x:f>IF(B65=Queue_Intervals!A2,MAX(0,MIN(D65,Queue_Intervals!C2)-MAX(C65+120,Queue_Intervals!B2)),0)+IF(B65=Queue_Intervals!A3,MAX(0,MIN(D65,Queue_Intervals!C3)-MAX(C65+120,Queue_Intervals!B3)),0)+IF(B65=Queue_Intervals!A4,MAX(0,MIN(D65,Queue_Intervals!C4)-MAX(C65+120,Queue_Intervals!B4)),0)+IF(B65=Queue_Intervals!A5,MAX(0,MIN(D65,Queue_Intervals!C5)-MAX(C65+120,Queue_Intervals!B5)),0)</x:f>
        <x:v>0</x:v>
      </x:c>
      <x:c r="L65" s="11" t="n">
        <x:f>MAX(0,F65-150)</x:f>
        <x:v>0</x:v>
      </x:c>
      <x:c r="M65" s="11" t="n">
        <x:f>IF(B65=Queue_Intervals!A2,MAX(0,MIN(D65,Queue_Intervals!C2)-MAX(C65+150,Queue_Intervals!B2)),0)+IF(B65=Queue_Intervals!A3,MAX(0,MIN(D65,Queue_Intervals!C3)-MAX(C65+150,Queue_Intervals!B3)),0)+IF(B65=Queue_Intervals!A4,MAX(0,MIN(D65,Queue_Intervals!C4)-MAX(C65+150,Queue_Intervals!B4)),0)+IF(B65=Queue_Intervals!A5,MAX(0,MIN(D65,Queue_Intervals!C5)-MAX(C65+150,Queue_Intervals!B5)),0)</x:f>
        <x:v>0</x:v>
      </x:c>
    </x:row>
    <x:row r="66" ht="25" customHeight="1">
      <x:c r="A66" s="11" t="str">
        <x:v>143_63</x:v>
      </x:c>
      <x:c r="B66" s="13" t="str">
        <x:v>143</x:v>
      </x:c>
      <x:c r="C66" s="13" t="n">
        <x:v>592</x:v>
      </x:c>
      <x:c r="D66" s="13" t="n">
        <x:v>640</x:v>
      </x:c>
      <x:c r="E66" s="13" t="str">
        <x:v>Walk in</x:v>
      </x:c>
      <x:c r="F66" s="13" t="n">
        <x:v>48</x:v>
      </x:c>
      <x:c r="G66" s="13" t="n">
        <x:v>1</x:v>
      </x:c>
      <x:c r="H66" s="11" t="n">
        <x:f>MAX(0,F66-90)</x:f>
        <x:v>0</x:v>
      </x:c>
      <x:c r="I66" s="11" t="n">
        <x:f>IF(B66=Queue_Intervals!A2,MAX(0,MIN(D66,Queue_Intervals!C2)-MAX(C66+90,Queue_Intervals!B2)),0)+IF(B66=Queue_Intervals!A3,MAX(0,MIN(D66,Queue_Intervals!C3)-MAX(C66+90,Queue_Intervals!B3)),0)+IF(B66=Queue_Intervals!A4,MAX(0,MIN(D66,Queue_Intervals!C4)-MAX(C66+90,Queue_Intervals!B4)),0)+IF(B66=Queue_Intervals!A5,MAX(0,MIN(D66,Queue_Intervals!C5)-MAX(C66+90,Queue_Intervals!B5)),0)</x:f>
        <x:v>0</x:v>
      </x:c>
      <x:c r="J66" s="11" t="n">
        <x:f>MAX(0,F66-120)</x:f>
        <x:v>0</x:v>
      </x:c>
      <x:c r="K66" s="11" t="n">
        <x:f>IF(B66=Queue_Intervals!A2,MAX(0,MIN(D66,Queue_Intervals!C2)-MAX(C66+120,Queue_Intervals!B2)),0)+IF(B66=Queue_Intervals!A3,MAX(0,MIN(D66,Queue_Intervals!C3)-MAX(C66+120,Queue_Intervals!B3)),0)+IF(B66=Queue_Intervals!A4,MAX(0,MIN(D66,Queue_Intervals!C4)-MAX(C66+120,Queue_Intervals!B4)),0)+IF(B66=Queue_Intervals!A5,MAX(0,MIN(D66,Queue_Intervals!C5)-MAX(C66+120,Queue_Intervals!B5)),0)</x:f>
        <x:v>0</x:v>
      </x:c>
      <x:c r="L66" s="11" t="n">
        <x:f>MAX(0,F66-150)</x:f>
        <x:v>0</x:v>
      </x:c>
      <x:c r="M66" s="11" t="n">
        <x:f>IF(B66=Queue_Intervals!A2,MAX(0,MIN(D66,Queue_Intervals!C2)-MAX(C66+150,Queue_Intervals!B2)),0)+IF(B66=Queue_Intervals!A3,MAX(0,MIN(D66,Queue_Intervals!C3)-MAX(C66+150,Queue_Intervals!B3)),0)+IF(B66=Queue_Intervals!A4,MAX(0,MIN(D66,Queue_Intervals!C4)-MAX(C66+150,Queue_Intervals!B4)),0)+IF(B66=Queue_Intervals!A5,MAX(0,MIN(D66,Queue_Intervals!C5)-MAX(C66+150,Queue_Intervals!B5)),0)</x:f>
        <x:v>0</x:v>
      </x:c>
    </x:row>
    <x:row r="67" ht="25" customHeight="1">
      <x:c r="A67" s="11" t="str">
        <x:v>143_64</x:v>
      </x:c>
      <x:c r="B67" s="13" t="str">
        <x:v>143</x:v>
      </x:c>
      <x:c r="C67" s="13" t="n">
        <x:v>597</x:v>
      </x:c>
      <x:c r="D67" s="13" t="n">
        <x:v>688</x:v>
      </x:c>
      <x:c r="E67" s="13" t="str">
        <x:v>Walk in</x:v>
      </x:c>
      <x:c r="F67" s="13" t="n">
        <x:v>91</x:v>
      </x:c>
      <x:c r="G67" s="13" t="n">
        <x:v>1</x:v>
      </x:c>
      <x:c r="H67" s="11" t="n">
        <x:f>MAX(0,F67-90)</x:f>
        <x:v>1</x:v>
      </x:c>
      <x:c r="I67" s="11" t="n">
        <x:f>IF(B67=Queue_Intervals!A2,MAX(0,MIN(D67,Queue_Intervals!C2)-MAX(C67+90,Queue_Intervals!B2)),0)+IF(B67=Queue_Intervals!A3,MAX(0,MIN(D67,Queue_Intervals!C3)-MAX(C67+90,Queue_Intervals!B3)),0)+IF(B67=Queue_Intervals!A4,MAX(0,MIN(D67,Queue_Intervals!C4)-MAX(C67+90,Queue_Intervals!B4)),0)+IF(B67=Queue_Intervals!A5,MAX(0,MIN(D67,Queue_Intervals!C5)-MAX(C67+90,Queue_Intervals!B5)),0)</x:f>
        <x:v>0</x:v>
      </x:c>
      <x:c r="J67" s="11" t="n">
        <x:f>MAX(0,F67-120)</x:f>
        <x:v>0</x:v>
      </x:c>
      <x:c r="K67" s="11" t="n">
        <x:f>IF(B67=Queue_Intervals!A2,MAX(0,MIN(D67,Queue_Intervals!C2)-MAX(C67+120,Queue_Intervals!B2)),0)+IF(B67=Queue_Intervals!A3,MAX(0,MIN(D67,Queue_Intervals!C3)-MAX(C67+120,Queue_Intervals!B3)),0)+IF(B67=Queue_Intervals!A4,MAX(0,MIN(D67,Queue_Intervals!C4)-MAX(C67+120,Queue_Intervals!B4)),0)+IF(B67=Queue_Intervals!A5,MAX(0,MIN(D67,Queue_Intervals!C5)-MAX(C67+120,Queue_Intervals!B5)),0)</x:f>
        <x:v>0</x:v>
      </x:c>
      <x:c r="L67" s="11" t="n">
        <x:f>MAX(0,F67-150)</x:f>
        <x:v>0</x:v>
      </x:c>
      <x:c r="M67" s="11" t="n">
        <x:f>IF(B67=Queue_Intervals!A2,MAX(0,MIN(D67,Queue_Intervals!C2)-MAX(C67+150,Queue_Intervals!B2)),0)+IF(B67=Queue_Intervals!A3,MAX(0,MIN(D67,Queue_Intervals!C3)-MAX(C67+150,Queue_Intervals!B3)),0)+IF(B67=Queue_Intervals!A4,MAX(0,MIN(D67,Queue_Intervals!C4)-MAX(C67+150,Queue_Intervals!B4)),0)+IF(B67=Queue_Intervals!A5,MAX(0,MIN(D67,Queue_Intervals!C5)-MAX(C67+150,Queue_Intervals!B5)),0)</x:f>
        <x:v>0</x:v>
      </x:c>
    </x:row>
    <x:row r="68" ht="25" customHeight="1">
      <x:c r="A68" s="11" t="str">
        <x:v>143_65</x:v>
      </x:c>
      <x:c r="B68" s="13" t="str">
        <x:v>143</x:v>
      </x:c>
      <x:c r="C68" s="13" t="n">
        <x:v>599</x:v>
      </x:c>
      <x:c r="D68" s="13" t="n">
        <x:v>645</x:v>
      </x:c>
      <x:c r="E68" s="13" t="str">
        <x:v>Walk in</x:v>
      </x:c>
      <x:c r="F68" s="13" t="n">
        <x:v>46</x:v>
      </x:c>
      <x:c r="G68" s="13" t="n">
        <x:v>1</x:v>
      </x:c>
      <x:c r="H68" s="11" t="n">
        <x:f>MAX(0,F68-90)</x:f>
        <x:v>0</x:v>
      </x:c>
      <x:c r="I68" s="11" t="n">
        <x:f>IF(B68=Queue_Intervals!A2,MAX(0,MIN(D68,Queue_Intervals!C2)-MAX(C68+90,Queue_Intervals!B2)),0)+IF(B68=Queue_Intervals!A3,MAX(0,MIN(D68,Queue_Intervals!C3)-MAX(C68+90,Queue_Intervals!B3)),0)+IF(B68=Queue_Intervals!A4,MAX(0,MIN(D68,Queue_Intervals!C4)-MAX(C68+90,Queue_Intervals!B4)),0)+IF(B68=Queue_Intervals!A5,MAX(0,MIN(D68,Queue_Intervals!C5)-MAX(C68+90,Queue_Intervals!B5)),0)</x:f>
        <x:v>0</x:v>
      </x:c>
      <x:c r="J68" s="11" t="n">
        <x:f>MAX(0,F68-120)</x:f>
        <x:v>0</x:v>
      </x:c>
      <x:c r="K68" s="11" t="n">
        <x:f>IF(B68=Queue_Intervals!A2,MAX(0,MIN(D68,Queue_Intervals!C2)-MAX(C68+120,Queue_Intervals!B2)),0)+IF(B68=Queue_Intervals!A3,MAX(0,MIN(D68,Queue_Intervals!C3)-MAX(C68+120,Queue_Intervals!B3)),0)+IF(B68=Queue_Intervals!A4,MAX(0,MIN(D68,Queue_Intervals!C4)-MAX(C68+120,Queue_Intervals!B4)),0)+IF(B68=Queue_Intervals!A5,MAX(0,MIN(D68,Queue_Intervals!C5)-MAX(C68+120,Queue_Intervals!B5)),0)</x:f>
        <x:v>0</x:v>
      </x:c>
      <x:c r="L68" s="11" t="n">
        <x:f>MAX(0,F68-150)</x:f>
        <x:v>0</x:v>
      </x:c>
      <x:c r="M68" s="11" t="n">
        <x:f>IF(B68=Queue_Intervals!A2,MAX(0,MIN(D68,Queue_Intervals!C2)-MAX(C68+150,Queue_Intervals!B2)),0)+IF(B68=Queue_Intervals!A3,MAX(0,MIN(D68,Queue_Intervals!C3)-MAX(C68+150,Queue_Intervals!B3)),0)+IF(B68=Queue_Intervals!A4,MAX(0,MIN(D68,Queue_Intervals!C4)-MAX(C68+150,Queue_Intervals!B4)),0)+IF(B68=Queue_Intervals!A5,MAX(0,MIN(D68,Queue_Intervals!C5)-MAX(C68+150,Queue_Intervals!B5)),0)</x:f>
        <x:v>0</x:v>
      </x:c>
    </x:row>
    <x:row r="69" ht="25" customHeight="1">
      <x:c r="A69" s="11" t="str">
        <x:v>143_66</x:v>
      </x:c>
      <x:c r="B69" s="13" t="str">
        <x:v>143</x:v>
      </x:c>
      <x:c r="C69" s="13" t="n">
        <x:v>600</x:v>
      </x:c>
      <x:c r="D69" s="13" t="n">
        <x:v>687</x:v>
      </x:c>
      <x:c r="E69" s="13" t="str">
        <x:v>Walk in</x:v>
      </x:c>
      <x:c r="F69" s="13" t="n">
        <x:v>87</x:v>
      </x:c>
      <x:c r="G69" s="13" t="n">
        <x:v>1</x:v>
      </x:c>
      <x:c r="H69" s="11" t="n">
        <x:f>MAX(0,F69-90)</x:f>
        <x:v>0</x:v>
      </x:c>
      <x:c r="I69" s="11" t="n">
        <x:f>IF(B69=Queue_Intervals!A2,MAX(0,MIN(D69,Queue_Intervals!C2)-MAX(C69+90,Queue_Intervals!B2)),0)+IF(B69=Queue_Intervals!A3,MAX(0,MIN(D69,Queue_Intervals!C3)-MAX(C69+90,Queue_Intervals!B3)),0)+IF(B69=Queue_Intervals!A4,MAX(0,MIN(D69,Queue_Intervals!C4)-MAX(C69+90,Queue_Intervals!B4)),0)+IF(B69=Queue_Intervals!A5,MAX(0,MIN(D69,Queue_Intervals!C5)-MAX(C69+90,Queue_Intervals!B5)),0)</x:f>
        <x:v>0</x:v>
      </x:c>
      <x:c r="J69" s="11" t="n">
        <x:f>MAX(0,F69-120)</x:f>
        <x:v>0</x:v>
      </x:c>
      <x:c r="K69" s="11" t="n">
        <x:f>IF(B69=Queue_Intervals!A2,MAX(0,MIN(D69,Queue_Intervals!C2)-MAX(C69+120,Queue_Intervals!B2)),0)+IF(B69=Queue_Intervals!A3,MAX(0,MIN(D69,Queue_Intervals!C3)-MAX(C69+120,Queue_Intervals!B3)),0)+IF(B69=Queue_Intervals!A4,MAX(0,MIN(D69,Queue_Intervals!C4)-MAX(C69+120,Queue_Intervals!B4)),0)+IF(B69=Queue_Intervals!A5,MAX(0,MIN(D69,Queue_Intervals!C5)-MAX(C69+120,Queue_Intervals!B5)),0)</x:f>
        <x:v>0</x:v>
      </x:c>
      <x:c r="L69" s="11" t="n">
        <x:f>MAX(0,F69-150)</x:f>
        <x:v>0</x:v>
      </x:c>
      <x:c r="M69" s="11" t="n">
        <x:f>IF(B69=Queue_Intervals!A2,MAX(0,MIN(D69,Queue_Intervals!C2)-MAX(C69+150,Queue_Intervals!B2)),0)+IF(B69=Queue_Intervals!A3,MAX(0,MIN(D69,Queue_Intervals!C3)-MAX(C69+150,Queue_Intervals!B3)),0)+IF(B69=Queue_Intervals!A4,MAX(0,MIN(D69,Queue_Intervals!C4)-MAX(C69+150,Queue_Intervals!B4)),0)+IF(B69=Queue_Intervals!A5,MAX(0,MIN(D69,Queue_Intervals!C5)-MAX(C69+150,Queue_Intervals!B5)),0)</x:f>
        <x:v>0</x:v>
      </x:c>
    </x:row>
    <x:row r="70" ht="25" customHeight="1">
      <x:c r="A70" s="11" t="str">
        <x:v>143_67</x:v>
      </x:c>
      <x:c r="B70" s="13" t="str">
        <x:v>143</x:v>
      </x:c>
      <x:c r="C70" s="13" t="n">
        <x:v>604</x:v>
      </x:c>
      <x:c r="D70" s="13" t="n">
        <x:v>685</x:v>
      </x:c>
      <x:c r="E70" s="13" t="str">
        <x:v>Walk in</x:v>
      </x:c>
      <x:c r="F70" s="13" t="n">
        <x:v>81</x:v>
      </x:c>
      <x:c r="G70" s="13" t="n">
        <x:v>1</x:v>
      </x:c>
      <x:c r="H70" s="11" t="n">
        <x:f>MAX(0,F70-90)</x:f>
        <x:v>0</x:v>
      </x:c>
      <x:c r="I70" s="11" t="n">
        <x:f>IF(B70=Queue_Intervals!A2,MAX(0,MIN(D70,Queue_Intervals!C2)-MAX(C70+90,Queue_Intervals!B2)),0)+IF(B70=Queue_Intervals!A3,MAX(0,MIN(D70,Queue_Intervals!C3)-MAX(C70+90,Queue_Intervals!B3)),0)+IF(B70=Queue_Intervals!A4,MAX(0,MIN(D70,Queue_Intervals!C4)-MAX(C70+90,Queue_Intervals!B4)),0)+IF(B70=Queue_Intervals!A5,MAX(0,MIN(D70,Queue_Intervals!C5)-MAX(C70+90,Queue_Intervals!B5)),0)</x:f>
        <x:v>0</x:v>
      </x:c>
      <x:c r="J70" s="11" t="n">
        <x:f>MAX(0,F70-120)</x:f>
        <x:v>0</x:v>
      </x:c>
      <x:c r="K70" s="11" t="n">
        <x:f>IF(B70=Queue_Intervals!A2,MAX(0,MIN(D70,Queue_Intervals!C2)-MAX(C70+120,Queue_Intervals!B2)),0)+IF(B70=Queue_Intervals!A3,MAX(0,MIN(D70,Queue_Intervals!C3)-MAX(C70+120,Queue_Intervals!B3)),0)+IF(B70=Queue_Intervals!A4,MAX(0,MIN(D70,Queue_Intervals!C4)-MAX(C70+120,Queue_Intervals!B4)),0)+IF(B70=Queue_Intervals!A5,MAX(0,MIN(D70,Queue_Intervals!C5)-MAX(C70+120,Queue_Intervals!B5)),0)</x:f>
        <x:v>0</x:v>
      </x:c>
      <x:c r="L70" s="11" t="n">
        <x:f>MAX(0,F70-150)</x:f>
        <x:v>0</x:v>
      </x:c>
      <x:c r="M70" s="11" t="n">
        <x:f>IF(B70=Queue_Intervals!A2,MAX(0,MIN(D70,Queue_Intervals!C2)-MAX(C70+150,Queue_Intervals!B2)),0)+IF(B70=Queue_Intervals!A3,MAX(0,MIN(D70,Queue_Intervals!C3)-MAX(C70+150,Queue_Intervals!B3)),0)+IF(B70=Queue_Intervals!A4,MAX(0,MIN(D70,Queue_Intervals!C4)-MAX(C70+150,Queue_Intervals!B4)),0)+IF(B70=Queue_Intervals!A5,MAX(0,MIN(D70,Queue_Intervals!C5)-MAX(C70+150,Queue_Intervals!B5)),0)</x:f>
        <x:v>0</x:v>
      </x:c>
    </x:row>
    <x:row r="71" ht="25" customHeight="1">
      <x:c r="A71" s="11" t="str">
        <x:v>143_68</x:v>
      </x:c>
      <x:c r="B71" s="13" t="str">
        <x:v>143</x:v>
      </x:c>
      <x:c r="C71" s="13" t="n">
        <x:v>605</x:v>
      </x:c>
      <x:c r="D71" s="13" t="n">
        <x:v>681</x:v>
      </x:c>
      <x:c r="E71" s="13" t="str">
        <x:v>Walk in</x:v>
      </x:c>
      <x:c r="F71" s="13" t="n">
        <x:v>76</x:v>
      </x:c>
      <x:c r="G71" s="13" t="n">
        <x:v>1</x:v>
      </x:c>
      <x:c r="H71" s="11" t="n">
        <x:f>MAX(0,F71-90)</x:f>
        <x:v>0</x:v>
      </x:c>
      <x:c r="I71" s="11" t="n">
        <x:f>IF(B71=Queue_Intervals!A2,MAX(0,MIN(D71,Queue_Intervals!C2)-MAX(C71+90,Queue_Intervals!B2)),0)+IF(B71=Queue_Intervals!A3,MAX(0,MIN(D71,Queue_Intervals!C3)-MAX(C71+90,Queue_Intervals!B3)),0)+IF(B71=Queue_Intervals!A4,MAX(0,MIN(D71,Queue_Intervals!C4)-MAX(C71+90,Queue_Intervals!B4)),0)+IF(B71=Queue_Intervals!A5,MAX(0,MIN(D71,Queue_Intervals!C5)-MAX(C71+90,Queue_Intervals!B5)),0)</x:f>
        <x:v>0</x:v>
      </x:c>
      <x:c r="J71" s="11" t="n">
        <x:f>MAX(0,F71-120)</x:f>
        <x:v>0</x:v>
      </x:c>
      <x:c r="K71" s="11" t="n">
        <x:f>IF(B71=Queue_Intervals!A2,MAX(0,MIN(D71,Queue_Intervals!C2)-MAX(C71+120,Queue_Intervals!B2)),0)+IF(B71=Queue_Intervals!A3,MAX(0,MIN(D71,Queue_Intervals!C3)-MAX(C71+120,Queue_Intervals!B3)),0)+IF(B71=Queue_Intervals!A4,MAX(0,MIN(D71,Queue_Intervals!C4)-MAX(C71+120,Queue_Intervals!B4)),0)+IF(B71=Queue_Intervals!A5,MAX(0,MIN(D71,Queue_Intervals!C5)-MAX(C71+120,Queue_Intervals!B5)),0)</x:f>
        <x:v>0</x:v>
      </x:c>
      <x:c r="L71" s="11" t="n">
        <x:f>MAX(0,F71-150)</x:f>
        <x:v>0</x:v>
      </x:c>
      <x:c r="M71" s="11" t="n">
        <x:f>IF(B71=Queue_Intervals!A2,MAX(0,MIN(D71,Queue_Intervals!C2)-MAX(C71+150,Queue_Intervals!B2)),0)+IF(B71=Queue_Intervals!A3,MAX(0,MIN(D71,Queue_Intervals!C3)-MAX(C71+150,Queue_Intervals!B3)),0)+IF(B71=Queue_Intervals!A4,MAX(0,MIN(D71,Queue_Intervals!C4)-MAX(C71+150,Queue_Intervals!B4)),0)+IF(B71=Queue_Intervals!A5,MAX(0,MIN(D71,Queue_Intervals!C5)-MAX(C71+150,Queue_Intervals!B5)),0)</x:f>
        <x:v>0</x:v>
      </x:c>
    </x:row>
    <x:row r="72" ht="25" customHeight="1">
      <x:c r="A72" s="11" t="str">
        <x:v>143_69</x:v>
      </x:c>
      <x:c r="B72" s="13" t="str">
        <x:v>143</x:v>
      </x:c>
      <x:c r="C72" s="13" t="n">
        <x:v>611</x:v>
      </x:c>
      <x:c r="D72" s="13" t="n">
        <x:v>622</x:v>
      </x:c>
      <x:c r="E72" s="13" t="str">
        <x:v>Walk in</x:v>
      </x:c>
      <x:c r="F72" s="13" t="n">
        <x:v>11</x:v>
      </x:c>
      <x:c r="G72" s="13" t="n">
        <x:v>1</x:v>
      </x:c>
      <x:c r="H72" s="11" t="n">
        <x:f>MAX(0,F72-90)</x:f>
        <x:v>0</x:v>
      </x:c>
      <x:c r="I72" s="11" t="n">
        <x:f>IF(B72=Queue_Intervals!A2,MAX(0,MIN(D72,Queue_Intervals!C2)-MAX(C72+90,Queue_Intervals!B2)),0)+IF(B72=Queue_Intervals!A3,MAX(0,MIN(D72,Queue_Intervals!C3)-MAX(C72+90,Queue_Intervals!B3)),0)+IF(B72=Queue_Intervals!A4,MAX(0,MIN(D72,Queue_Intervals!C4)-MAX(C72+90,Queue_Intervals!B4)),0)+IF(B72=Queue_Intervals!A5,MAX(0,MIN(D72,Queue_Intervals!C5)-MAX(C72+90,Queue_Intervals!B5)),0)</x:f>
        <x:v>0</x:v>
      </x:c>
      <x:c r="J72" s="11" t="n">
        <x:f>MAX(0,F72-120)</x:f>
        <x:v>0</x:v>
      </x:c>
      <x:c r="K72" s="11" t="n">
        <x:f>IF(B72=Queue_Intervals!A2,MAX(0,MIN(D72,Queue_Intervals!C2)-MAX(C72+120,Queue_Intervals!B2)),0)+IF(B72=Queue_Intervals!A3,MAX(0,MIN(D72,Queue_Intervals!C3)-MAX(C72+120,Queue_Intervals!B3)),0)+IF(B72=Queue_Intervals!A4,MAX(0,MIN(D72,Queue_Intervals!C4)-MAX(C72+120,Queue_Intervals!B4)),0)+IF(B72=Queue_Intervals!A5,MAX(0,MIN(D72,Queue_Intervals!C5)-MAX(C72+120,Queue_Intervals!B5)),0)</x:f>
        <x:v>0</x:v>
      </x:c>
      <x:c r="L72" s="11" t="n">
        <x:f>MAX(0,F72-150)</x:f>
        <x:v>0</x:v>
      </x:c>
      <x:c r="M72" s="11" t="n">
        <x:f>IF(B72=Queue_Intervals!A2,MAX(0,MIN(D72,Queue_Intervals!C2)-MAX(C72+150,Queue_Intervals!B2)),0)+IF(B72=Queue_Intervals!A3,MAX(0,MIN(D72,Queue_Intervals!C3)-MAX(C72+150,Queue_Intervals!B3)),0)+IF(B72=Queue_Intervals!A4,MAX(0,MIN(D72,Queue_Intervals!C4)-MAX(C72+150,Queue_Intervals!B4)),0)+IF(B72=Queue_Intervals!A5,MAX(0,MIN(D72,Queue_Intervals!C5)-MAX(C72+150,Queue_Intervals!B5)),0)</x:f>
        <x:v>0</x:v>
      </x:c>
    </x:row>
    <x:row r="73" ht="25" customHeight="1">
      <x:c r="A73" s="11" t="str">
        <x:v>143_72</x:v>
      </x:c>
      <x:c r="B73" s="13" t="str">
        <x:v>143</x:v>
      </x:c>
      <x:c r="C73" s="13" t="n">
        <x:v>614</x:v>
      </x:c>
      <x:c r="D73" s="13" t="n">
        <x:v>697</x:v>
      </x:c>
      <x:c r="E73" s="13" t="str">
        <x:v>Walk in</x:v>
      </x:c>
      <x:c r="F73" s="13" t="n">
        <x:v>83</x:v>
      </x:c>
      <x:c r="G73" s="13" t="n">
        <x:v>1</x:v>
      </x:c>
      <x:c r="H73" s="11" t="n">
        <x:f>MAX(0,F73-90)</x:f>
        <x:v>0</x:v>
      </x:c>
      <x:c r="I73" s="11" t="n">
        <x:f>IF(B73=Queue_Intervals!A2,MAX(0,MIN(D73,Queue_Intervals!C2)-MAX(C73+90,Queue_Intervals!B2)),0)+IF(B73=Queue_Intervals!A3,MAX(0,MIN(D73,Queue_Intervals!C3)-MAX(C73+90,Queue_Intervals!B3)),0)+IF(B73=Queue_Intervals!A4,MAX(0,MIN(D73,Queue_Intervals!C4)-MAX(C73+90,Queue_Intervals!B4)),0)+IF(B73=Queue_Intervals!A5,MAX(0,MIN(D73,Queue_Intervals!C5)-MAX(C73+90,Queue_Intervals!B5)),0)</x:f>
        <x:v>0</x:v>
      </x:c>
      <x:c r="J73" s="11" t="n">
        <x:f>MAX(0,F73-120)</x:f>
        <x:v>0</x:v>
      </x:c>
      <x:c r="K73" s="11" t="n">
        <x:f>IF(B73=Queue_Intervals!A2,MAX(0,MIN(D73,Queue_Intervals!C2)-MAX(C73+120,Queue_Intervals!B2)),0)+IF(B73=Queue_Intervals!A3,MAX(0,MIN(D73,Queue_Intervals!C3)-MAX(C73+120,Queue_Intervals!B3)),0)+IF(B73=Queue_Intervals!A4,MAX(0,MIN(D73,Queue_Intervals!C4)-MAX(C73+120,Queue_Intervals!B4)),0)+IF(B73=Queue_Intervals!A5,MAX(0,MIN(D73,Queue_Intervals!C5)-MAX(C73+120,Queue_Intervals!B5)),0)</x:f>
        <x:v>0</x:v>
      </x:c>
      <x:c r="L73" s="11" t="n">
        <x:f>MAX(0,F73-150)</x:f>
        <x:v>0</x:v>
      </x:c>
      <x:c r="M73" s="11" t="n">
        <x:f>IF(B73=Queue_Intervals!A2,MAX(0,MIN(D73,Queue_Intervals!C2)-MAX(C73+150,Queue_Intervals!B2)),0)+IF(B73=Queue_Intervals!A3,MAX(0,MIN(D73,Queue_Intervals!C3)-MAX(C73+150,Queue_Intervals!B3)),0)+IF(B73=Queue_Intervals!A4,MAX(0,MIN(D73,Queue_Intervals!C4)-MAX(C73+150,Queue_Intervals!B4)),0)+IF(B73=Queue_Intervals!A5,MAX(0,MIN(D73,Queue_Intervals!C5)-MAX(C73+150,Queue_Intervals!B5)),0)</x:f>
        <x:v>0</x:v>
      </x:c>
    </x:row>
    <x:row r="74" ht="25" customHeight="1">
      <x:c r="A74" s="11" t="str">
        <x:v>143_73</x:v>
      </x:c>
      <x:c r="B74" s="13" t="str">
        <x:v>143</x:v>
      </x:c>
      <x:c r="C74" s="13" t="n">
        <x:v>619</x:v>
      </x:c>
      <x:c r="D74" s="13" t="n">
        <x:v>642</x:v>
      </x:c>
      <x:c r="E74" s="13" t="str">
        <x:v>Walk in</x:v>
      </x:c>
      <x:c r="F74" s="13" t="n">
        <x:v>23</x:v>
      </x:c>
      <x:c r="G74" s="13" t="n">
        <x:v>1</x:v>
      </x:c>
      <x:c r="H74" s="11" t="n">
        <x:f>MAX(0,F74-90)</x:f>
        <x:v>0</x:v>
      </x:c>
      <x:c r="I74" s="11" t="n">
        <x:f>IF(B74=Queue_Intervals!A2,MAX(0,MIN(D74,Queue_Intervals!C2)-MAX(C74+90,Queue_Intervals!B2)),0)+IF(B74=Queue_Intervals!A3,MAX(0,MIN(D74,Queue_Intervals!C3)-MAX(C74+90,Queue_Intervals!B3)),0)+IF(B74=Queue_Intervals!A4,MAX(0,MIN(D74,Queue_Intervals!C4)-MAX(C74+90,Queue_Intervals!B4)),0)+IF(B74=Queue_Intervals!A5,MAX(0,MIN(D74,Queue_Intervals!C5)-MAX(C74+90,Queue_Intervals!B5)),0)</x:f>
        <x:v>0</x:v>
      </x:c>
      <x:c r="J74" s="11" t="n">
        <x:f>MAX(0,F74-120)</x:f>
        <x:v>0</x:v>
      </x:c>
      <x:c r="K74" s="11" t="n">
        <x:f>IF(B74=Queue_Intervals!A2,MAX(0,MIN(D74,Queue_Intervals!C2)-MAX(C74+120,Queue_Intervals!B2)),0)+IF(B74=Queue_Intervals!A3,MAX(0,MIN(D74,Queue_Intervals!C3)-MAX(C74+120,Queue_Intervals!B3)),0)+IF(B74=Queue_Intervals!A4,MAX(0,MIN(D74,Queue_Intervals!C4)-MAX(C74+120,Queue_Intervals!B4)),0)+IF(B74=Queue_Intervals!A5,MAX(0,MIN(D74,Queue_Intervals!C5)-MAX(C74+120,Queue_Intervals!B5)),0)</x:f>
        <x:v>0</x:v>
      </x:c>
      <x:c r="L74" s="11" t="n">
        <x:f>MAX(0,F74-150)</x:f>
        <x:v>0</x:v>
      </x:c>
      <x:c r="M74" s="11" t="n">
        <x:f>IF(B74=Queue_Intervals!A2,MAX(0,MIN(D74,Queue_Intervals!C2)-MAX(C74+150,Queue_Intervals!B2)),0)+IF(B74=Queue_Intervals!A3,MAX(0,MIN(D74,Queue_Intervals!C3)-MAX(C74+150,Queue_Intervals!B3)),0)+IF(B74=Queue_Intervals!A4,MAX(0,MIN(D74,Queue_Intervals!C4)-MAX(C74+150,Queue_Intervals!B4)),0)+IF(B74=Queue_Intervals!A5,MAX(0,MIN(D74,Queue_Intervals!C5)-MAX(C74+150,Queue_Intervals!B5)),0)</x:f>
        <x:v>0</x:v>
      </x:c>
    </x:row>
    <x:row r="75" ht="25" customHeight="1">
      <x:c r="A75" s="11" t="str">
        <x:v>143_74</x:v>
      </x:c>
      <x:c r="B75" s="13" t="str">
        <x:v>143</x:v>
      </x:c>
      <x:c r="C75" s="13" t="n">
        <x:v>623</x:v>
      </x:c>
      <x:c r="D75" s="13" t="n">
        <x:v>683</x:v>
      </x:c>
      <x:c r="E75" s="13" t="str">
        <x:v>Walk in</x:v>
      </x:c>
      <x:c r="F75" s="13" t="n">
        <x:v>60</x:v>
      </x:c>
      <x:c r="G75" s="13" t="n">
        <x:v>1</x:v>
      </x:c>
      <x:c r="H75" s="11" t="n">
        <x:f>MAX(0,F75-90)</x:f>
        <x:v>0</x:v>
      </x:c>
      <x:c r="I75" s="11" t="n">
        <x:f>IF(B75=Queue_Intervals!A2,MAX(0,MIN(D75,Queue_Intervals!C2)-MAX(C75+90,Queue_Intervals!B2)),0)+IF(B75=Queue_Intervals!A3,MAX(0,MIN(D75,Queue_Intervals!C3)-MAX(C75+90,Queue_Intervals!B3)),0)+IF(B75=Queue_Intervals!A4,MAX(0,MIN(D75,Queue_Intervals!C4)-MAX(C75+90,Queue_Intervals!B4)),0)+IF(B75=Queue_Intervals!A5,MAX(0,MIN(D75,Queue_Intervals!C5)-MAX(C75+90,Queue_Intervals!B5)),0)</x:f>
        <x:v>0</x:v>
      </x:c>
      <x:c r="J75" s="11" t="n">
        <x:f>MAX(0,F75-120)</x:f>
        <x:v>0</x:v>
      </x:c>
      <x:c r="K75" s="11" t="n">
        <x:f>IF(B75=Queue_Intervals!A2,MAX(0,MIN(D75,Queue_Intervals!C2)-MAX(C75+120,Queue_Intervals!B2)),0)+IF(B75=Queue_Intervals!A3,MAX(0,MIN(D75,Queue_Intervals!C3)-MAX(C75+120,Queue_Intervals!B3)),0)+IF(B75=Queue_Intervals!A4,MAX(0,MIN(D75,Queue_Intervals!C4)-MAX(C75+120,Queue_Intervals!B4)),0)+IF(B75=Queue_Intervals!A5,MAX(0,MIN(D75,Queue_Intervals!C5)-MAX(C75+120,Queue_Intervals!B5)),0)</x:f>
        <x:v>0</x:v>
      </x:c>
      <x:c r="L75" s="11" t="n">
        <x:f>MAX(0,F75-150)</x:f>
        <x:v>0</x:v>
      </x:c>
      <x:c r="M75" s="11" t="n">
        <x:f>IF(B75=Queue_Intervals!A2,MAX(0,MIN(D75,Queue_Intervals!C2)-MAX(C75+150,Queue_Intervals!B2)),0)+IF(B75=Queue_Intervals!A3,MAX(0,MIN(D75,Queue_Intervals!C3)-MAX(C75+150,Queue_Intervals!B3)),0)+IF(B75=Queue_Intervals!A4,MAX(0,MIN(D75,Queue_Intervals!C4)-MAX(C75+150,Queue_Intervals!B4)),0)+IF(B75=Queue_Intervals!A5,MAX(0,MIN(D75,Queue_Intervals!C5)-MAX(C75+150,Queue_Intervals!B5)),0)</x:f>
        <x:v>0</x:v>
      </x:c>
    </x:row>
    <x:row r="76" ht="25" customHeight="1">
      <x:c r="A76" s="11" t="str">
        <x:v>143_76</x:v>
      </x:c>
      <x:c r="B76" s="13" t="str">
        <x:v>143</x:v>
      </x:c>
      <x:c r="C76" s="13" t="n">
        <x:v>626</x:v>
      </x:c>
      <x:c r="D76" s="13" t="n">
        <x:v>679</x:v>
      </x:c>
      <x:c r="E76" s="13" t="str">
        <x:v>Walk in</x:v>
      </x:c>
      <x:c r="F76" s="13" t="n">
        <x:v>53</x:v>
      </x:c>
      <x:c r="G76" s="13" t="n">
        <x:v>1</x:v>
      </x:c>
      <x:c r="H76" s="11" t="n">
        <x:f>MAX(0,F76-90)</x:f>
        <x:v>0</x:v>
      </x:c>
      <x:c r="I76" s="11" t="n">
        <x:f>IF(B76=Queue_Intervals!A2,MAX(0,MIN(D76,Queue_Intervals!C2)-MAX(C76+90,Queue_Intervals!B2)),0)+IF(B76=Queue_Intervals!A3,MAX(0,MIN(D76,Queue_Intervals!C3)-MAX(C76+90,Queue_Intervals!B3)),0)+IF(B76=Queue_Intervals!A4,MAX(0,MIN(D76,Queue_Intervals!C4)-MAX(C76+90,Queue_Intervals!B4)),0)+IF(B76=Queue_Intervals!A5,MAX(0,MIN(D76,Queue_Intervals!C5)-MAX(C76+90,Queue_Intervals!B5)),0)</x:f>
        <x:v>0</x:v>
      </x:c>
      <x:c r="J76" s="11" t="n">
        <x:f>MAX(0,F76-120)</x:f>
        <x:v>0</x:v>
      </x:c>
      <x:c r="K76" s="11" t="n">
        <x:f>IF(B76=Queue_Intervals!A2,MAX(0,MIN(D76,Queue_Intervals!C2)-MAX(C76+120,Queue_Intervals!B2)),0)+IF(B76=Queue_Intervals!A3,MAX(0,MIN(D76,Queue_Intervals!C3)-MAX(C76+120,Queue_Intervals!B3)),0)+IF(B76=Queue_Intervals!A4,MAX(0,MIN(D76,Queue_Intervals!C4)-MAX(C76+120,Queue_Intervals!B4)),0)+IF(B76=Queue_Intervals!A5,MAX(0,MIN(D76,Queue_Intervals!C5)-MAX(C76+120,Queue_Intervals!B5)),0)</x:f>
        <x:v>0</x:v>
      </x:c>
      <x:c r="L76" s="11" t="n">
        <x:f>MAX(0,F76-150)</x:f>
        <x:v>0</x:v>
      </x:c>
      <x:c r="M76" s="11" t="n">
        <x:f>IF(B76=Queue_Intervals!A2,MAX(0,MIN(D76,Queue_Intervals!C2)-MAX(C76+150,Queue_Intervals!B2)),0)+IF(B76=Queue_Intervals!A3,MAX(0,MIN(D76,Queue_Intervals!C3)-MAX(C76+150,Queue_Intervals!B3)),0)+IF(B76=Queue_Intervals!A4,MAX(0,MIN(D76,Queue_Intervals!C4)-MAX(C76+150,Queue_Intervals!B4)),0)+IF(B76=Queue_Intervals!A5,MAX(0,MIN(D76,Queue_Intervals!C5)-MAX(C76+150,Queue_Intervals!B5)),0)</x:f>
        <x:v>0</x:v>
      </x:c>
    </x:row>
    <x:row r="77" ht="25" customHeight="1">
      <x:c r="A77" s="11" t="str">
        <x:v>143_77</x:v>
      </x:c>
      <x:c r="B77" s="13" t="str">
        <x:v>143</x:v>
      </x:c>
      <x:c r="C77" s="13" t="n">
        <x:v>630</x:v>
      </x:c>
      <x:c r="D77" s="13" t="n">
        <x:v>720</x:v>
      </x:c>
      <x:c r="E77" s="13" t="str">
        <x:v>Walk in</x:v>
      </x:c>
      <x:c r="F77" s="13" t="n">
        <x:v>90</x:v>
      </x:c>
      <x:c r="G77" s="13" t="n">
        <x:v>1</x:v>
      </x:c>
      <x:c r="H77" s="11" t="n">
        <x:f>MAX(0,F77-90)</x:f>
        <x:v>0</x:v>
      </x:c>
      <x:c r="I77" s="11" t="n">
        <x:f>IF(B77=Queue_Intervals!A2,MAX(0,MIN(D77,Queue_Intervals!C2)-MAX(C77+90,Queue_Intervals!B2)),0)+IF(B77=Queue_Intervals!A3,MAX(0,MIN(D77,Queue_Intervals!C3)-MAX(C77+90,Queue_Intervals!B3)),0)+IF(B77=Queue_Intervals!A4,MAX(0,MIN(D77,Queue_Intervals!C4)-MAX(C77+90,Queue_Intervals!B4)),0)+IF(B77=Queue_Intervals!A5,MAX(0,MIN(D77,Queue_Intervals!C5)-MAX(C77+90,Queue_Intervals!B5)),0)</x:f>
        <x:v>0</x:v>
      </x:c>
      <x:c r="J77" s="11" t="n">
        <x:f>MAX(0,F77-120)</x:f>
        <x:v>0</x:v>
      </x:c>
      <x:c r="K77" s="11" t="n">
        <x:f>IF(B77=Queue_Intervals!A2,MAX(0,MIN(D77,Queue_Intervals!C2)-MAX(C77+120,Queue_Intervals!B2)),0)+IF(B77=Queue_Intervals!A3,MAX(0,MIN(D77,Queue_Intervals!C3)-MAX(C77+120,Queue_Intervals!B3)),0)+IF(B77=Queue_Intervals!A4,MAX(0,MIN(D77,Queue_Intervals!C4)-MAX(C77+120,Queue_Intervals!B4)),0)+IF(B77=Queue_Intervals!A5,MAX(0,MIN(D77,Queue_Intervals!C5)-MAX(C77+120,Queue_Intervals!B5)),0)</x:f>
        <x:v>0</x:v>
      </x:c>
      <x:c r="L77" s="11" t="n">
        <x:f>MAX(0,F77-150)</x:f>
        <x:v>0</x:v>
      </x:c>
      <x:c r="M77" s="11" t="n">
        <x:f>IF(B77=Queue_Intervals!A2,MAX(0,MIN(D77,Queue_Intervals!C2)-MAX(C77+150,Queue_Intervals!B2)),0)+IF(B77=Queue_Intervals!A3,MAX(0,MIN(D77,Queue_Intervals!C3)-MAX(C77+150,Queue_Intervals!B3)),0)+IF(B77=Queue_Intervals!A4,MAX(0,MIN(D77,Queue_Intervals!C4)-MAX(C77+150,Queue_Intervals!B4)),0)+IF(B77=Queue_Intervals!A5,MAX(0,MIN(D77,Queue_Intervals!C5)-MAX(C77+150,Queue_Intervals!B5)),0)</x:f>
        <x:v>0</x:v>
      </x:c>
    </x:row>
    <x:row r="78" ht="25" customHeight="1">
      <x:c r="A78" s="11" t="str">
        <x:v>143_78</x:v>
      </x:c>
      <x:c r="B78" s="13" t="str">
        <x:v>143</x:v>
      </x:c>
      <x:c r="C78" s="13" t="n">
        <x:v>641</x:v>
      </x:c>
      <x:c r="D78" s="13" t="n">
        <x:v>714</x:v>
      </x:c>
      <x:c r="E78" s="13" t="str">
        <x:v>Walk in</x:v>
      </x:c>
      <x:c r="F78" s="13" t="n">
        <x:v>73</x:v>
      </x:c>
      <x:c r="G78" s="13" t="n">
        <x:v>1</x:v>
      </x:c>
      <x:c r="H78" s="11" t="n">
        <x:f>MAX(0,F78-90)</x:f>
        <x:v>0</x:v>
      </x:c>
      <x:c r="I78" s="11" t="n">
        <x:f>IF(B78=Queue_Intervals!A2,MAX(0,MIN(D78,Queue_Intervals!C2)-MAX(C78+90,Queue_Intervals!B2)),0)+IF(B78=Queue_Intervals!A3,MAX(0,MIN(D78,Queue_Intervals!C3)-MAX(C78+90,Queue_Intervals!B3)),0)+IF(B78=Queue_Intervals!A4,MAX(0,MIN(D78,Queue_Intervals!C4)-MAX(C78+90,Queue_Intervals!B4)),0)+IF(B78=Queue_Intervals!A5,MAX(0,MIN(D78,Queue_Intervals!C5)-MAX(C78+90,Queue_Intervals!B5)),0)</x:f>
        <x:v>0</x:v>
      </x:c>
      <x:c r="J78" s="11" t="n">
        <x:f>MAX(0,F78-120)</x:f>
        <x:v>0</x:v>
      </x:c>
      <x:c r="K78" s="11" t="n">
        <x:f>IF(B78=Queue_Intervals!A2,MAX(0,MIN(D78,Queue_Intervals!C2)-MAX(C78+120,Queue_Intervals!B2)),0)+IF(B78=Queue_Intervals!A3,MAX(0,MIN(D78,Queue_Intervals!C3)-MAX(C78+120,Queue_Intervals!B3)),0)+IF(B78=Queue_Intervals!A4,MAX(0,MIN(D78,Queue_Intervals!C4)-MAX(C78+120,Queue_Intervals!B4)),0)+IF(B78=Queue_Intervals!A5,MAX(0,MIN(D78,Queue_Intervals!C5)-MAX(C78+120,Queue_Intervals!B5)),0)</x:f>
        <x:v>0</x:v>
      </x:c>
      <x:c r="L78" s="11" t="n">
        <x:f>MAX(0,F78-150)</x:f>
        <x:v>0</x:v>
      </x:c>
      <x:c r="M78" s="11" t="n">
        <x:f>IF(B78=Queue_Intervals!A2,MAX(0,MIN(D78,Queue_Intervals!C2)-MAX(C78+150,Queue_Intervals!B2)),0)+IF(B78=Queue_Intervals!A3,MAX(0,MIN(D78,Queue_Intervals!C3)-MAX(C78+150,Queue_Intervals!B3)),0)+IF(B78=Queue_Intervals!A4,MAX(0,MIN(D78,Queue_Intervals!C4)-MAX(C78+150,Queue_Intervals!B4)),0)+IF(B78=Queue_Intervals!A5,MAX(0,MIN(D78,Queue_Intervals!C5)-MAX(C78+150,Queue_Intervals!B5)),0)</x:f>
        <x:v>0</x:v>
      </x:c>
    </x:row>
    <x:row r="79" ht="25" customHeight="1">
      <x:c r="A79" s="11" t="str">
        <x:v>143_79</x:v>
      </x:c>
      <x:c r="B79" s="13" t="str">
        <x:v>143</x:v>
      </x:c>
      <x:c r="C79" s="13" t="n">
        <x:v>660</x:v>
      </x:c>
      <x:c r="D79" s="13" t="n">
        <x:v>689</x:v>
      </x:c>
      <x:c r="E79" s="13" t="str">
        <x:v>Walk in</x:v>
      </x:c>
      <x:c r="F79" s="13" t="n">
        <x:v>29</x:v>
      </x:c>
      <x:c r="G79" s="13" t="n">
        <x:v>1</x:v>
      </x:c>
      <x:c r="H79" s="11" t="n">
        <x:f>MAX(0,F79-90)</x:f>
        <x:v>0</x:v>
      </x:c>
      <x:c r="I79" s="11" t="n">
        <x:f>IF(B79=Queue_Intervals!A2,MAX(0,MIN(D79,Queue_Intervals!C2)-MAX(C79+90,Queue_Intervals!B2)),0)+IF(B79=Queue_Intervals!A3,MAX(0,MIN(D79,Queue_Intervals!C3)-MAX(C79+90,Queue_Intervals!B3)),0)+IF(B79=Queue_Intervals!A4,MAX(0,MIN(D79,Queue_Intervals!C4)-MAX(C79+90,Queue_Intervals!B4)),0)+IF(B79=Queue_Intervals!A5,MAX(0,MIN(D79,Queue_Intervals!C5)-MAX(C79+90,Queue_Intervals!B5)),0)</x:f>
        <x:v>0</x:v>
      </x:c>
      <x:c r="J79" s="11" t="n">
        <x:f>MAX(0,F79-120)</x:f>
        <x:v>0</x:v>
      </x:c>
      <x:c r="K79" s="11" t="n">
        <x:f>IF(B79=Queue_Intervals!A2,MAX(0,MIN(D79,Queue_Intervals!C2)-MAX(C79+120,Queue_Intervals!B2)),0)+IF(B79=Queue_Intervals!A3,MAX(0,MIN(D79,Queue_Intervals!C3)-MAX(C79+120,Queue_Intervals!B3)),0)+IF(B79=Queue_Intervals!A4,MAX(0,MIN(D79,Queue_Intervals!C4)-MAX(C79+120,Queue_Intervals!B4)),0)+IF(B79=Queue_Intervals!A5,MAX(0,MIN(D79,Queue_Intervals!C5)-MAX(C79+120,Queue_Intervals!B5)),0)</x:f>
        <x:v>0</x:v>
      </x:c>
      <x:c r="L79" s="11" t="n">
        <x:f>MAX(0,F79-150)</x:f>
        <x:v>0</x:v>
      </x:c>
      <x:c r="M79" s="11" t="n">
        <x:f>IF(B79=Queue_Intervals!A2,MAX(0,MIN(D79,Queue_Intervals!C2)-MAX(C79+150,Queue_Intervals!B2)),0)+IF(B79=Queue_Intervals!A3,MAX(0,MIN(D79,Queue_Intervals!C3)-MAX(C79+150,Queue_Intervals!B3)),0)+IF(B79=Queue_Intervals!A4,MAX(0,MIN(D79,Queue_Intervals!C4)-MAX(C79+150,Queue_Intervals!B4)),0)+IF(B79=Queue_Intervals!A5,MAX(0,MIN(D79,Queue_Intervals!C5)-MAX(C79+150,Queue_Intervals!B5)),0)</x:f>
        <x:v>0</x:v>
      </x:c>
    </x:row>
    <x:row r="80" ht="25" customHeight="1">
      <x:c r="A80" s="11" t="str">
        <x:v>143_81</x:v>
      </x:c>
      <x:c r="B80" s="13" t="str">
        <x:v>143</x:v>
      </x:c>
      <x:c r="C80" s="13" t="n">
        <x:v>705</x:v>
      </x:c>
      <x:c r="D80" s="13" t="n">
        <x:v>751</x:v>
      </x:c>
      <x:c r="E80" s="13" t="str">
        <x:v>Walk in</x:v>
      </x:c>
      <x:c r="F80" s="13" t="n">
        <x:v>46</x:v>
      </x:c>
      <x:c r="G80" s="13" t="n">
        <x:v>1</x:v>
      </x:c>
      <x:c r="H80" s="11" t="n">
        <x:f>MAX(0,F80-90)</x:f>
        <x:v>0</x:v>
      </x:c>
      <x:c r="I80" s="11" t="n">
        <x:f>IF(B80=Queue_Intervals!A2,MAX(0,MIN(D80,Queue_Intervals!C2)-MAX(C80+90,Queue_Intervals!B2)),0)+IF(B80=Queue_Intervals!A3,MAX(0,MIN(D80,Queue_Intervals!C3)-MAX(C80+90,Queue_Intervals!B3)),0)+IF(B80=Queue_Intervals!A4,MAX(0,MIN(D80,Queue_Intervals!C4)-MAX(C80+90,Queue_Intervals!B4)),0)+IF(B80=Queue_Intervals!A5,MAX(0,MIN(D80,Queue_Intervals!C5)-MAX(C80+90,Queue_Intervals!B5)),0)</x:f>
        <x:v>0</x:v>
      </x:c>
      <x:c r="J80" s="11" t="n">
        <x:f>MAX(0,F80-120)</x:f>
        <x:v>0</x:v>
      </x:c>
      <x:c r="K80" s="11" t="n">
        <x:f>IF(B80=Queue_Intervals!A2,MAX(0,MIN(D80,Queue_Intervals!C2)-MAX(C80+120,Queue_Intervals!B2)),0)+IF(B80=Queue_Intervals!A3,MAX(0,MIN(D80,Queue_Intervals!C3)-MAX(C80+120,Queue_Intervals!B3)),0)+IF(B80=Queue_Intervals!A4,MAX(0,MIN(D80,Queue_Intervals!C4)-MAX(C80+120,Queue_Intervals!B4)),0)+IF(B80=Queue_Intervals!A5,MAX(0,MIN(D80,Queue_Intervals!C5)-MAX(C80+120,Queue_Intervals!B5)),0)</x:f>
        <x:v>0</x:v>
      </x:c>
      <x:c r="L80" s="11" t="n">
        <x:f>MAX(0,F80-150)</x:f>
        <x:v>0</x:v>
      </x:c>
      <x:c r="M80" s="11" t="n">
        <x:f>IF(B80=Queue_Intervals!A2,MAX(0,MIN(D80,Queue_Intervals!C2)-MAX(C80+150,Queue_Intervals!B2)),0)+IF(B80=Queue_Intervals!A3,MAX(0,MIN(D80,Queue_Intervals!C3)-MAX(C80+150,Queue_Intervals!B3)),0)+IF(B80=Queue_Intervals!A4,MAX(0,MIN(D80,Queue_Intervals!C4)-MAX(C80+150,Queue_Intervals!B4)),0)+IF(B80=Queue_Intervals!A5,MAX(0,MIN(D80,Queue_Intervals!C5)-MAX(C80+150,Queue_Intervals!B5)),0)</x:f>
        <x:v>0</x:v>
      </x:c>
    </x:row>
    <x:row r="81" ht="25" customHeight="1">
      <x:c r="A81" s="11" t="str">
        <x:v>153_1</x:v>
      </x:c>
      <x:c r="B81" s="13" t="str">
        <x:v>153</x:v>
      </x:c>
      <x:c r="C81" s="13" t="n">
        <x:v>410</x:v>
      </x:c>
      <x:c r="D81" s="13" t="n">
        <x:v>488</x:v>
      </x:c>
      <x:c r="E81" s="13" t="str">
        <x:v>Walk in</x:v>
      </x:c>
      <x:c r="F81" s="13" t="n">
        <x:v>78</x:v>
      </x:c>
      <x:c r="G81" s="13" t="n">
        <x:v>1</x:v>
      </x:c>
      <x:c r="H81" s="11" t="n">
        <x:f>MAX(0,F81-90)</x:f>
        <x:v>0</x:v>
      </x:c>
      <x:c r="I81" s="11" t="n">
        <x:f>IF(B81=Queue_Intervals!A2,MAX(0,MIN(D81,Queue_Intervals!C2)-MAX(C81+90,Queue_Intervals!B2)),0)+IF(B81=Queue_Intervals!A3,MAX(0,MIN(D81,Queue_Intervals!C3)-MAX(C81+90,Queue_Intervals!B3)),0)+IF(B81=Queue_Intervals!A4,MAX(0,MIN(D81,Queue_Intervals!C4)-MAX(C81+90,Queue_Intervals!B4)),0)+IF(B81=Queue_Intervals!A5,MAX(0,MIN(D81,Queue_Intervals!C5)-MAX(C81+90,Queue_Intervals!B5)),0)</x:f>
        <x:v>0</x:v>
      </x:c>
      <x:c r="J81" s="11" t="n">
        <x:f>MAX(0,F81-120)</x:f>
        <x:v>0</x:v>
      </x:c>
      <x:c r="K81" s="11" t="n">
        <x:f>IF(B81=Queue_Intervals!A2,MAX(0,MIN(D81,Queue_Intervals!C2)-MAX(C81+120,Queue_Intervals!B2)),0)+IF(B81=Queue_Intervals!A3,MAX(0,MIN(D81,Queue_Intervals!C3)-MAX(C81+120,Queue_Intervals!B3)),0)+IF(B81=Queue_Intervals!A4,MAX(0,MIN(D81,Queue_Intervals!C4)-MAX(C81+120,Queue_Intervals!B4)),0)+IF(B81=Queue_Intervals!A5,MAX(0,MIN(D81,Queue_Intervals!C5)-MAX(C81+120,Queue_Intervals!B5)),0)</x:f>
        <x:v>0</x:v>
      </x:c>
      <x:c r="L81" s="11" t="n">
        <x:f>MAX(0,F81-150)</x:f>
        <x:v>0</x:v>
      </x:c>
      <x:c r="M81" s="11" t="n">
        <x:f>IF(B81=Queue_Intervals!A2,MAX(0,MIN(D81,Queue_Intervals!C2)-MAX(C81+150,Queue_Intervals!B2)),0)+IF(B81=Queue_Intervals!A3,MAX(0,MIN(D81,Queue_Intervals!C3)-MAX(C81+150,Queue_Intervals!B3)),0)+IF(B81=Queue_Intervals!A4,MAX(0,MIN(D81,Queue_Intervals!C4)-MAX(C81+150,Queue_Intervals!B4)),0)+IF(B81=Queue_Intervals!A5,MAX(0,MIN(D81,Queue_Intervals!C5)-MAX(C81+150,Queue_Intervals!B5)),0)</x:f>
        <x:v>0</x:v>
      </x:c>
    </x:row>
    <x:row r="82" ht="25" customHeight="1">
      <x:c r="A82" s="11" t="str">
        <x:v>153_2</x:v>
      </x:c>
      <x:c r="B82" s="13" t="str">
        <x:v>153</x:v>
      </x:c>
      <x:c r="C82" s="13" t="n">
        <x:v>413</x:v>
      </x:c>
      <x:c r="D82" s="13" t="n">
        <x:v>470</x:v>
      </x:c>
      <x:c r="E82" s="13" t="str">
        <x:v>Walk in</x:v>
      </x:c>
      <x:c r="F82" s="13" t="n">
        <x:v>57</x:v>
      </x:c>
      <x:c r="G82" s="13" t="n">
        <x:v>1</x:v>
      </x:c>
      <x:c r="H82" s="11" t="n">
        <x:f>MAX(0,F82-90)</x:f>
        <x:v>0</x:v>
      </x:c>
      <x:c r="I82" s="11" t="n">
        <x:f>IF(B82=Queue_Intervals!A2,MAX(0,MIN(D82,Queue_Intervals!C2)-MAX(C82+90,Queue_Intervals!B2)),0)+IF(B82=Queue_Intervals!A3,MAX(0,MIN(D82,Queue_Intervals!C3)-MAX(C82+90,Queue_Intervals!B3)),0)+IF(B82=Queue_Intervals!A4,MAX(0,MIN(D82,Queue_Intervals!C4)-MAX(C82+90,Queue_Intervals!B4)),0)+IF(B82=Queue_Intervals!A5,MAX(0,MIN(D82,Queue_Intervals!C5)-MAX(C82+90,Queue_Intervals!B5)),0)</x:f>
        <x:v>0</x:v>
      </x:c>
      <x:c r="J82" s="11" t="n">
        <x:f>MAX(0,F82-120)</x:f>
        <x:v>0</x:v>
      </x:c>
      <x:c r="K82" s="11" t="n">
        <x:f>IF(B82=Queue_Intervals!A2,MAX(0,MIN(D82,Queue_Intervals!C2)-MAX(C82+120,Queue_Intervals!B2)),0)+IF(B82=Queue_Intervals!A3,MAX(0,MIN(D82,Queue_Intervals!C3)-MAX(C82+120,Queue_Intervals!B3)),0)+IF(B82=Queue_Intervals!A4,MAX(0,MIN(D82,Queue_Intervals!C4)-MAX(C82+120,Queue_Intervals!B4)),0)+IF(B82=Queue_Intervals!A5,MAX(0,MIN(D82,Queue_Intervals!C5)-MAX(C82+120,Queue_Intervals!B5)),0)</x:f>
        <x:v>0</x:v>
      </x:c>
      <x:c r="L82" s="11" t="n">
        <x:f>MAX(0,F82-150)</x:f>
        <x:v>0</x:v>
      </x:c>
      <x:c r="M82" s="11" t="n">
        <x:f>IF(B82=Queue_Intervals!A2,MAX(0,MIN(D82,Queue_Intervals!C2)-MAX(C82+150,Queue_Intervals!B2)),0)+IF(B82=Queue_Intervals!A3,MAX(0,MIN(D82,Queue_Intervals!C3)-MAX(C82+150,Queue_Intervals!B3)),0)+IF(B82=Queue_Intervals!A4,MAX(0,MIN(D82,Queue_Intervals!C4)-MAX(C82+150,Queue_Intervals!B4)),0)+IF(B82=Queue_Intervals!A5,MAX(0,MIN(D82,Queue_Intervals!C5)-MAX(C82+150,Queue_Intervals!B5)),0)</x:f>
        <x:v>0</x:v>
      </x:c>
    </x:row>
    <x:row r="83" ht="25" customHeight="1">
      <x:c r="A83" s="11" t="str">
        <x:v>153_3</x:v>
      </x:c>
      <x:c r="B83" s="13" t="str">
        <x:v>153</x:v>
      </x:c>
      <x:c r="C83" s="13" t="n">
        <x:v>417</x:v>
      </x:c>
      <x:c r="D83" s="13" t="n">
        <x:v>525</x:v>
      </x:c>
      <x:c r="E83" s="13" t="str">
        <x:v>Walk in</x:v>
      </x:c>
      <x:c r="F83" s="13" t="n">
        <x:v>108</x:v>
      </x:c>
      <x:c r="G83" s="13" t="n">
        <x:v>1</x:v>
      </x:c>
      <x:c r="H83" s="11" t="n">
        <x:f>MAX(0,F83-90)</x:f>
        <x:v>18</x:v>
      </x:c>
      <x:c r="I83" s="11" t="n">
        <x:f>IF(B83=Queue_Intervals!A2,MAX(0,MIN(D83,Queue_Intervals!C2)-MAX(C83+90,Queue_Intervals!B2)),0)+IF(B83=Queue_Intervals!A3,MAX(0,MIN(D83,Queue_Intervals!C3)-MAX(C83+90,Queue_Intervals!B3)),0)+IF(B83=Queue_Intervals!A4,MAX(0,MIN(D83,Queue_Intervals!C4)-MAX(C83+90,Queue_Intervals!B4)),0)+IF(B83=Queue_Intervals!A5,MAX(0,MIN(D83,Queue_Intervals!C5)-MAX(C83+90,Queue_Intervals!B5)),0)</x:f>
        <x:v>18</x:v>
      </x:c>
      <x:c r="J83" s="11" t="n">
        <x:f>MAX(0,F83-120)</x:f>
        <x:v>0</x:v>
      </x:c>
      <x:c r="K83" s="11" t="n">
        <x:f>IF(B83=Queue_Intervals!A2,MAX(0,MIN(D83,Queue_Intervals!C2)-MAX(C83+120,Queue_Intervals!B2)),0)+IF(B83=Queue_Intervals!A3,MAX(0,MIN(D83,Queue_Intervals!C3)-MAX(C83+120,Queue_Intervals!B3)),0)+IF(B83=Queue_Intervals!A4,MAX(0,MIN(D83,Queue_Intervals!C4)-MAX(C83+120,Queue_Intervals!B4)),0)+IF(B83=Queue_Intervals!A5,MAX(0,MIN(D83,Queue_Intervals!C5)-MAX(C83+120,Queue_Intervals!B5)),0)</x:f>
        <x:v>0</x:v>
      </x:c>
      <x:c r="L83" s="11" t="n">
        <x:f>MAX(0,F83-150)</x:f>
        <x:v>0</x:v>
      </x:c>
      <x:c r="M83" s="11" t="n">
        <x:f>IF(B83=Queue_Intervals!A2,MAX(0,MIN(D83,Queue_Intervals!C2)-MAX(C83+150,Queue_Intervals!B2)),0)+IF(B83=Queue_Intervals!A3,MAX(0,MIN(D83,Queue_Intervals!C3)-MAX(C83+150,Queue_Intervals!B3)),0)+IF(B83=Queue_Intervals!A4,MAX(0,MIN(D83,Queue_Intervals!C4)-MAX(C83+150,Queue_Intervals!B4)),0)+IF(B83=Queue_Intervals!A5,MAX(0,MIN(D83,Queue_Intervals!C5)-MAX(C83+150,Queue_Intervals!B5)),0)</x:f>
        <x:v>0</x:v>
      </x:c>
    </x:row>
    <x:row r="84" ht="25" customHeight="1">
      <x:c r="A84" s="11" t="str">
        <x:v>153_4</x:v>
      </x:c>
      <x:c r="B84" s="13" t="str">
        <x:v>153</x:v>
      </x:c>
      <x:c r="C84" s="13" t="n">
        <x:v>422</x:v>
      </x:c>
      <x:c r="D84" s="13" t="n">
        <x:v>480</x:v>
      </x:c>
      <x:c r="E84" s="13" t="str">
        <x:v>Walk in</x:v>
      </x:c>
      <x:c r="F84" s="13" t="n">
        <x:v>58</x:v>
      </x:c>
      <x:c r="G84" s="13" t="n">
        <x:v>1</x:v>
      </x:c>
      <x:c r="H84" s="11" t="n">
        <x:f>MAX(0,F84-90)</x:f>
        <x:v>0</x:v>
      </x:c>
      <x:c r="I84" s="11" t="n">
        <x:f>IF(B84=Queue_Intervals!A2,MAX(0,MIN(D84,Queue_Intervals!C2)-MAX(C84+90,Queue_Intervals!B2)),0)+IF(B84=Queue_Intervals!A3,MAX(0,MIN(D84,Queue_Intervals!C3)-MAX(C84+90,Queue_Intervals!B3)),0)+IF(B84=Queue_Intervals!A4,MAX(0,MIN(D84,Queue_Intervals!C4)-MAX(C84+90,Queue_Intervals!B4)),0)+IF(B84=Queue_Intervals!A5,MAX(0,MIN(D84,Queue_Intervals!C5)-MAX(C84+90,Queue_Intervals!B5)),0)</x:f>
        <x:v>0</x:v>
      </x:c>
      <x:c r="J84" s="11" t="n">
        <x:f>MAX(0,F84-120)</x:f>
        <x:v>0</x:v>
      </x:c>
      <x:c r="K84" s="11" t="n">
        <x:f>IF(B84=Queue_Intervals!A2,MAX(0,MIN(D84,Queue_Intervals!C2)-MAX(C84+120,Queue_Intervals!B2)),0)+IF(B84=Queue_Intervals!A3,MAX(0,MIN(D84,Queue_Intervals!C3)-MAX(C84+120,Queue_Intervals!B3)),0)+IF(B84=Queue_Intervals!A4,MAX(0,MIN(D84,Queue_Intervals!C4)-MAX(C84+120,Queue_Intervals!B4)),0)+IF(B84=Queue_Intervals!A5,MAX(0,MIN(D84,Queue_Intervals!C5)-MAX(C84+120,Queue_Intervals!B5)),0)</x:f>
        <x:v>0</x:v>
      </x:c>
      <x:c r="L84" s="11" t="n">
        <x:f>MAX(0,F84-150)</x:f>
        <x:v>0</x:v>
      </x:c>
      <x:c r="M84" s="11" t="n">
        <x:f>IF(B84=Queue_Intervals!A2,MAX(0,MIN(D84,Queue_Intervals!C2)-MAX(C84+150,Queue_Intervals!B2)),0)+IF(B84=Queue_Intervals!A3,MAX(0,MIN(D84,Queue_Intervals!C3)-MAX(C84+150,Queue_Intervals!B3)),0)+IF(B84=Queue_Intervals!A4,MAX(0,MIN(D84,Queue_Intervals!C4)-MAX(C84+150,Queue_Intervals!B4)),0)+IF(B84=Queue_Intervals!A5,MAX(0,MIN(D84,Queue_Intervals!C5)-MAX(C84+150,Queue_Intervals!B5)),0)</x:f>
        <x:v>0</x:v>
      </x:c>
    </x:row>
    <x:row r="85" ht="25" customHeight="1">
      <x:c r="A85" s="11" t="str">
        <x:v>153_5</x:v>
      </x:c>
      <x:c r="B85" s="13" t="str">
        <x:v>153</x:v>
      </x:c>
      <x:c r="C85" s="13" t="n">
        <x:v>432</x:v>
      </x:c>
      <x:c r="D85" s="13" t="n">
        <x:v>492</x:v>
      </x:c>
      <x:c r="E85" s="13" t="str">
        <x:v>Walk in</x:v>
      </x:c>
      <x:c r="F85" s="13" t="n">
        <x:v>60</x:v>
      </x:c>
      <x:c r="G85" s="13" t="n">
        <x:v>1</x:v>
      </x:c>
      <x:c r="H85" s="11" t="n">
        <x:f>MAX(0,F85-90)</x:f>
        <x:v>0</x:v>
      </x:c>
      <x:c r="I85" s="11" t="n">
        <x:f>IF(B85=Queue_Intervals!A2,MAX(0,MIN(D85,Queue_Intervals!C2)-MAX(C85+90,Queue_Intervals!B2)),0)+IF(B85=Queue_Intervals!A3,MAX(0,MIN(D85,Queue_Intervals!C3)-MAX(C85+90,Queue_Intervals!B3)),0)+IF(B85=Queue_Intervals!A4,MAX(0,MIN(D85,Queue_Intervals!C4)-MAX(C85+90,Queue_Intervals!B4)),0)+IF(B85=Queue_Intervals!A5,MAX(0,MIN(D85,Queue_Intervals!C5)-MAX(C85+90,Queue_Intervals!B5)),0)</x:f>
        <x:v>0</x:v>
      </x:c>
      <x:c r="J85" s="11" t="n">
        <x:f>MAX(0,F85-120)</x:f>
        <x:v>0</x:v>
      </x:c>
      <x:c r="K85" s="11" t="n">
        <x:f>IF(B85=Queue_Intervals!A2,MAX(0,MIN(D85,Queue_Intervals!C2)-MAX(C85+120,Queue_Intervals!B2)),0)+IF(B85=Queue_Intervals!A3,MAX(0,MIN(D85,Queue_Intervals!C3)-MAX(C85+120,Queue_Intervals!B3)),0)+IF(B85=Queue_Intervals!A4,MAX(0,MIN(D85,Queue_Intervals!C4)-MAX(C85+120,Queue_Intervals!B4)),0)+IF(B85=Queue_Intervals!A5,MAX(0,MIN(D85,Queue_Intervals!C5)-MAX(C85+120,Queue_Intervals!B5)),0)</x:f>
        <x:v>0</x:v>
      </x:c>
      <x:c r="L85" s="11" t="n">
        <x:f>MAX(0,F85-150)</x:f>
        <x:v>0</x:v>
      </x:c>
      <x:c r="M85" s="11" t="n">
        <x:f>IF(B85=Queue_Intervals!A2,MAX(0,MIN(D85,Queue_Intervals!C2)-MAX(C85+150,Queue_Intervals!B2)),0)+IF(B85=Queue_Intervals!A3,MAX(0,MIN(D85,Queue_Intervals!C3)-MAX(C85+150,Queue_Intervals!B3)),0)+IF(B85=Queue_Intervals!A4,MAX(0,MIN(D85,Queue_Intervals!C4)-MAX(C85+150,Queue_Intervals!B4)),0)+IF(B85=Queue_Intervals!A5,MAX(0,MIN(D85,Queue_Intervals!C5)-MAX(C85+150,Queue_Intervals!B5)),0)</x:f>
        <x:v>0</x:v>
      </x:c>
    </x:row>
    <x:row r="86" ht="25" customHeight="1">
      <x:c r="A86" s="11" t="str">
        <x:v>153_7</x:v>
      </x:c>
      <x:c r="B86" s="13" t="str">
        <x:v>153</x:v>
      </x:c>
      <x:c r="C86" s="13" t="n">
        <x:v>435</x:v>
      </x:c>
      <x:c r="D86" s="13" t="n">
        <x:v>600</x:v>
      </x:c>
      <x:c r="E86" s="13" t="str">
        <x:v>Walk in</x:v>
      </x:c>
      <x:c r="F86" s="13" t="n">
        <x:v>165</x:v>
      </x:c>
      <x:c r="G86" s="13" t="n">
        <x:v>1</x:v>
      </x:c>
      <x:c r="H86" s="11" t="n">
        <x:f>MAX(0,F86-90)</x:f>
        <x:v>75</x:v>
      </x:c>
      <x:c r="I86" s="11" t="n">
        <x:f>IF(B86=Queue_Intervals!A2,MAX(0,MIN(D86,Queue_Intervals!C2)-MAX(C86+90,Queue_Intervals!B2)),0)+IF(B86=Queue_Intervals!A3,MAX(0,MIN(D86,Queue_Intervals!C3)-MAX(C86+90,Queue_Intervals!B3)),0)+IF(B86=Queue_Intervals!A4,MAX(0,MIN(D86,Queue_Intervals!C4)-MAX(C86+90,Queue_Intervals!B4)),0)+IF(B86=Queue_Intervals!A5,MAX(0,MIN(D86,Queue_Intervals!C5)-MAX(C86+90,Queue_Intervals!B5)),0)</x:f>
        <x:v>75</x:v>
      </x:c>
      <x:c r="J86" s="11" t="n">
        <x:f>MAX(0,F86-120)</x:f>
        <x:v>45</x:v>
      </x:c>
      <x:c r="K86" s="11" t="n">
        <x:f>IF(B86=Queue_Intervals!A2,MAX(0,MIN(D86,Queue_Intervals!C2)-MAX(C86+120,Queue_Intervals!B2)),0)+IF(B86=Queue_Intervals!A3,MAX(0,MIN(D86,Queue_Intervals!C3)-MAX(C86+120,Queue_Intervals!B3)),0)+IF(B86=Queue_Intervals!A4,MAX(0,MIN(D86,Queue_Intervals!C4)-MAX(C86+120,Queue_Intervals!B4)),0)+IF(B86=Queue_Intervals!A5,MAX(0,MIN(D86,Queue_Intervals!C5)-MAX(C86+120,Queue_Intervals!B5)),0)</x:f>
        <x:v>45</x:v>
      </x:c>
      <x:c r="L86" s="11" t="n">
        <x:f>MAX(0,F86-150)</x:f>
        <x:v>15</x:v>
      </x:c>
      <x:c r="M86" s="11" t="n">
        <x:f>IF(B86=Queue_Intervals!A2,MAX(0,MIN(D86,Queue_Intervals!C2)-MAX(C86+150,Queue_Intervals!B2)),0)+IF(B86=Queue_Intervals!A3,MAX(0,MIN(D86,Queue_Intervals!C3)-MAX(C86+150,Queue_Intervals!B3)),0)+IF(B86=Queue_Intervals!A4,MAX(0,MIN(D86,Queue_Intervals!C4)-MAX(C86+150,Queue_Intervals!B4)),0)+IF(B86=Queue_Intervals!A5,MAX(0,MIN(D86,Queue_Intervals!C5)-MAX(C86+150,Queue_Intervals!B5)),0)</x:f>
        <x:v>15</x:v>
      </x:c>
    </x:row>
    <x:row r="87" ht="25" customHeight="1">
      <x:c r="A87" s="11" t="str">
        <x:v>153_8</x:v>
      </x:c>
      <x:c r="B87" s="13" t="str">
        <x:v>153</x:v>
      </x:c>
      <x:c r="C87" s="13" t="n">
        <x:v>455</x:v>
      </x:c>
      <x:c r="D87" s="13" t="n">
        <x:v>554</x:v>
      </x:c>
      <x:c r="E87" s="13" t="str">
        <x:v>Walk in</x:v>
      </x:c>
      <x:c r="F87" s="13" t="n">
        <x:v>99</x:v>
      </x:c>
      <x:c r="G87" s="13" t="n">
        <x:v>1</x:v>
      </x:c>
      <x:c r="H87" s="11" t="n">
        <x:f>MAX(0,F87-90)</x:f>
        <x:v>9</x:v>
      </x:c>
      <x:c r="I87" s="11" t="n">
        <x:f>IF(B87=Queue_Intervals!A2,MAX(0,MIN(D87,Queue_Intervals!C2)-MAX(C87+90,Queue_Intervals!B2)),0)+IF(B87=Queue_Intervals!A3,MAX(0,MIN(D87,Queue_Intervals!C3)-MAX(C87+90,Queue_Intervals!B3)),0)+IF(B87=Queue_Intervals!A4,MAX(0,MIN(D87,Queue_Intervals!C4)-MAX(C87+90,Queue_Intervals!B4)),0)+IF(B87=Queue_Intervals!A5,MAX(0,MIN(D87,Queue_Intervals!C5)-MAX(C87+90,Queue_Intervals!B5)),0)</x:f>
        <x:v>9</x:v>
      </x:c>
      <x:c r="J87" s="11" t="n">
        <x:f>MAX(0,F87-120)</x:f>
        <x:v>0</x:v>
      </x:c>
      <x:c r="K87" s="11" t="n">
        <x:f>IF(B87=Queue_Intervals!A2,MAX(0,MIN(D87,Queue_Intervals!C2)-MAX(C87+120,Queue_Intervals!B2)),0)+IF(B87=Queue_Intervals!A3,MAX(0,MIN(D87,Queue_Intervals!C3)-MAX(C87+120,Queue_Intervals!B3)),0)+IF(B87=Queue_Intervals!A4,MAX(0,MIN(D87,Queue_Intervals!C4)-MAX(C87+120,Queue_Intervals!B4)),0)+IF(B87=Queue_Intervals!A5,MAX(0,MIN(D87,Queue_Intervals!C5)-MAX(C87+120,Queue_Intervals!B5)),0)</x:f>
        <x:v>0</x:v>
      </x:c>
      <x:c r="L87" s="11" t="n">
        <x:f>MAX(0,F87-150)</x:f>
        <x:v>0</x:v>
      </x:c>
      <x:c r="M87" s="11" t="n">
        <x:f>IF(B87=Queue_Intervals!A2,MAX(0,MIN(D87,Queue_Intervals!C2)-MAX(C87+150,Queue_Intervals!B2)),0)+IF(B87=Queue_Intervals!A3,MAX(0,MIN(D87,Queue_Intervals!C3)-MAX(C87+150,Queue_Intervals!B3)),0)+IF(B87=Queue_Intervals!A4,MAX(0,MIN(D87,Queue_Intervals!C4)-MAX(C87+150,Queue_Intervals!B4)),0)+IF(B87=Queue_Intervals!A5,MAX(0,MIN(D87,Queue_Intervals!C5)-MAX(C87+150,Queue_Intervals!B5)),0)</x:f>
        <x:v>0</x:v>
      </x:c>
    </x:row>
    <x:row r="88" ht="25" customHeight="1">
      <x:c r="A88" s="11" t="str">
        <x:v>153_10</x:v>
      </x:c>
      <x:c r="B88" s="13" t="str">
        <x:v>153</x:v>
      </x:c>
      <x:c r="C88" s="13" t="n">
        <x:v>469</x:v>
      </x:c>
      <x:c r="D88" s="13" t="n">
        <x:v>550</x:v>
      </x:c>
      <x:c r="E88" s="13" t="str">
        <x:v>Walk in</x:v>
      </x:c>
      <x:c r="F88" s="13" t="n">
        <x:v>81</x:v>
      </x:c>
      <x:c r="G88" s="13" t="n">
        <x:v>1</x:v>
      </x:c>
      <x:c r="H88" s="11" t="n">
        <x:f>MAX(0,F88-90)</x:f>
        <x:v>0</x:v>
      </x:c>
      <x:c r="I88" s="11" t="n">
        <x:f>IF(B88=Queue_Intervals!A2,MAX(0,MIN(D88,Queue_Intervals!C2)-MAX(C88+90,Queue_Intervals!B2)),0)+IF(B88=Queue_Intervals!A3,MAX(0,MIN(D88,Queue_Intervals!C3)-MAX(C88+90,Queue_Intervals!B3)),0)+IF(B88=Queue_Intervals!A4,MAX(0,MIN(D88,Queue_Intervals!C4)-MAX(C88+90,Queue_Intervals!B4)),0)+IF(B88=Queue_Intervals!A5,MAX(0,MIN(D88,Queue_Intervals!C5)-MAX(C88+90,Queue_Intervals!B5)),0)</x:f>
        <x:v>0</x:v>
      </x:c>
      <x:c r="J88" s="11" t="n">
        <x:f>MAX(0,F88-120)</x:f>
        <x:v>0</x:v>
      </x:c>
      <x:c r="K88" s="11" t="n">
        <x:f>IF(B88=Queue_Intervals!A2,MAX(0,MIN(D88,Queue_Intervals!C2)-MAX(C88+120,Queue_Intervals!B2)),0)+IF(B88=Queue_Intervals!A3,MAX(0,MIN(D88,Queue_Intervals!C3)-MAX(C88+120,Queue_Intervals!B3)),0)+IF(B88=Queue_Intervals!A4,MAX(0,MIN(D88,Queue_Intervals!C4)-MAX(C88+120,Queue_Intervals!B4)),0)+IF(B88=Queue_Intervals!A5,MAX(0,MIN(D88,Queue_Intervals!C5)-MAX(C88+120,Queue_Intervals!B5)),0)</x:f>
        <x:v>0</x:v>
      </x:c>
      <x:c r="L88" s="11" t="n">
        <x:f>MAX(0,F88-150)</x:f>
        <x:v>0</x:v>
      </x:c>
      <x:c r="M88" s="11" t="n">
        <x:f>IF(B88=Queue_Intervals!A2,MAX(0,MIN(D88,Queue_Intervals!C2)-MAX(C88+150,Queue_Intervals!B2)),0)+IF(B88=Queue_Intervals!A3,MAX(0,MIN(D88,Queue_Intervals!C3)-MAX(C88+150,Queue_Intervals!B3)),0)+IF(B88=Queue_Intervals!A4,MAX(0,MIN(D88,Queue_Intervals!C4)-MAX(C88+150,Queue_Intervals!B4)),0)+IF(B88=Queue_Intervals!A5,MAX(0,MIN(D88,Queue_Intervals!C5)-MAX(C88+150,Queue_Intervals!B5)),0)</x:f>
        <x:v>0</x:v>
      </x:c>
    </x:row>
    <x:row r="89" ht="25" customHeight="1">
      <x:c r="A89" s="11" t="str">
        <x:v>153_11</x:v>
      </x:c>
      <x:c r="B89" s="13" t="str">
        <x:v>153</x:v>
      </x:c>
      <x:c r="C89" s="13" t="n">
        <x:v>471</x:v>
      </x:c>
      <x:c r="D89" s="13" t="n">
        <x:v>567</x:v>
      </x:c>
      <x:c r="E89" s="13" t="str">
        <x:v>Walk in</x:v>
      </x:c>
      <x:c r="F89" s="13" t="n">
        <x:v>96</x:v>
      </x:c>
      <x:c r="G89" s="13" t="n">
        <x:v>1</x:v>
      </x:c>
      <x:c r="H89" s="11" t="n">
        <x:f>MAX(0,F89-90)</x:f>
        <x:v>6</x:v>
      </x:c>
      <x:c r="I89" s="11" t="n">
        <x:f>IF(B89=Queue_Intervals!A2,MAX(0,MIN(D89,Queue_Intervals!C2)-MAX(C89+90,Queue_Intervals!B2)),0)+IF(B89=Queue_Intervals!A3,MAX(0,MIN(D89,Queue_Intervals!C3)-MAX(C89+90,Queue_Intervals!B3)),0)+IF(B89=Queue_Intervals!A4,MAX(0,MIN(D89,Queue_Intervals!C4)-MAX(C89+90,Queue_Intervals!B4)),0)+IF(B89=Queue_Intervals!A5,MAX(0,MIN(D89,Queue_Intervals!C5)-MAX(C89+90,Queue_Intervals!B5)),0)</x:f>
        <x:v>6</x:v>
      </x:c>
      <x:c r="J89" s="11" t="n">
        <x:f>MAX(0,F89-120)</x:f>
        <x:v>0</x:v>
      </x:c>
      <x:c r="K89" s="11" t="n">
        <x:f>IF(B89=Queue_Intervals!A2,MAX(0,MIN(D89,Queue_Intervals!C2)-MAX(C89+120,Queue_Intervals!B2)),0)+IF(B89=Queue_Intervals!A3,MAX(0,MIN(D89,Queue_Intervals!C3)-MAX(C89+120,Queue_Intervals!B3)),0)+IF(B89=Queue_Intervals!A4,MAX(0,MIN(D89,Queue_Intervals!C4)-MAX(C89+120,Queue_Intervals!B4)),0)+IF(B89=Queue_Intervals!A5,MAX(0,MIN(D89,Queue_Intervals!C5)-MAX(C89+120,Queue_Intervals!B5)),0)</x:f>
        <x:v>0</x:v>
      </x:c>
      <x:c r="L89" s="11" t="n">
        <x:f>MAX(0,F89-150)</x:f>
        <x:v>0</x:v>
      </x:c>
      <x:c r="M89" s="11" t="n">
        <x:f>IF(B89=Queue_Intervals!A2,MAX(0,MIN(D89,Queue_Intervals!C2)-MAX(C89+150,Queue_Intervals!B2)),0)+IF(B89=Queue_Intervals!A3,MAX(0,MIN(D89,Queue_Intervals!C3)-MAX(C89+150,Queue_Intervals!B3)),0)+IF(B89=Queue_Intervals!A4,MAX(0,MIN(D89,Queue_Intervals!C4)-MAX(C89+150,Queue_Intervals!B4)),0)+IF(B89=Queue_Intervals!A5,MAX(0,MIN(D89,Queue_Intervals!C5)-MAX(C89+150,Queue_Intervals!B5)),0)</x:f>
        <x:v>0</x:v>
      </x:c>
    </x:row>
    <x:row r="90" ht="25" customHeight="1">
      <x:c r="A90" s="11" t="str">
        <x:v>153_12</x:v>
      </x:c>
      <x:c r="B90" s="13" t="str">
        <x:v>153</x:v>
      </x:c>
      <x:c r="C90" s="13" t="n">
        <x:v>479</x:v>
      </x:c>
      <x:c r="D90" s="13" t="n">
        <x:v>575</x:v>
      </x:c>
      <x:c r="E90" s="13" t="str">
        <x:v>Walk in</x:v>
      </x:c>
      <x:c r="F90" s="13" t="n">
        <x:v>96</x:v>
      </x:c>
      <x:c r="G90" s="13" t="n">
        <x:v>1</x:v>
      </x:c>
      <x:c r="H90" s="11" t="n">
        <x:f>MAX(0,F90-90)</x:f>
        <x:v>6</x:v>
      </x:c>
      <x:c r="I90" s="11" t="n">
        <x:f>IF(B90=Queue_Intervals!A2,MAX(0,MIN(D90,Queue_Intervals!C2)-MAX(C90+90,Queue_Intervals!B2)),0)+IF(B90=Queue_Intervals!A3,MAX(0,MIN(D90,Queue_Intervals!C3)-MAX(C90+90,Queue_Intervals!B3)),0)+IF(B90=Queue_Intervals!A4,MAX(0,MIN(D90,Queue_Intervals!C4)-MAX(C90+90,Queue_Intervals!B4)),0)+IF(B90=Queue_Intervals!A5,MAX(0,MIN(D90,Queue_Intervals!C5)-MAX(C90+90,Queue_Intervals!B5)),0)</x:f>
        <x:v>6</x:v>
      </x:c>
      <x:c r="J90" s="11" t="n">
        <x:f>MAX(0,F90-120)</x:f>
        <x:v>0</x:v>
      </x:c>
      <x:c r="K90" s="11" t="n">
        <x:f>IF(B90=Queue_Intervals!A2,MAX(0,MIN(D90,Queue_Intervals!C2)-MAX(C90+120,Queue_Intervals!B2)),0)+IF(B90=Queue_Intervals!A3,MAX(0,MIN(D90,Queue_Intervals!C3)-MAX(C90+120,Queue_Intervals!B3)),0)+IF(B90=Queue_Intervals!A4,MAX(0,MIN(D90,Queue_Intervals!C4)-MAX(C90+120,Queue_Intervals!B4)),0)+IF(B90=Queue_Intervals!A5,MAX(0,MIN(D90,Queue_Intervals!C5)-MAX(C90+120,Queue_Intervals!B5)),0)</x:f>
        <x:v>0</x:v>
      </x:c>
      <x:c r="L90" s="11" t="n">
        <x:f>MAX(0,F90-150)</x:f>
        <x:v>0</x:v>
      </x:c>
      <x:c r="M90" s="11" t="n">
        <x:f>IF(B90=Queue_Intervals!A2,MAX(0,MIN(D90,Queue_Intervals!C2)-MAX(C90+150,Queue_Intervals!B2)),0)+IF(B90=Queue_Intervals!A3,MAX(0,MIN(D90,Queue_Intervals!C3)-MAX(C90+150,Queue_Intervals!B3)),0)+IF(B90=Queue_Intervals!A4,MAX(0,MIN(D90,Queue_Intervals!C4)-MAX(C90+150,Queue_Intervals!B4)),0)+IF(B90=Queue_Intervals!A5,MAX(0,MIN(D90,Queue_Intervals!C5)-MAX(C90+150,Queue_Intervals!B5)),0)</x:f>
        <x:v>0</x:v>
      </x:c>
    </x:row>
    <x:row r="91" ht="25" customHeight="1">
      <x:c r="A91" s="11" t="str">
        <x:v>153_14</x:v>
      </x:c>
      <x:c r="B91" s="13" t="str">
        <x:v>153</x:v>
      </x:c>
      <x:c r="C91" s="13" t="n">
        <x:v>480</x:v>
      </x:c>
      <x:c r="D91" s="13" t="n">
        <x:v>646</x:v>
      </x:c>
      <x:c r="E91" s="13" t="str">
        <x:v>Walk in</x:v>
      </x:c>
      <x:c r="F91" s="13" t="n">
        <x:v>166</x:v>
      </x:c>
      <x:c r="G91" s="13" t="n">
        <x:v>1</x:v>
      </x:c>
      <x:c r="H91" s="11" t="n">
        <x:f>MAX(0,F91-90)</x:f>
        <x:v>76</x:v>
      </x:c>
      <x:c r="I91" s="11" t="n">
        <x:f>IF(B91=Queue_Intervals!A2,MAX(0,MIN(D91,Queue_Intervals!C2)-MAX(C91+90,Queue_Intervals!B2)),0)+IF(B91=Queue_Intervals!A3,MAX(0,MIN(D91,Queue_Intervals!C3)-MAX(C91+90,Queue_Intervals!B3)),0)+IF(B91=Queue_Intervals!A4,MAX(0,MIN(D91,Queue_Intervals!C4)-MAX(C91+90,Queue_Intervals!B4)),0)+IF(B91=Queue_Intervals!A5,MAX(0,MIN(D91,Queue_Intervals!C5)-MAX(C91+90,Queue_Intervals!B5)),0)</x:f>
        <x:v>76</x:v>
      </x:c>
      <x:c r="J91" s="11" t="n">
        <x:f>MAX(0,F91-120)</x:f>
        <x:v>46</x:v>
      </x:c>
      <x:c r="K91" s="11" t="n">
        <x:f>IF(B91=Queue_Intervals!A2,MAX(0,MIN(D91,Queue_Intervals!C2)-MAX(C91+120,Queue_Intervals!B2)),0)+IF(B91=Queue_Intervals!A3,MAX(0,MIN(D91,Queue_Intervals!C3)-MAX(C91+120,Queue_Intervals!B3)),0)+IF(B91=Queue_Intervals!A4,MAX(0,MIN(D91,Queue_Intervals!C4)-MAX(C91+120,Queue_Intervals!B4)),0)+IF(B91=Queue_Intervals!A5,MAX(0,MIN(D91,Queue_Intervals!C5)-MAX(C91+120,Queue_Intervals!B5)),0)</x:f>
        <x:v>46</x:v>
      </x:c>
      <x:c r="L91" s="11" t="n">
        <x:f>MAX(0,F91-150)</x:f>
        <x:v>16</x:v>
      </x:c>
      <x:c r="M91" s="11" t="n">
        <x:f>IF(B91=Queue_Intervals!A2,MAX(0,MIN(D91,Queue_Intervals!C2)-MAX(C91+150,Queue_Intervals!B2)),0)+IF(B91=Queue_Intervals!A3,MAX(0,MIN(D91,Queue_Intervals!C3)-MAX(C91+150,Queue_Intervals!B3)),0)+IF(B91=Queue_Intervals!A4,MAX(0,MIN(D91,Queue_Intervals!C4)-MAX(C91+150,Queue_Intervals!B4)),0)+IF(B91=Queue_Intervals!A5,MAX(0,MIN(D91,Queue_Intervals!C5)-MAX(C91+150,Queue_Intervals!B5)),0)</x:f>
        <x:v>16</x:v>
      </x:c>
    </x:row>
    <x:row r="92" ht="25" customHeight="1">
      <x:c r="A92" s="11" t="str">
        <x:v>153_15</x:v>
      </x:c>
      <x:c r="B92" s="13" t="str">
        <x:v>153</x:v>
      </x:c>
      <x:c r="C92" s="13" t="n">
        <x:v>482</x:v>
      </x:c>
      <x:c r="D92" s="13" t="n">
        <x:v>560</x:v>
      </x:c>
      <x:c r="E92" s="13" t="str">
        <x:v>Walk in</x:v>
      </x:c>
      <x:c r="F92" s="13" t="n">
        <x:v>78</x:v>
      </x:c>
      <x:c r="G92" s="13" t="n">
        <x:v>1</x:v>
      </x:c>
      <x:c r="H92" s="11" t="n">
        <x:f>MAX(0,F92-90)</x:f>
        <x:v>0</x:v>
      </x:c>
      <x:c r="I92" s="11" t="n">
        <x:f>IF(B92=Queue_Intervals!A2,MAX(0,MIN(D92,Queue_Intervals!C2)-MAX(C92+90,Queue_Intervals!B2)),0)+IF(B92=Queue_Intervals!A3,MAX(0,MIN(D92,Queue_Intervals!C3)-MAX(C92+90,Queue_Intervals!B3)),0)+IF(B92=Queue_Intervals!A4,MAX(0,MIN(D92,Queue_Intervals!C4)-MAX(C92+90,Queue_Intervals!B4)),0)+IF(B92=Queue_Intervals!A5,MAX(0,MIN(D92,Queue_Intervals!C5)-MAX(C92+90,Queue_Intervals!B5)),0)</x:f>
        <x:v>0</x:v>
      </x:c>
      <x:c r="J92" s="11" t="n">
        <x:f>MAX(0,F92-120)</x:f>
        <x:v>0</x:v>
      </x:c>
      <x:c r="K92" s="11" t="n">
        <x:f>IF(B92=Queue_Intervals!A2,MAX(0,MIN(D92,Queue_Intervals!C2)-MAX(C92+120,Queue_Intervals!B2)),0)+IF(B92=Queue_Intervals!A3,MAX(0,MIN(D92,Queue_Intervals!C3)-MAX(C92+120,Queue_Intervals!B3)),0)+IF(B92=Queue_Intervals!A4,MAX(0,MIN(D92,Queue_Intervals!C4)-MAX(C92+120,Queue_Intervals!B4)),0)+IF(B92=Queue_Intervals!A5,MAX(0,MIN(D92,Queue_Intervals!C5)-MAX(C92+120,Queue_Intervals!B5)),0)</x:f>
        <x:v>0</x:v>
      </x:c>
      <x:c r="L92" s="11" t="n">
        <x:f>MAX(0,F92-150)</x:f>
        <x:v>0</x:v>
      </x:c>
      <x:c r="M92" s="11" t="n">
        <x:f>IF(B92=Queue_Intervals!A2,MAX(0,MIN(D92,Queue_Intervals!C2)-MAX(C92+150,Queue_Intervals!B2)),0)+IF(B92=Queue_Intervals!A3,MAX(0,MIN(D92,Queue_Intervals!C3)-MAX(C92+150,Queue_Intervals!B3)),0)+IF(B92=Queue_Intervals!A4,MAX(0,MIN(D92,Queue_Intervals!C4)-MAX(C92+150,Queue_Intervals!B4)),0)+IF(B92=Queue_Intervals!A5,MAX(0,MIN(D92,Queue_Intervals!C5)-MAX(C92+150,Queue_Intervals!B5)),0)</x:f>
        <x:v>0</x:v>
      </x:c>
    </x:row>
    <x:row r="93" ht="25" customHeight="1">
      <x:c r="A93" s="11" t="str">
        <x:v>153_16</x:v>
      </x:c>
      <x:c r="B93" s="13" t="str">
        <x:v>153</x:v>
      </x:c>
      <x:c r="C93" s="13" t="n">
        <x:v>483</x:v>
      </x:c>
      <x:c r="D93" s="13" t="n">
        <x:v>562</x:v>
      </x:c>
      <x:c r="E93" s="13" t="str">
        <x:v>Walk in</x:v>
      </x:c>
      <x:c r="F93" s="13" t="n">
        <x:v>79</x:v>
      </x:c>
      <x:c r="G93" s="13" t="n">
        <x:v>1</x:v>
      </x:c>
      <x:c r="H93" s="11" t="n">
        <x:f>MAX(0,F93-90)</x:f>
        <x:v>0</x:v>
      </x:c>
      <x:c r="I93" s="11" t="n">
        <x:f>IF(B93=Queue_Intervals!A2,MAX(0,MIN(D93,Queue_Intervals!C2)-MAX(C93+90,Queue_Intervals!B2)),0)+IF(B93=Queue_Intervals!A3,MAX(0,MIN(D93,Queue_Intervals!C3)-MAX(C93+90,Queue_Intervals!B3)),0)+IF(B93=Queue_Intervals!A4,MAX(0,MIN(D93,Queue_Intervals!C4)-MAX(C93+90,Queue_Intervals!B4)),0)+IF(B93=Queue_Intervals!A5,MAX(0,MIN(D93,Queue_Intervals!C5)-MAX(C93+90,Queue_Intervals!B5)),0)</x:f>
        <x:v>0</x:v>
      </x:c>
      <x:c r="J93" s="11" t="n">
        <x:f>MAX(0,F93-120)</x:f>
        <x:v>0</x:v>
      </x:c>
      <x:c r="K93" s="11" t="n">
        <x:f>IF(B93=Queue_Intervals!A2,MAX(0,MIN(D93,Queue_Intervals!C2)-MAX(C93+120,Queue_Intervals!B2)),0)+IF(B93=Queue_Intervals!A3,MAX(0,MIN(D93,Queue_Intervals!C3)-MAX(C93+120,Queue_Intervals!B3)),0)+IF(B93=Queue_Intervals!A4,MAX(0,MIN(D93,Queue_Intervals!C4)-MAX(C93+120,Queue_Intervals!B4)),0)+IF(B93=Queue_Intervals!A5,MAX(0,MIN(D93,Queue_Intervals!C5)-MAX(C93+120,Queue_Intervals!B5)),0)</x:f>
        <x:v>0</x:v>
      </x:c>
      <x:c r="L93" s="11" t="n">
        <x:f>MAX(0,F93-150)</x:f>
        <x:v>0</x:v>
      </x:c>
      <x:c r="M93" s="11" t="n">
        <x:f>IF(B93=Queue_Intervals!A2,MAX(0,MIN(D93,Queue_Intervals!C2)-MAX(C93+150,Queue_Intervals!B2)),0)+IF(B93=Queue_Intervals!A3,MAX(0,MIN(D93,Queue_Intervals!C3)-MAX(C93+150,Queue_Intervals!B3)),0)+IF(B93=Queue_Intervals!A4,MAX(0,MIN(D93,Queue_Intervals!C4)-MAX(C93+150,Queue_Intervals!B4)),0)+IF(B93=Queue_Intervals!A5,MAX(0,MIN(D93,Queue_Intervals!C5)-MAX(C93+150,Queue_Intervals!B5)),0)</x:f>
        <x:v>0</x:v>
      </x:c>
    </x:row>
    <x:row r="94" ht="25" customHeight="1">
      <x:c r="A94" s="11" t="str">
        <x:v>153_17</x:v>
      </x:c>
      <x:c r="B94" s="13" t="str">
        <x:v>153</x:v>
      </x:c>
      <x:c r="C94" s="13" t="n">
        <x:v>484</x:v>
      </x:c>
      <x:c r="D94" s="13" t="n">
        <x:v>564</x:v>
      </x:c>
      <x:c r="E94" s="13" t="str">
        <x:v>Walk in</x:v>
      </x:c>
      <x:c r="F94" s="13" t="n">
        <x:v>80</x:v>
      </x:c>
      <x:c r="G94" s="13" t="n">
        <x:v>1</x:v>
      </x:c>
      <x:c r="H94" s="11" t="n">
        <x:f>MAX(0,F94-90)</x:f>
        <x:v>0</x:v>
      </x:c>
      <x:c r="I94" s="11" t="n">
        <x:f>IF(B94=Queue_Intervals!A2,MAX(0,MIN(D94,Queue_Intervals!C2)-MAX(C94+90,Queue_Intervals!B2)),0)+IF(B94=Queue_Intervals!A3,MAX(0,MIN(D94,Queue_Intervals!C3)-MAX(C94+90,Queue_Intervals!B3)),0)+IF(B94=Queue_Intervals!A4,MAX(0,MIN(D94,Queue_Intervals!C4)-MAX(C94+90,Queue_Intervals!B4)),0)+IF(B94=Queue_Intervals!A5,MAX(0,MIN(D94,Queue_Intervals!C5)-MAX(C94+90,Queue_Intervals!B5)),0)</x:f>
        <x:v>0</x:v>
      </x:c>
      <x:c r="J94" s="11" t="n">
        <x:f>MAX(0,F94-120)</x:f>
        <x:v>0</x:v>
      </x:c>
      <x:c r="K94" s="11" t="n">
        <x:f>IF(B94=Queue_Intervals!A2,MAX(0,MIN(D94,Queue_Intervals!C2)-MAX(C94+120,Queue_Intervals!B2)),0)+IF(B94=Queue_Intervals!A3,MAX(0,MIN(D94,Queue_Intervals!C3)-MAX(C94+120,Queue_Intervals!B3)),0)+IF(B94=Queue_Intervals!A4,MAX(0,MIN(D94,Queue_Intervals!C4)-MAX(C94+120,Queue_Intervals!B4)),0)+IF(B94=Queue_Intervals!A5,MAX(0,MIN(D94,Queue_Intervals!C5)-MAX(C94+120,Queue_Intervals!B5)),0)</x:f>
        <x:v>0</x:v>
      </x:c>
      <x:c r="L94" s="11" t="n">
        <x:f>MAX(0,F94-150)</x:f>
        <x:v>0</x:v>
      </x:c>
      <x:c r="M94" s="11" t="n">
        <x:f>IF(B94=Queue_Intervals!A2,MAX(0,MIN(D94,Queue_Intervals!C2)-MAX(C94+150,Queue_Intervals!B2)),0)+IF(B94=Queue_Intervals!A3,MAX(0,MIN(D94,Queue_Intervals!C3)-MAX(C94+150,Queue_Intervals!B3)),0)+IF(B94=Queue_Intervals!A4,MAX(0,MIN(D94,Queue_Intervals!C4)-MAX(C94+150,Queue_Intervals!B4)),0)+IF(B94=Queue_Intervals!A5,MAX(0,MIN(D94,Queue_Intervals!C5)-MAX(C94+150,Queue_Intervals!B5)),0)</x:f>
        <x:v>0</x:v>
      </x:c>
    </x:row>
    <x:row r="95" ht="25" customHeight="1">
      <x:c r="A95" s="11" t="str">
        <x:v>153_19</x:v>
      </x:c>
      <x:c r="B95" s="13" t="str">
        <x:v>153</x:v>
      </x:c>
      <x:c r="C95" s="13" t="n">
        <x:v>490</x:v>
      </x:c>
      <x:c r="D95" s="13" t="n">
        <x:v>630</x:v>
      </x:c>
      <x:c r="E95" s="13" t="str">
        <x:v>Walk in</x:v>
      </x:c>
      <x:c r="F95" s="13" t="n">
        <x:v>140</x:v>
      </x:c>
      <x:c r="G95" s="13" t="n">
        <x:v>1</x:v>
      </x:c>
      <x:c r="H95" s="11" t="n">
        <x:f>MAX(0,F95-90)</x:f>
        <x:v>50</x:v>
      </x:c>
      <x:c r="I95" s="11" t="n">
        <x:f>IF(B95=Queue_Intervals!A2,MAX(0,MIN(D95,Queue_Intervals!C2)-MAX(C95+90,Queue_Intervals!B2)),0)+IF(B95=Queue_Intervals!A3,MAX(0,MIN(D95,Queue_Intervals!C3)-MAX(C95+90,Queue_Intervals!B3)),0)+IF(B95=Queue_Intervals!A4,MAX(0,MIN(D95,Queue_Intervals!C4)-MAX(C95+90,Queue_Intervals!B4)),0)+IF(B95=Queue_Intervals!A5,MAX(0,MIN(D95,Queue_Intervals!C5)-MAX(C95+90,Queue_Intervals!B5)),0)</x:f>
        <x:v>50</x:v>
      </x:c>
      <x:c r="J95" s="11" t="n">
        <x:f>MAX(0,F95-120)</x:f>
        <x:v>20</x:v>
      </x:c>
      <x:c r="K95" s="11" t="n">
        <x:f>IF(B95=Queue_Intervals!A2,MAX(0,MIN(D95,Queue_Intervals!C2)-MAX(C95+120,Queue_Intervals!B2)),0)+IF(B95=Queue_Intervals!A3,MAX(0,MIN(D95,Queue_Intervals!C3)-MAX(C95+120,Queue_Intervals!B3)),0)+IF(B95=Queue_Intervals!A4,MAX(0,MIN(D95,Queue_Intervals!C4)-MAX(C95+120,Queue_Intervals!B4)),0)+IF(B95=Queue_Intervals!A5,MAX(0,MIN(D95,Queue_Intervals!C5)-MAX(C95+120,Queue_Intervals!B5)),0)</x:f>
        <x:v>20</x:v>
      </x:c>
      <x:c r="L95" s="11" t="n">
        <x:f>MAX(0,F95-150)</x:f>
        <x:v>0</x:v>
      </x:c>
      <x:c r="M95" s="11" t="n">
        <x:f>IF(B95=Queue_Intervals!A2,MAX(0,MIN(D95,Queue_Intervals!C2)-MAX(C95+150,Queue_Intervals!B2)),0)+IF(B95=Queue_Intervals!A3,MAX(0,MIN(D95,Queue_Intervals!C3)-MAX(C95+150,Queue_Intervals!B3)),0)+IF(B95=Queue_Intervals!A4,MAX(0,MIN(D95,Queue_Intervals!C4)-MAX(C95+150,Queue_Intervals!B4)),0)+IF(B95=Queue_Intervals!A5,MAX(0,MIN(D95,Queue_Intervals!C5)-MAX(C95+150,Queue_Intervals!B5)),0)</x:f>
        <x:v>0</x:v>
      </x:c>
    </x:row>
    <x:row r="96" ht="25" customHeight="1">
      <x:c r="A96" s="11" t="str">
        <x:v>153_20</x:v>
      </x:c>
      <x:c r="B96" s="13" t="str">
        <x:v>153</x:v>
      </x:c>
      <x:c r="C96" s="13" t="n">
        <x:v>490</x:v>
      </x:c>
      <x:c r="D96" s="13" t="n">
        <x:v>594</x:v>
      </x:c>
      <x:c r="E96" s="13" t="str">
        <x:v>Walk in</x:v>
      </x:c>
      <x:c r="F96" s="13" t="n">
        <x:v>104</x:v>
      </x:c>
      <x:c r="G96" s="13" t="n">
        <x:v>1</x:v>
      </x:c>
      <x:c r="H96" s="11" t="n">
        <x:f>MAX(0,F96-90)</x:f>
        <x:v>14</x:v>
      </x:c>
      <x:c r="I96" s="11" t="n">
        <x:f>IF(B96=Queue_Intervals!A2,MAX(0,MIN(D96,Queue_Intervals!C2)-MAX(C96+90,Queue_Intervals!B2)),0)+IF(B96=Queue_Intervals!A3,MAX(0,MIN(D96,Queue_Intervals!C3)-MAX(C96+90,Queue_Intervals!B3)),0)+IF(B96=Queue_Intervals!A4,MAX(0,MIN(D96,Queue_Intervals!C4)-MAX(C96+90,Queue_Intervals!B4)),0)+IF(B96=Queue_Intervals!A5,MAX(0,MIN(D96,Queue_Intervals!C5)-MAX(C96+90,Queue_Intervals!B5)),0)</x:f>
        <x:v>14</x:v>
      </x:c>
      <x:c r="J96" s="11" t="n">
        <x:f>MAX(0,F96-120)</x:f>
        <x:v>0</x:v>
      </x:c>
      <x:c r="K96" s="11" t="n">
        <x:f>IF(B96=Queue_Intervals!A2,MAX(0,MIN(D96,Queue_Intervals!C2)-MAX(C96+120,Queue_Intervals!B2)),0)+IF(B96=Queue_Intervals!A3,MAX(0,MIN(D96,Queue_Intervals!C3)-MAX(C96+120,Queue_Intervals!B3)),0)+IF(B96=Queue_Intervals!A4,MAX(0,MIN(D96,Queue_Intervals!C4)-MAX(C96+120,Queue_Intervals!B4)),0)+IF(B96=Queue_Intervals!A5,MAX(0,MIN(D96,Queue_Intervals!C5)-MAX(C96+120,Queue_Intervals!B5)),0)</x:f>
        <x:v>0</x:v>
      </x:c>
      <x:c r="L96" s="11" t="n">
        <x:f>MAX(0,F96-150)</x:f>
        <x:v>0</x:v>
      </x:c>
      <x:c r="M96" s="11" t="n">
        <x:f>IF(B96=Queue_Intervals!A2,MAX(0,MIN(D96,Queue_Intervals!C2)-MAX(C96+150,Queue_Intervals!B2)),0)+IF(B96=Queue_Intervals!A3,MAX(0,MIN(D96,Queue_Intervals!C3)-MAX(C96+150,Queue_Intervals!B3)),0)+IF(B96=Queue_Intervals!A4,MAX(0,MIN(D96,Queue_Intervals!C4)-MAX(C96+150,Queue_Intervals!B4)),0)+IF(B96=Queue_Intervals!A5,MAX(0,MIN(D96,Queue_Intervals!C5)-MAX(C96+150,Queue_Intervals!B5)),0)</x:f>
        <x:v>0</x:v>
      </x:c>
    </x:row>
    <x:row r="97" ht="25" customHeight="1">
      <x:c r="A97" s="11" t="str">
        <x:v>153_23</x:v>
      </x:c>
      <x:c r="B97" s="13" t="str">
        <x:v>153</x:v>
      </x:c>
      <x:c r="C97" s="13" t="n">
        <x:v>553</x:v>
      </x:c>
      <x:c r="D97" s="13" t="n">
        <x:v>582</x:v>
      </x:c>
      <x:c r="E97" s="13" t="str">
        <x:v>Walk in</x:v>
      </x:c>
      <x:c r="F97" s="13" t="n">
        <x:v>29</x:v>
      </x:c>
      <x:c r="G97" s="13" t="n">
        <x:v>1</x:v>
      </x:c>
      <x:c r="H97" s="11" t="n">
        <x:f>MAX(0,F97-90)</x:f>
        <x:v>0</x:v>
      </x:c>
      <x:c r="I97" s="11" t="n">
        <x:f>IF(B97=Queue_Intervals!A2,MAX(0,MIN(D97,Queue_Intervals!C2)-MAX(C97+90,Queue_Intervals!B2)),0)+IF(B97=Queue_Intervals!A3,MAX(0,MIN(D97,Queue_Intervals!C3)-MAX(C97+90,Queue_Intervals!B3)),0)+IF(B97=Queue_Intervals!A4,MAX(0,MIN(D97,Queue_Intervals!C4)-MAX(C97+90,Queue_Intervals!B4)),0)+IF(B97=Queue_Intervals!A5,MAX(0,MIN(D97,Queue_Intervals!C5)-MAX(C97+90,Queue_Intervals!B5)),0)</x:f>
        <x:v>0</x:v>
      </x:c>
      <x:c r="J97" s="11" t="n">
        <x:f>MAX(0,F97-120)</x:f>
        <x:v>0</x:v>
      </x:c>
      <x:c r="K97" s="11" t="n">
        <x:f>IF(B97=Queue_Intervals!A2,MAX(0,MIN(D97,Queue_Intervals!C2)-MAX(C97+120,Queue_Intervals!B2)),0)+IF(B97=Queue_Intervals!A3,MAX(0,MIN(D97,Queue_Intervals!C3)-MAX(C97+120,Queue_Intervals!B3)),0)+IF(B97=Queue_Intervals!A4,MAX(0,MIN(D97,Queue_Intervals!C4)-MAX(C97+120,Queue_Intervals!B4)),0)+IF(B97=Queue_Intervals!A5,MAX(0,MIN(D97,Queue_Intervals!C5)-MAX(C97+120,Queue_Intervals!B5)),0)</x:f>
        <x:v>0</x:v>
      </x:c>
      <x:c r="L97" s="11" t="n">
        <x:f>MAX(0,F97-150)</x:f>
        <x:v>0</x:v>
      </x:c>
      <x:c r="M97" s="11" t="n">
        <x:f>IF(B97=Queue_Intervals!A2,MAX(0,MIN(D97,Queue_Intervals!C2)-MAX(C97+150,Queue_Intervals!B2)),0)+IF(B97=Queue_Intervals!A3,MAX(0,MIN(D97,Queue_Intervals!C3)-MAX(C97+150,Queue_Intervals!B3)),0)+IF(B97=Queue_Intervals!A4,MAX(0,MIN(D97,Queue_Intervals!C4)-MAX(C97+150,Queue_Intervals!B4)),0)+IF(B97=Queue_Intervals!A5,MAX(0,MIN(D97,Queue_Intervals!C5)-MAX(C97+150,Queue_Intervals!B5)),0)</x:f>
        <x:v>0</x:v>
      </x:c>
    </x:row>
    <x:row r="98" ht="25" customHeight="1">
      <x:c r="A98" s="11" t="str">
        <x:v>153_24</x:v>
      </x:c>
      <x:c r="B98" s="13" t="str">
        <x:v>153</x:v>
      </x:c>
      <x:c r="C98" s="13" t="n">
        <x:v>494</x:v>
      </x:c>
      <x:c r="D98" s="13" t="n">
        <x:v>615</x:v>
      </x:c>
      <x:c r="E98" s="13" t="str">
        <x:v>Walk in</x:v>
      </x:c>
      <x:c r="F98" s="13" t="n">
        <x:v>121</x:v>
      </x:c>
      <x:c r="G98" s="13" t="n">
        <x:v>1</x:v>
      </x:c>
      <x:c r="H98" s="11" t="n">
        <x:f>MAX(0,F98-90)</x:f>
        <x:v>31</x:v>
      </x:c>
      <x:c r="I98" s="11" t="n">
        <x:f>IF(B98=Queue_Intervals!A2,MAX(0,MIN(D98,Queue_Intervals!C2)-MAX(C98+90,Queue_Intervals!B2)),0)+IF(B98=Queue_Intervals!A3,MAX(0,MIN(D98,Queue_Intervals!C3)-MAX(C98+90,Queue_Intervals!B3)),0)+IF(B98=Queue_Intervals!A4,MAX(0,MIN(D98,Queue_Intervals!C4)-MAX(C98+90,Queue_Intervals!B4)),0)+IF(B98=Queue_Intervals!A5,MAX(0,MIN(D98,Queue_Intervals!C5)-MAX(C98+90,Queue_Intervals!B5)),0)</x:f>
        <x:v>31</x:v>
      </x:c>
      <x:c r="J98" s="11" t="n">
        <x:f>MAX(0,F98-120)</x:f>
        <x:v>1</x:v>
      </x:c>
      <x:c r="K98" s="11" t="n">
        <x:f>IF(B98=Queue_Intervals!A2,MAX(0,MIN(D98,Queue_Intervals!C2)-MAX(C98+120,Queue_Intervals!B2)),0)+IF(B98=Queue_Intervals!A3,MAX(0,MIN(D98,Queue_Intervals!C3)-MAX(C98+120,Queue_Intervals!B3)),0)+IF(B98=Queue_Intervals!A4,MAX(0,MIN(D98,Queue_Intervals!C4)-MAX(C98+120,Queue_Intervals!B4)),0)+IF(B98=Queue_Intervals!A5,MAX(0,MIN(D98,Queue_Intervals!C5)-MAX(C98+120,Queue_Intervals!B5)),0)</x:f>
        <x:v>1</x:v>
      </x:c>
      <x:c r="L98" s="11" t="n">
        <x:f>MAX(0,F98-150)</x:f>
        <x:v>0</x:v>
      </x:c>
      <x:c r="M98" s="11" t="n">
        <x:f>IF(B98=Queue_Intervals!A2,MAX(0,MIN(D98,Queue_Intervals!C2)-MAX(C98+150,Queue_Intervals!B2)),0)+IF(B98=Queue_Intervals!A3,MAX(0,MIN(D98,Queue_Intervals!C3)-MAX(C98+150,Queue_Intervals!B3)),0)+IF(B98=Queue_Intervals!A4,MAX(0,MIN(D98,Queue_Intervals!C4)-MAX(C98+150,Queue_Intervals!B4)),0)+IF(B98=Queue_Intervals!A5,MAX(0,MIN(D98,Queue_Intervals!C5)-MAX(C98+150,Queue_Intervals!B5)),0)</x:f>
        <x:v>0</x:v>
      </x:c>
    </x:row>
    <x:row r="99" ht="25" customHeight="1">
      <x:c r="A99" s="11" t="str">
        <x:v>153_25</x:v>
      </x:c>
      <x:c r="B99" s="13" t="str">
        <x:v>153</x:v>
      </x:c>
      <x:c r="C99" s="13" t="n">
        <x:v>495</x:v>
      </x:c>
      <x:c r="D99" s="13" t="n">
        <x:v>607</x:v>
      </x:c>
      <x:c r="E99" s="13" t="str">
        <x:v>Walk in</x:v>
      </x:c>
      <x:c r="F99" s="13" t="n">
        <x:v>112</x:v>
      </x:c>
      <x:c r="G99" s="13" t="n">
        <x:v>1</x:v>
      </x:c>
      <x:c r="H99" s="11" t="n">
        <x:f>MAX(0,F99-90)</x:f>
        <x:v>22</x:v>
      </x:c>
      <x:c r="I99" s="11" t="n">
        <x:f>IF(B99=Queue_Intervals!A2,MAX(0,MIN(D99,Queue_Intervals!C2)-MAX(C99+90,Queue_Intervals!B2)),0)+IF(B99=Queue_Intervals!A3,MAX(0,MIN(D99,Queue_Intervals!C3)-MAX(C99+90,Queue_Intervals!B3)),0)+IF(B99=Queue_Intervals!A4,MAX(0,MIN(D99,Queue_Intervals!C4)-MAX(C99+90,Queue_Intervals!B4)),0)+IF(B99=Queue_Intervals!A5,MAX(0,MIN(D99,Queue_Intervals!C5)-MAX(C99+90,Queue_Intervals!B5)),0)</x:f>
        <x:v>22</x:v>
      </x:c>
      <x:c r="J99" s="11" t="n">
        <x:f>MAX(0,F99-120)</x:f>
        <x:v>0</x:v>
      </x:c>
      <x:c r="K99" s="11" t="n">
        <x:f>IF(B99=Queue_Intervals!A2,MAX(0,MIN(D99,Queue_Intervals!C2)-MAX(C99+120,Queue_Intervals!B2)),0)+IF(B99=Queue_Intervals!A3,MAX(0,MIN(D99,Queue_Intervals!C3)-MAX(C99+120,Queue_Intervals!B3)),0)+IF(B99=Queue_Intervals!A4,MAX(0,MIN(D99,Queue_Intervals!C4)-MAX(C99+120,Queue_Intervals!B4)),0)+IF(B99=Queue_Intervals!A5,MAX(0,MIN(D99,Queue_Intervals!C5)-MAX(C99+120,Queue_Intervals!B5)),0)</x:f>
        <x:v>0</x:v>
      </x:c>
      <x:c r="L99" s="11" t="n">
        <x:f>MAX(0,F99-150)</x:f>
        <x:v>0</x:v>
      </x:c>
      <x:c r="M99" s="11" t="n">
        <x:f>IF(B99=Queue_Intervals!A2,MAX(0,MIN(D99,Queue_Intervals!C2)-MAX(C99+150,Queue_Intervals!B2)),0)+IF(B99=Queue_Intervals!A3,MAX(0,MIN(D99,Queue_Intervals!C3)-MAX(C99+150,Queue_Intervals!B3)),0)+IF(B99=Queue_Intervals!A4,MAX(0,MIN(D99,Queue_Intervals!C4)-MAX(C99+150,Queue_Intervals!B4)),0)+IF(B99=Queue_Intervals!A5,MAX(0,MIN(D99,Queue_Intervals!C5)-MAX(C99+150,Queue_Intervals!B5)),0)</x:f>
        <x:v>0</x:v>
      </x:c>
    </x:row>
    <x:row r="100" ht="25" customHeight="1">
      <x:c r="A100" s="11" t="str">
        <x:v>153_26</x:v>
      </x:c>
      <x:c r="B100" s="13" t="str">
        <x:v>153</x:v>
      </x:c>
      <x:c r="C100" s="13" t="n">
        <x:v>496</x:v>
      </x:c>
      <x:c r="D100" s="13" t="n">
        <x:v>573</x:v>
      </x:c>
      <x:c r="E100" s="13" t="str">
        <x:v>Walk in</x:v>
      </x:c>
      <x:c r="F100" s="13" t="n">
        <x:v>77</x:v>
      </x:c>
      <x:c r="G100" s="13" t="n">
        <x:v>1</x:v>
      </x:c>
      <x:c r="H100" s="11" t="n">
        <x:f>MAX(0,F100-90)</x:f>
        <x:v>0</x:v>
      </x:c>
      <x:c r="I100" s="11" t="n">
        <x:f>IF(B100=Queue_Intervals!A2,MAX(0,MIN(D100,Queue_Intervals!C2)-MAX(C100+90,Queue_Intervals!B2)),0)+IF(B100=Queue_Intervals!A3,MAX(0,MIN(D100,Queue_Intervals!C3)-MAX(C100+90,Queue_Intervals!B3)),0)+IF(B100=Queue_Intervals!A4,MAX(0,MIN(D100,Queue_Intervals!C4)-MAX(C100+90,Queue_Intervals!B4)),0)+IF(B100=Queue_Intervals!A5,MAX(0,MIN(D100,Queue_Intervals!C5)-MAX(C100+90,Queue_Intervals!B5)),0)</x:f>
        <x:v>0</x:v>
      </x:c>
      <x:c r="J100" s="11" t="n">
        <x:f>MAX(0,F100-120)</x:f>
        <x:v>0</x:v>
      </x:c>
      <x:c r="K100" s="11" t="n">
        <x:f>IF(B100=Queue_Intervals!A2,MAX(0,MIN(D100,Queue_Intervals!C2)-MAX(C100+120,Queue_Intervals!B2)),0)+IF(B100=Queue_Intervals!A3,MAX(0,MIN(D100,Queue_Intervals!C3)-MAX(C100+120,Queue_Intervals!B3)),0)+IF(B100=Queue_Intervals!A4,MAX(0,MIN(D100,Queue_Intervals!C4)-MAX(C100+120,Queue_Intervals!B4)),0)+IF(B100=Queue_Intervals!A5,MAX(0,MIN(D100,Queue_Intervals!C5)-MAX(C100+120,Queue_Intervals!B5)),0)</x:f>
        <x:v>0</x:v>
      </x:c>
      <x:c r="L100" s="11" t="n">
        <x:f>MAX(0,F100-150)</x:f>
        <x:v>0</x:v>
      </x:c>
      <x:c r="M100" s="11" t="n">
        <x:f>IF(B100=Queue_Intervals!A2,MAX(0,MIN(D100,Queue_Intervals!C2)-MAX(C100+150,Queue_Intervals!B2)),0)+IF(B100=Queue_Intervals!A3,MAX(0,MIN(D100,Queue_Intervals!C3)-MAX(C100+150,Queue_Intervals!B3)),0)+IF(B100=Queue_Intervals!A4,MAX(0,MIN(D100,Queue_Intervals!C4)-MAX(C100+150,Queue_Intervals!B4)),0)+IF(B100=Queue_Intervals!A5,MAX(0,MIN(D100,Queue_Intervals!C5)-MAX(C100+150,Queue_Intervals!B5)),0)</x:f>
        <x:v>0</x:v>
      </x:c>
    </x:row>
    <x:row r="101" ht="25" customHeight="1">
      <x:c r="A101" s="11" t="str">
        <x:v>153_27</x:v>
      </x:c>
      <x:c r="B101" s="13" t="str">
        <x:v>153</x:v>
      </x:c>
      <x:c r="C101" s="13" t="n">
        <x:v>496</x:v>
      </x:c>
      <x:c r="D101" s="13" t="n">
        <x:v>552</x:v>
      </x:c>
      <x:c r="E101" s="13" t="str">
        <x:v>Walk in</x:v>
      </x:c>
      <x:c r="F101" s="13" t="n">
        <x:v>56</x:v>
      </x:c>
      <x:c r="G101" s="13" t="n">
        <x:v>1</x:v>
      </x:c>
      <x:c r="H101" s="11" t="n">
        <x:f>MAX(0,F101-90)</x:f>
        <x:v>0</x:v>
      </x:c>
      <x:c r="I101" s="11" t="n">
        <x:f>IF(B101=Queue_Intervals!A2,MAX(0,MIN(D101,Queue_Intervals!C2)-MAX(C101+90,Queue_Intervals!B2)),0)+IF(B101=Queue_Intervals!A3,MAX(0,MIN(D101,Queue_Intervals!C3)-MAX(C101+90,Queue_Intervals!B3)),0)+IF(B101=Queue_Intervals!A4,MAX(0,MIN(D101,Queue_Intervals!C4)-MAX(C101+90,Queue_Intervals!B4)),0)+IF(B101=Queue_Intervals!A5,MAX(0,MIN(D101,Queue_Intervals!C5)-MAX(C101+90,Queue_Intervals!B5)),0)</x:f>
        <x:v>0</x:v>
      </x:c>
      <x:c r="J101" s="11" t="n">
        <x:f>MAX(0,F101-120)</x:f>
        <x:v>0</x:v>
      </x:c>
      <x:c r="K101" s="11" t="n">
        <x:f>IF(B101=Queue_Intervals!A2,MAX(0,MIN(D101,Queue_Intervals!C2)-MAX(C101+120,Queue_Intervals!B2)),0)+IF(B101=Queue_Intervals!A3,MAX(0,MIN(D101,Queue_Intervals!C3)-MAX(C101+120,Queue_Intervals!B3)),0)+IF(B101=Queue_Intervals!A4,MAX(0,MIN(D101,Queue_Intervals!C4)-MAX(C101+120,Queue_Intervals!B4)),0)+IF(B101=Queue_Intervals!A5,MAX(0,MIN(D101,Queue_Intervals!C5)-MAX(C101+120,Queue_Intervals!B5)),0)</x:f>
        <x:v>0</x:v>
      </x:c>
      <x:c r="L101" s="11" t="n">
        <x:f>MAX(0,F101-150)</x:f>
        <x:v>0</x:v>
      </x:c>
      <x:c r="M101" s="11" t="n">
        <x:f>IF(B101=Queue_Intervals!A2,MAX(0,MIN(D101,Queue_Intervals!C2)-MAX(C101+150,Queue_Intervals!B2)),0)+IF(B101=Queue_Intervals!A3,MAX(0,MIN(D101,Queue_Intervals!C3)-MAX(C101+150,Queue_Intervals!B3)),0)+IF(B101=Queue_Intervals!A4,MAX(0,MIN(D101,Queue_Intervals!C4)-MAX(C101+150,Queue_Intervals!B4)),0)+IF(B101=Queue_Intervals!A5,MAX(0,MIN(D101,Queue_Intervals!C5)-MAX(C101+150,Queue_Intervals!B5)),0)</x:f>
        <x:v>0</x:v>
      </x:c>
    </x:row>
    <x:row r="102" ht="25" customHeight="1">
      <x:c r="A102" s="11" t="str">
        <x:v>153_29</x:v>
      </x:c>
      <x:c r="B102" s="13" t="str">
        <x:v>153</x:v>
      </x:c>
      <x:c r="C102" s="13" t="n">
        <x:v>545</x:v>
      </x:c>
      <x:c r="D102" s="13" t="n">
        <x:v>695</x:v>
      </x:c>
      <x:c r="E102" s="13" t="str">
        <x:v>Walk in</x:v>
      </x:c>
      <x:c r="F102" s="13" t="n">
        <x:v>150</x:v>
      </x:c>
      <x:c r="G102" s="13" t="n">
        <x:v>1</x:v>
      </x:c>
      <x:c r="H102" s="11" t="n">
        <x:f>MAX(0,F102-90)</x:f>
        <x:v>60</x:v>
      </x:c>
      <x:c r="I102" s="11" t="n">
        <x:f>IF(B102=Queue_Intervals!A2,MAX(0,MIN(D102,Queue_Intervals!C2)-MAX(C102+90,Queue_Intervals!B2)),0)+IF(B102=Queue_Intervals!A3,MAX(0,MIN(D102,Queue_Intervals!C3)-MAX(C102+90,Queue_Intervals!B3)),0)+IF(B102=Queue_Intervals!A4,MAX(0,MIN(D102,Queue_Intervals!C4)-MAX(C102+90,Queue_Intervals!B4)),0)+IF(B102=Queue_Intervals!A5,MAX(0,MIN(D102,Queue_Intervals!C5)-MAX(C102+90,Queue_Intervals!B5)),0)</x:f>
        <x:v>60</x:v>
      </x:c>
      <x:c r="J102" s="11" t="n">
        <x:f>MAX(0,F102-120)</x:f>
        <x:v>30</x:v>
      </x:c>
      <x:c r="K102" s="11" t="n">
        <x:f>IF(B102=Queue_Intervals!A2,MAX(0,MIN(D102,Queue_Intervals!C2)-MAX(C102+120,Queue_Intervals!B2)),0)+IF(B102=Queue_Intervals!A3,MAX(0,MIN(D102,Queue_Intervals!C3)-MAX(C102+120,Queue_Intervals!B3)),0)+IF(B102=Queue_Intervals!A4,MAX(0,MIN(D102,Queue_Intervals!C4)-MAX(C102+120,Queue_Intervals!B4)),0)+IF(B102=Queue_Intervals!A5,MAX(0,MIN(D102,Queue_Intervals!C5)-MAX(C102+120,Queue_Intervals!B5)),0)</x:f>
        <x:v>30</x:v>
      </x:c>
      <x:c r="L102" s="11" t="n">
        <x:f>MAX(0,F102-150)</x:f>
        <x:v>0</x:v>
      </x:c>
      <x:c r="M102" s="11" t="n">
        <x:f>IF(B102=Queue_Intervals!A2,MAX(0,MIN(D102,Queue_Intervals!C2)-MAX(C102+150,Queue_Intervals!B2)),0)+IF(B102=Queue_Intervals!A3,MAX(0,MIN(D102,Queue_Intervals!C3)-MAX(C102+150,Queue_Intervals!B3)),0)+IF(B102=Queue_Intervals!A4,MAX(0,MIN(D102,Queue_Intervals!C4)-MAX(C102+150,Queue_Intervals!B4)),0)+IF(B102=Queue_Intervals!A5,MAX(0,MIN(D102,Queue_Intervals!C5)-MAX(C102+150,Queue_Intervals!B5)),0)</x:f>
        <x:v>0</x:v>
      </x:c>
    </x:row>
    <x:row r="103" ht="25" customHeight="1">
      <x:c r="A103" s="11" t="str">
        <x:v>153_32</x:v>
      </x:c>
      <x:c r="B103" s="13" t="str">
        <x:v>153</x:v>
      </x:c>
      <x:c r="C103" s="13" t="n">
        <x:v>550</x:v>
      </x:c>
      <x:c r="D103" s="13" t="n">
        <x:v>633</x:v>
      </x:c>
      <x:c r="E103" s="13" t="str">
        <x:v>Walk in</x:v>
      </x:c>
      <x:c r="F103" s="13" t="n">
        <x:v>83</x:v>
      </x:c>
      <x:c r="G103" s="13" t="n">
        <x:v>1</x:v>
      </x:c>
      <x:c r="H103" s="11" t="n">
        <x:f>MAX(0,F103-90)</x:f>
        <x:v>0</x:v>
      </x:c>
      <x:c r="I103" s="11" t="n">
        <x:f>IF(B103=Queue_Intervals!A2,MAX(0,MIN(D103,Queue_Intervals!C2)-MAX(C103+90,Queue_Intervals!B2)),0)+IF(B103=Queue_Intervals!A3,MAX(0,MIN(D103,Queue_Intervals!C3)-MAX(C103+90,Queue_Intervals!B3)),0)+IF(B103=Queue_Intervals!A4,MAX(0,MIN(D103,Queue_Intervals!C4)-MAX(C103+90,Queue_Intervals!B4)),0)+IF(B103=Queue_Intervals!A5,MAX(0,MIN(D103,Queue_Intervals!C5)-MAX(C103+90,Queue_Intervals!B5)),0)</x:f>
        <x:v>0</x:v>
      </x:c>
      <x:c r="J103" s="11" t="n">
        <x:f>MAX(0,F103-120)</x:f>
        <x:v>0</x:v>
      </x:c>
      <x:c r="K103" s="11" t="n">
        <x:f>IF(B103=Queue_Intervals!A2,MAX(0,MIN(D103,Queue_Intervals!C2)-MAX(C103+120,Queue_Intervals!B2)),0)+IF(B103=Queue_Intervals!A3,MAX(0,MIN(D103,Queue_Intervals!C3)-MAX(C103+120,Queue_Intervals!B3)),0)+IF(B103=Queue_Intervals!A4,MAX(0,MIN(D103,Queue_Intervals!C4)-MAX(C103+120,Queue_Intervals!B4)),0)+IF(B103=Queue_Intervals!A5,MAX(0,MIN(D103,Queue_Intervals!C5)-MAX(C103+120,Queue_Intervals!B5)),0)</x:f>
        <x:v>0</x:v>
      </x:c>
      <x:c r="L103" s="11" t="n">
        <x:f>MAX(0,F103-150)</x:f>
        <x:v>0</x:v>
      </x:c>
      <x:c r="M103" s="11" t="n">
        <x:f>IF(B103=Queue_Intervals!A2,MAX(0,MIN(D103,Queue_Intervals!C2)-MAX(C103+150,Queue_Intervals!B2)),0)+IF(B103=Queue_Intervals!A3,MAX(0,MIN(D103,Queue_Intervals!C3)-MAX(C103+150,Queue_Intervals!B3)),0)+IF(B103=Queue_Intervals!A4,MAX(0,MIN(D103,Queue_Intervals!C4)-MAX(C103+150,Queue_Intervals!B4)),0)+IF(B103=Queue_Intervals!A5,MAX(0,MIN(D103,Queue_Intervals!C5)-MAX(C103+150,Queue_Intervals!B5)),0)</x:f>
        <x:v>0</x:v>
      </x:c>
    </x:row>
    <x:row r="104" ht="25" customHeight="1">
      <x:c r="A104" s="11" t="str">
        <x:v>153_33</x:v>
      </x:c>
      <x:c r="B104" s="13" t="str">
        <x:v>153</x:v>
      </x:c>
      <x:c r="C104" s="13" t="n">
        <x:v>553</x:v>
      </x:c>
      <x:c r="D104" s="13" t="n">
        <x:v>620</x:v>
      </x:c>
      <x:c r="E104" s="13" t="str">
        <x:v>Walk in</x:v>
      </x:c>
      <x:c r="F104" s="13" t="n">
        <x:v>67</x:v>
      </x:c>
      <x:c r="G104" s="13" t="n">
        <x:v>1</x:v>
      </x:c>
      <x:c r="H104" s="11" t="n">
        <x:f>MAX(0,F104-90)</x:f>
        <x:v>0</x:v>
      </x:c>
      <x:c r="I104" s="11" t="n">
        <x:f>IF(B104=Queue_Intervals!A2,MAX(0,MIN(D104,Queue_Intervals!C2)-MAX(C104+90,Queue_Intervals!B2)),0)+IF(B104=Queue_Intervals!A3,MAX(0,MIN(D104,Queue_Intervals!C3)-MAX(C104+90,Queue_Intervals!B3)),0)+IF(B104=Queue_Intervals!A4,MAX(0,MIN(D104,Queue_Intervals!C4)-MAX(C104+90,Queue_Intervals!B4)),0)+IF(B104=Queue_Intervals!A5,MAX(0,MIN(D104,Queue_Intervals!C5)-MAX(C104+90,Queue_Intervals!B5)),0)</x:f>
        <x:v>0</x:v>
      </x:c>
      <x:c r="J104" s="11" t="n">
        <x:f>MAX(0,F104-120)</x:f>
        <x:v>0</x:v>
      </x:c>
      <x:c r="K104" s="11" t="n">
        <x:f>IF(B104=Queue_Intervals!A2,MAX(0,MIN(D104,Queue_Intervals!C2)-MAX(C104+120,Queue_Intervals!B2)),0)+IF(B104=Queue_Intervals!A3,MAX(0,MIN(D104,Queue_Intervals!C3)-MAX(C104+120,Queue_Intervals!B3)),0)+IF(B104=Queue_Intervals!A4,MAX(0,MIN(D104,Queue_Intervals!C4)-MAX(C104+120,Queue_Intervals!B4)),0)+IF(B104=Queue_Intervals!A5,MAX(0,MIN(D104,Queue_Intervals!C5)-MAX(C104+120,Queue_Intervals!B5)),0)</x:f>
        <x:v>0</x:v>
      </x:c>
      <x:c r="L104" s="11" t="n">
        <x:f>MAX(0,F104-150)</x:f>
        <x:v>0</x:v>
      </x:c>
      <x:c r="M104" s="11" t="n">
        <x:f>IF(B104=Queue_Intervals!A2,MAX(0,MIN(D104,Queue_Intervals!C2)-MAX(C104+150,Queue_Intervals!B2)),0)+IF(B104=Queue_Intervals!A3,MAX(0,MIN(D104,Queue_Intervals!C3)-MAX(C104+150,Queue_Intervals!B3)),0)+IF(B104=Queue_Intervals!A4,MAX(0,MIN(D104,Queue_Intervals!C4)-MAX(C104+150,Queue_Intervals!B4)),0)+IF(B104=Queue_Intervals!A5,MAX(0,MIN(D104,Queue_Intervals!C5)-MAX(C104+150,Queue_Intervals!B5)),0)</x:f>
        <x:v>0</x:v>
      </x:c>
    </x:row>
    <x:row r="105" ht="25" customHeight="1">
      <x:c r="A105" s="11" t="str">
        <x:v>153_34</x:v>
      </x:c>
      <x:c r="B105" s="13" t="str">
        <x:v>153</x:v>
      </x:c>
      <x:c r="C105" s="13" t="n">
        <x:v>555</x:v>
      </x:c>
      <x:c r="D105" s="13" t="n">
        <x:v>581</x:v>
      </x:c>
      <x:c r="E105" s="13" t="str">
        <x:v>Walk in</x:v>
      </x:c>
      <x:c r="F105" s="13" t="n">
        <x:v>26</x:v>
      </x:c>
      <x:c r="G105" s="13" t="n">
        <x:v>1</x:v>
      </x:c>
      <x:c r="H105" s="11" t="n">
        <x:f>MAX(0,F105-90)</x:f>
        <x:v>0</x:v>
      </x:c>
      <x:c r="I105" s="11" t="n">
        <x:f>IF(B105=Queue_Intervals!A2,MAX(0,MIN(D105,Queue_Intervals!C2)-MAX(C105+90,Queue_Intervals!B2)),0)+IF(B105=Queue_Intervals!A3,MAX(0,MIN(D105,Queue_Intervals!C3)-MAX(C105+90,Queue_Intervals!B3)),0)+IF(B105=Queue_Intervals!A4,MAX(0,MIN(D105,Queue_Intervals!C4)-MAX(C105+90,Queue_Intervals!B4)),0)+IF(B105=Queue_Intervals!A5,MAX(0,MIN(D105,Queue_Intervals!C5)-MAX(C105+90,Queue_Intervals!B5)),0)</x:f>
        <x:v>0</x:v>
      </x:c>
      <x:c r="J105" s="11" t="n">
        <x:f>MAX(0,F105-120)</x:f>
        <x:v>0</x:v>
      </x:c>
      <x:c r="K105" s="11" t="n">
        <x:f>IF(B105=Queue_Intervals!A2,MAX(0,MIN(D105,Queue_Intervals!C2)-MAX(C105+120,Queue_Intervals!B2)),0)+IF(B105=Queue_Intervals!A3,MAX(0,MIN(D105,Queue_Intervals!C3)-MAX(C105+120,Queue_Intervals!B3)),0)+IF(B105=Queue_Intervals!A4,MAX(0,MIN(D105,Queue_Intervals!C4)-MAX(C105+120,Queue_Intervals!B4)),0)+IF(B105=Queue_Intervals!A5,MAX(0,MIN(D105,Queue_Intervals!C5)-MAX(C105+120,Queue_Intervals!B5)),0)</x:f>
        <x:v>0</x:v>
      </x:c>
      <x:c r="L105" s="11" t="n">
        <x:f>MAX(0,F105-150)</x:f>
        <x:v>0</x:v>
      </x:c>
      <x:c r="M105" s="11" t="n">
        <x:f>IF(B105=Queue_Intervals!A2,MAX(0,MIN(D105,Queue_Intervals!C2)-MAX(C105+150,Queue_Intervals!B2)),0)+IF(B105=Queue_Intervals!A3,MAX(0,MIN(D105,Queue_Intervals!C3)-MAX(C105+150,Queue_Intervals!B3)),0)+IF(B105=Queue_Intervals!A4,MAX(0,MIN(D105,Queue_Intervals!C4)-MAX(C105+150,Queue_Intervals!B4)),0)+IF(B105=Queue_Intervals!A5,MAX(0,MIN(D105,Queue_Intervals!C5)-MAX(C105+150,Queue_Intervals!B5)),0)</x:f>
        <x:v>0</x:v>
      </x:c>
    </x:row>
    <x:row r="106" ht="25" customHeight="1">
      <x:c r="A106" s="11" t="str">
        <x:v>153_35</x:v>
      </x:c>
      <x:c r="B106" s="13" t="str">
        <x:v>153</x:v>
      </x:c>
      <x:c r="C106" s="13" t="n">
        <x:v>556</x:v>
      </x:c>
      <x:c r="D106" s="13" t="n">
        <x:v>603</x:v>
      </x:c>
      <x:c r="E106" s="13" t="str">
        <x:v>Walk in</x:v>
      </x:c>
      <x:c r="F106" s="13" t="n">
        <x:v>47</x:v>
      </x:c>
      <x:c r="G106" s="13" t="n">
        <x:v>1</x:v>
      </x:c>
      <x:c r="H106" s="11" t="n">
        <x:f>MAX(0,F106-90)</x:f>
        <x:v>0</x:v>
      </x:c>
      <x:c r="I106" s="11" t="n">
        <x:f>IF(B106=Queue_Intervals!A2,MAX(0,MIN(D106,Queue_Intervals!C2)-MAX(C106+90,Queue_Intervals!B2)),0)+IF(B106=Queue_Intervals!A3,MAX(0,MIN(D106,Queue_Intervals!C3)-MAX(C106+90,Queue_Intervals!B3)),0)+IF(B106=Queue_Intervals!A4,MAX(0,MIN(D106,Queue_Intervals!C4)-MAX(C106+90,Queue_Intervals!B4)),0)+IF(B106=Queue_Intervals!A5,MAX(0,MIN(D106,Queue_Intervals!C5)-MAX(C106+90,Queue_Intervals!B5)),0)</x:f>
        <x:v>0</x:v>
      </x:c>
      <x:c r="J106" s="11" t="n">
        <x:f>MAX(0,F106-120)</x:f>
        <x:v>0</x:v>
      </x:c>
      <x:c r="K106" s="11" t="n">
        <x:f>IF(B106=Queue_Intervals!A2,MAX(0,MIN(D106,Queue_Intervals!C2)-MAX(C106+120,Queue_Intervals!B2)),0)+IF(B106=Queue_Intervals!A3,MAX(0,MIN(D106,Queue_Intervals!C3)-MAX(C106+120,Queue_Intervals!B3)),0)+IF(B106=Queue_Intervals!A4,MAX(0,MIN(D106,Queue_Intervals!C4)-MAX(C106+120,Queue_Intervals!B4)),0)+IF(B106=Queue_Intervals!A5,MAX(0,MIN(D106,Queue_Intervals!C5)-MAX(C106+120,Queue_Intervals!B5)),0)</x:f>
        <x:v>0</x:v>
      </x:c>
      <x:c r="L106" s="11" t="n">
        <x:f>MAX(0,F106-150)</x:f>
        <x:v>0</x:v>
      </x:c>
      <x:c r="M106" s="11" t="n">
        <x:f>IF(B106=Queue_Intervals!A2,MAX(0,MIN(D106,Queue_Intervals!C2)-MAX(C106+150,Queue_Intervals!B2)),0)+IF(B106=Queue_Intervals!A3,MAX(0,MIN(D106,Queue_Intervals!C3)-MAX(C106+150,Queue_Intervals!B3)),0)+IF(B106=Queue_Intervals!A4,MAX(0,MIN(D106,Queue_Intervals!C4)-MAX(C106+150,Queue_Intervals!B4)),0)+IF(B106=Queue_Intervals!A5,MAX(0,MIN(D106,Queue_Intervals!C5)-MAX(C106+150,Queue_Intervals!B5)),0)</x:f>
        <x:v>0</x:v>
      </x:c>
    </x:row>
    <x:row r="107" ht="25" customHeight="1">
      <x:c r="A107" s="11" t="str">
        <x:v>153_36</x:v>
      </x:c>
      <x:c r="B107" s="13" t="str">
        <x:v>153</x:v>
      </x:c>
      <x:c r="C107" s="13" t="n">
        <x:v>567</x:v>
      </x:c>
      <x:c r="D107" s="13" t="n">
        <x:v>644</x:v>
      </x:c>
      <x:c r="E107" s="13" t="str">
        <x:v>Walk in</x:v>
      </x:c>
      <x:c r="F107" s="13" t="n">
        <x:v>77</x:v>
      </x:c>
      <x:c r="G107" s="13" t="n">
        <x:v>1</x:v>
      </x:c>
      <x:c r="H107" s="11" t="n">
        <x:f>MAX(0,F107-90)</x:f>
        <x:v>0</x:v>
      </x:c>
      <x:c r="I107" s="11" t="n">
        <x:f>IF(B107=Queue_Intervals!A2,MAX(0,MIN(D107,Queue_Intervals!C2)-MAX(C107+90,Queue_Intervals!B2)),0)+IF(B107=Queue_Intervals!A3,MAX(0,MIN(D107,Queue_Intervals!C3)-MAX(C107+90,Queue_Intervals!B3)),0)+IF(B107=Queue_Intervals!A4,MAX(0,MIN(D107,Queue_Intervals!C4)-MAX(C107+90,Queue_Intervals!B4)),0)+IF(B107=Queue_Intervals!A5,MAX(0,MIN(D107,Queue_Intervals!C5)-MAX(C107+90,Queue_Intervals!B5)),0)</x:f>
        <x:v>0</x:v>
      </x:c>
      <x:c r="J107" s="11" t="n">
        <x:f>MAX(0,F107-120)</x:f>
        <x:v>0</x:v>
      </x:c>
      <x:c r="K107" s="11" t="n">
        <x:f>IF(B107=Queue_Intervals!A2,MAX(0,MIN(D107,Queue_Intervals!C2)-MAX(C107+120,Queue_Intervals!B2)),0)+IF(B107=Queue_Intervals!A3,MAX(0,MIN(D107,Queue_Intervals!C3)-MAX(C107+120,Queue_Intervals!B3)),0)+IF(B107=Queue_Intervals!A4,MAX(0,MIN(D107,Queue_Intervals!C4)-MAX(C107+120,Queue_Intervals!B4)),0)+IF(B107=Queue_Intervals!A5,MAX(0,MIN(D107,Queue_Intervals!C5)-MAX(C107+120,Queue_Intervals!B5)),0)</x:f>
        <x:v>0</x:v>
      </x:c>
      <x:c r="L107" s="11" t="n">
        <x:f>MAX(0,F107-150)</x:f>
        <x:v>0</x:v>
      </x:c>
      <x:c r="M107" s="11" t="n">
        <x:f>IF(B107=Queue_Intervals!A2,MAX(0,MIN(D107,Queue_Intervals!C2)-MAX(C107+150,Queue_Intervals!B2)),0)+IF(B107=Queue_Intervals!A3,MAX(0,MIN(D107,Queue_Intervals!C3)-MAX(C107+150,Queue_Intervals!B3)),0)+IF(B107=Queue_Intervals!A4,MAX(0,MIN(D107,Queue_Intervals!C4)-MAX(C107+150,Queue_Intervals!B4)),0)+IF(B107=Queue_Intervals!A5,MAX(0,MIN(D107,Queue_Intervals!C5)-MAX(C107+150,Queue_Intervals!B5)),0)</x:f>
        <x:v>0</x:v>
      </x:c>
    </x:row>
    <x:row r="108" ht="25" customHeight="1">
      <x:c r="A108" s="11" t="str">
        <x:v>153_38</x:v>
      </x:c>
      <x:c r="B108" s="13" t="str">
        <x:v>153</x:v>
      </x:c>
      <x:c r="C108" s="13" t="n">
        <x:v>590</x:v>
      </x:c>
      <x:c r="D108" s="13" t="n">
        <x:v>720</x:v>
      </x:c>
      <x:c r="E108" s="13" t="str">
        <x:v>Walk in</x:v>
      </x:c>
      <x:c r="F108" s="13" t="n">
        <x:v>130</x:v>
      </x:c>
      <x:c r="G108" s="13" t="n">
        <x:v>1</x:v>
      </x:c>
      <x:c r="H108" s="11" t="n">
        <x:f>MAX(0,F108-90)</x:f>
        <x:v>40</x:v>
      </x:c>
      <x:c r="I108" s="11" t="n">
        <x:f>IF(B108=Queue_Intervals!A2,MAX(0,MIN(D108,Queue_Intervals!C2)-MAX(C108+90,Queue_Intervals!B2)),0)+IF(B108=Queue_Intervals!A3,MAX(0,MIN(D108,Queue_Intervals!C3)-MAX(C108+90,Queue_Intervals!B3)),0)+IF(B108=Queue_Intervals!A4,MAX(0,MIN(D108,Queue_Intervals!C4)-MAX(C108+90,Queue_Intervals!B4)),0)+IF(B108=Queue_Intervals!A5,MAX(0,MIN(D108,Queue_Intervals!C5)-MAX(C108+90,Queue_Intervals!B5)),0)</x:f>
        <x:v>20</x:v>
      </x:c>
      <x:c r="J108" s="11" t="n">
        <x:f>MAX(0,F108-120)</x:f>
        <x:v>10</x:v>
      </x:c>
      <x:c r="K108" s="11" t="n">
        <x:f>IF(B108=Queue_Intervals!A2,MAX(0,MIN(D108,Queue_Intervals!C2)-MAX(C108+120,Queue_Intervals!B2)),0)+IF(B108=Queue_Intervals!A3,MAX(0,MIN(D108,Queue_Intervals!C3)-MAX(C108+120,Queue_Intervals!B3)),0)+IF(B108=Queue_Intervals!A4,MAX(0,MIN(D108,Queue_Intervals!C4)-MAX(C108+120,Queue_Intervals!B4)),0)+IF(B108=Queue_Intervals!A5,MAX(0,MIN(D108,Queue_Intervals!C5)-MAX(C108+120,Queue_Intervals!B5)),0)</x:f>
        <x:v>0</x:v>
      </x:c>
      <x:c r="L108" s="11" t="n">
        <x:f>MAX(0,F108-150)</x:f>
        <x:v>0</x:v>
      </x:c>
      <x:c r="M108" s="11" t="n">
        <x:f>IF(B108=Queue_Intervals!A2,MAX(0,MIN(D108,Queue_Intervals!C2)-MAX(C108+150,Queue_Intervals!B2)),0)+IF(B108=Queue_Intervals!A3,MAX(0,MIN(D108,Queue_Intervals!C3)-MAX(C108+150,Queue_Intervals!B3)),0)+IF(B108=Queue_Intervals!A4,MAX(0,MIN(D108,Queue_Intervals!C4)-MAX(C108+150,Queue_Intervals!B4)),0)+IF(B108=Queue_Intervals!A5,MAX(0,MIN(D108,Queue_Intervals!C5)-MAX(C108+150,Queue_Intervals!B5)),0)</x:f>
        <x:v>0</x:v>
      </x:c>
    </x:row>
    <x:row r="109" ht="25" customHeight="1">
      <x:c r="A109" s="11" t="str">
        <x:v>153_39</x:v>
      </x:c>
      <x:c r="B109" s="13" t="str">
        <x:v>153</x:v>
      </x:c>
      <x:c r="C109" s="13" t="n">
        <x:v>540</x:v>
      </x:c>
      <x:c r="D109" s="13" t="n">
        <x:v>652</x:v>
      </x:c>
      <x:c r="E109" s="13" t="str">
        <x:v>Walk in</x:v>
      </x:c>
      <x:c r="F109" s="13" t="n">
        <x:v>112</x:v>
      </x:c>
      <x:c r="G109" s="13" t="n">
        <x:v>1</x:v>
      </x:c>
      <x:c r="H109" s="11" t="n">
        <x:f>MAX(0,F109-90)</x:f>
        <x:v>22</x:v>
      </x:c>
      <x:c r="I109" s="11" t="n">
        <x:f>IF(B109=Queue_Intervals!A2,MAX(0,MIN(D109,Queue_Intervals!C2)-MAX(C109+90,Queue_Intervals!B2)),0)+IF(B109=Queue_Intervals!A3,MAX(0,MIN(D109,Queue_Intervals!C3)-MAX(C109+90,Queue_Intervals!B3)),0)+IF(B109=Queue_Intervals!A4,MAX(0,MIN(D109,Queue_Intervals!C4)-MAX(C109+90,Queue_Intervals!B4)),0)+IF(B109=Queue_Intervals!A5,MAX(0,MIN(D109,Queue_Intervals!C5)-MAX(C109+90,Queue_Intervals!B5)),0)</x:f>
        <x:v>22</x:v>
      </x:c>
      <x:c r="J109" s="11" t="n">
        <x:f>MAX(0,F109-120)</x:f>
        <x:v>0</x:v>
      </x:c>
      <x:c r="K109" s="11" t="n">
        <x:f>IF(B109=Queue_Intervals!A2,MAX(0,MIN(D109,Queue_Intervals!C2)-MAX(C109+120,Queue_Intervals!B2)),0)+IF(B109=Queue_Intervals!A3,MAX(0,MIN(D109,Queue_Intervals!C3)-MAX(C109+120,Queue_Intervals!B3)),0)+IF(B109=Queue_Intervals!A4,MAX(0,MIN(D109,Queue_Intervals!C4)-MAX(C109+120,Queue_Intervals!B4)),0)+IF(B109=Queue_Intervals!A5,MAX(0,MIN(D109,Queue_Intervals!C5)-MAX(C109+120,Queue_Intervals!B5)),0)</x:f>
        <x:v>0</x:v>
      </x:c>
      <x:c r="L109" s="11" t="n">
        <x:f>MAX(0,F109-150)</x:f>
        <x:v>0</x:v>
      </x:c>
      <x:c r="M109" s="11" t="n">
        <x:f>IF(B109=Queue_Intervals!A2,MAX(0,MIN(D109,Queue_Intervals!C2)-MAX(C109+150,Queue_Intervals!B2)),0)+IF(B109=Queue_Intervals!A3,MAX(0,MIN(D109,Queue_Intervals!C3)-MAX(C109+150,Queue_Intervals!B3)),0)+IF(B109=Queue_Intervals!A4,MAX(0,MIN(D109,Queue_Intervals!C4)-MAX(C109+150,Queue_Intervals!B4)),0)+IF(B109=Queue_Intervals!A5,MAX(0,MIN(D109,Queue_Intervals!C5)-MAX(C109+150,Queue_Intervals!B5)),0)</x:f>
        <x:v>0</x:v>
      </x:c>
    </x:row>
    <x:row r="110" ht="25" customHeight="1">
      <x:c r="A110" s="11" t="str">
        <x:v>153_41</x:v>
      </x:c>
      <x:c r="B110" s="13" t="str">
        <x:v>153</x:v>
      </x:c>
      <x:c r="C110" s="13" t="n">
        <x:v>565</x:v>
      </x:c>
      <x:c r="D110" s="13" t="n">
        <x:v>601</x:v>
      </x:c>
      <x:c r="E110" s="13" t="str">
        <x:v>Walk in</x:v>
      </x:c>
      <x:c r="F110" s="13" t="n">
        <x:v>36</x:v>
      </x:c>
      <x:c r="G110" s="13" t="n">
        <x:v>1</x:v>
      </x:c>
      <x:c r="H110" s="11" t="n">
        <x:f>MAX(0,F110-90)</x:f>
        <x:v>0</x:v>
      </x:c>
      <x:c r="I110" s="11" t="n">
        <x:f>IF(B110=Queue_Intervals!A2,MAX(0,MIN(D110,Queue_Intervals!C2)-MAX(C110+90,Queue_Intervals!B2)),0)+IF(B110=Queue_Intervals!A3,MAX(0,MIN(D110,Queue_Intervals!C3)-MAX(C110+90,Queue_Intervals!B3)),0)+IF(B110=Queue_Intervals!A4,MAX(0,MIN(D110,Queue_Intervals!C4)-MAX(C110+90,Queue_Intervals!B4)),0)+IF(B110=Queue_Intervals!A5,MAX(0,MIN(D110,Queue_Intervals!C5)-MAX(C110+90,Queue_Intervals!B5)),0)</x:f>
        <x:v>0</x:v>
      </x:c>
      <x:c r="J110" s="11" t="n">
        <x:f>MAX(0,F110-120)</x:f>
        <x:v>0</x:v>
      </x:c>
      <x:c r="K110" s="11" t="n">
        <x:f>IF(B110=Queue_Intervals!A2,MAX(0,MIN(D110,Queue_Intervals!C2)-MAX(C110+120,Queue_Intervals!B2)),0)+IF(B110=Queue_Intervals!A3,MAX(0,MIN(D110,Queue_Intervals!C3)-MAX(C110+120,Queue_Intervals!B3)),0)+IF(B110=Queue_Intervals!A4,MAX(0,MIN(D110,Queue_Intervals!C4)-MAX(C110+120,Queue_Intervals!B4)),0)+IF(B110=Queue_Intervals!A5,MAX(0,MIN(D110,Queue_Intervals!C5)-MAX(C110+120,Queue_Intervals!B5)),0)</x:f>
        <x:v>0</x:v>
      </x:c>
      <x:c r="L110" s="11" t="n">
        <x:f>MAX(0,F110-150)</x:f>
        <x:v>0</x:v>
      </x:c>
      <x:c r="M110" s="11" t="n">
        <x:f>IF(B110=Queue_Intervals!A2,MAX(0,MIN(D110,Queue_Intervals!C2)-MAX(C110+150,Queue_Intervals!B2)),0)+IF(B110=Queue_Intervals!A3,MAX(0,MIN(D110,Queue_Intervals!C3)-MAX(C110+150,Queue_Intervals!B3)),0)+IF(B110=Queue_Intervals!A4,MAX(0,MIN(D110,Queue_Intervals!C4)-MAX(C110+150,Queue_Intervals!B4)),0)+IF(B110=Queue_Intervals!A5,MAX(0,MIN(D110,Queue_Intervals!C5)-MAX(C110+150,Queue_Intervals!B5)),0)</x:f>
        <x:v>0</x:v>
      </x:c>
    </x:row>
    <x:row r="111" ht="25" customHeight="1">
      <x:c r="A111" s="11" t="str">
        <x:v>153_43</x:v>
      </x:c>
      <x:c r="B111" s="13" t="str">
        <x:v>153</x:v>
      </x:c>
      <x:c r="C111" s="13" t="n">
        <x:v>565</x:v>
      </x:c>
      <x:c r="D111" s="13" t="n">
        <x:v>701</x:v>
      </x:c>
      <x:c r="E111" s="13" t="str">
        <x:v>Walk in</x:v>
      </x:c>
      <x:c r="F111" s="13" t="n">
        <x:v>136</x:v>
      </x:c>
      <x:c r="G111" s="13" t="n">
        <x:v>1</x:v>
      </x:c>
      <x:c r="H111" s="11" t="n">
        <x:f>MAX(0,F111-90)</x:f>
        <x:v>46</x:v>
      </x:c>
      <x:c r="I111" s="11" t="n">
        <x:f>IF(B111=Queue_Intervals!A2,MAX(0,MIN(D111,Queue_Intervals!C2)-MAX(C111+90,Queue_Intervals!B2)),0)+IF(B111=Queue_Intervals!A3,MAX(0,MIN(D111,Queue_Intervals!C3)-MAX(C111+90,Queue_Intervals!B3)),0)+IF(B111=Queue_Intervals!A4,MAX(0,MIN(D111,Queue_Intervals!C4)-MAX(C111+90,Queue_Intervals!B4)),0)+IF(B111=Queue_Intervals!A5,MAX(0,MIN(D111,Queue_Intervals!C5)-MAX(C111+90,Queue_Intervals!B5)),0)</x:f>
        <x:v>45</x:v>
      </x:c>
      <x:c r="J111" s="11" t="n">
        <x:f>MAX(0,F111-120)</x:f>
        <x:v>16</x:v>
      </x:c>
      <x:c r="K111" s="11" t="n">
        <x:f>IF(B111=Queue_Intervals!A2,MAX(0,MIN(D111,Queue_Intervals!C2)-MAX(C111+120,Queue_Intervals!B2)),0)+IF(B111=Queue_Intervals!A3,MAX(0,MIN(D111,Queue_Intervals!C3)-MAX(C111+120,Queue_Intervals!B3)),0)+IF(B111=Queue_Intervals!A4,MAX(0,MIN(D111,Queue_Intervals!C4)-MAX(C111+120,Queue_Intervals!B4)),0)+IF(B111=Queue_Intervals!A5,MAX(0,MIN(D111,Queue_Intervals!C5)-MAX(C111+120,Queue_Intervals!B5)),0)</x:f>
        <x:v>15</x:v>
      </x:c>
      <x:c r="L111" s="11" t="n">
        <x:f>MAX(0,F111-150)</x:f>
        <x:v>0</x:v>
      </x:c>
      <x:c r="M111" s="11" t="n">
        <x:f>IF(B111=Queue_Intervals!A2,MAX(0,MIN(D111,Queue_Intervals!C2)-MAX(C111+150,Queue_Intervals!B2)),0)+IF(B111=Queue_Intervals!A3,MAX(0,MIN(D111,Queue_Intervals!C3)-MAX(C111+150,Queue_Intervals!B3)),0)+IF(B111=Queue_Intervals!A4,MAX(0,MIN(D111,Queue_Intervals!C4)-MAX(C111+150,Queue_Intervals!B4)),0)+IF(B111=Queue_Intervals!A5,MAX(0,MIN(D111,Queue_Intervals!C5)-MAX(C111+150,Queue_Intervals!B5)),0)</x:f>
        <x:v>0</x:v>
      </x:c>
    </x:row>
    <x:row r="112" ht="25" customHeight="1">
      <x:c r="A112" s="11" t="str">
        <x:v>153_44</x:v>
      </x:c>
      <x:c r="B112" s="13" t="str">
        <x:v>153</x:v>
      </x:c>
      <x:c r="C112" s="13" t="n">
        <x:v>573</x:v>
      </x:c>
      <x:c r="D112" s="13" t="n">
        <x:v>644</x:v>
      </x:c>
      <x:c r="E112" s="13" t="str">
        <x:v>Walk in</x:v>
      </x:c>
      <x:c r="F112" s="13" t="n">
        <x:v>71</x:v>
      </x:c>
      <x:c r="G112" s="13" t="n">
        <x:v>1</x:v>
      </x:c>
      <x:c r="H112" s="11" t="n">
        <x:f>MAX(0,F112-90)</x:f>
        <x:v>0</x:v>
      </x:c>
      <x:c r="I112" s="11" t="n">
        <x:f>IF(B112=Queue_Intervals!A2,MAX(0,MIN(D112,Queue_Intervals!C2)-MAX(C112+90,Queue_Intervals!B2)),0)+IF(B112=Queue_Intervals!A3,MAX(0,MIN(D112,Queue_Intervals!C3)-MAX(C112+90,Queue_Intervals!B3)),0)+IF(B112=Queue_Intervals!A4,MAX(0,MIN(D112,Queue_Intervals!C4)-MAX(C112+90,Queue_Intervals!B4)),0)+IF(B112=Queue_Intervals!A5,MAX(0,MIN(D112,Queue_Intervals!C5)-MAX(C112+90,Queue_Intervals!B5)),0)</x:f>
        <x:v>0</x:v>
      </x:c>
      <x:c r="J112" s="11" t="n">
        <x:f>MAX(0,F112-120)</x:f>
        <x:v>0</x:v>
      </x:c>
      <x:c r="K112" s="11" t="n">
        <x:f>IF(B112=Queue_Intervals!A2,MAX(0,MIN(D112,Queue_Intervals!C2)-MAX(C112+120,Queue_Intervals!B2)),0)+IF(B112=Queue_Intervals!A3,MAX(0,MIN(D112,Queue_Intervals!C3)-MAX(C112+120,Queue_Intervals!B3)),0)+IF(B112=Queue_Intervals!A4,MAX(0,MIN(D112,Queue_Intervals!C4)-MAX(C112+120,Queue_Intervals!B4)),0)+IF(B112=Queue_Intervals!A5,MAX(0,MIN(D112,Queue_Intervals!C5)-MAX(C112+120,Queue_Intervals!B5)),0)</x:f>
        <x:v>0</x:v>
      </x:c>
      <x:c r="L112" s="11" t="n">
        <x:f>MAX(0,F112-150)</x:f>
        <x:v>0</x:v>
      </x:c>
      <x:c r="M112" s="11" t="n">
        <x:f>IF(B112=Queue_Intervals!A2,MAX(0,MIN(D112,Queue_Intervals!C2)-MAX(C112+150,Queue_Intervals!B2)),0)+IF(B112=Queue_Intervals!A3,MAX(0,MIN(D112,Queue_Intervals!C3)-MAX(C112+150,Queue_Intervals!B3)),0)+IF(B112=Queue_Intervals!A4,MAX(0,MIN(D112,Queue_Intervals!C4)-MAX(C112+150,Queue_Intervals!B4)),0)+IF(B112=Queue_Intervals!A5,MAX(0,MIN(D112,Queue_Intervals!C5)-MAX(C112+150,Queue_Intervals!B5)),0)</x:f>
        <x:v>0</x:v>
      </x:c>
    </x:row>
    <x:row r="113" ht="25" customHeight="1">
      <x:c r="A113" s="11" t="str">
        <x:v>153_45</x:v>
      </x:c>
      <x:c r="B113" s="13" t="str">
        <x:v>153</x:v>
      </x:c>
      <x:c r="C113" s="13" t="n">
        <x:v>547</x:v>
      </x:c>
      <x:c r="D113" s="13" t="n">
        <x:v>587</x:v>
      </x:c>
      <x:c r="E113" s="13" t="str">
        <x:v>Walk in</x:v>
      </x:c>
      <x:c r="F113" s="13" t="n">
        <x:v>40</x:v>
      </x:c>
      <x:c r="G113" s="13" t="n">
        <x:v>1</x:v>
      </x:c>
      <x:c r="H113" s="11" t="n">
        <x:f>MAX(0,F113-90)</x:f>
        <x:v>0</x:v>
      </x:c>
      <x:c r="I113" s="11" t="n">
        <x:f>IF(B113=Queue_Intervals!A2,MAX(0,MIN(D113,Queue_Intervals!C2)-MAX(C113+90,Queue_Intervals!B2)),0)+IF(B113=Queue_Intervals!A3,MAX(0,MIN(D113,Queue_Intervals!C3)-MAX(C113+90,Queue_Intervals!B3)),0)+IF(B113=Queue_Intervals!A4,MAX(0,MIN(D113,Queue_Intervals!C4)-MAX(C113+90,Queue_Intervals!B4)),0)+IF(B113=Queue_Intervals!A5,MAX(0,MIN(D113,Queue_Intervals!C5)-MAX(C113+90,Queue_Intervals!B5)),0)</x:f>
        <x:v>0</x:v>
      </x:c>
      <x:c r="J113" s="11" t="n">
        <x:f>MAX(0,F113-120)</x:f>
        <x:v>0</x:v>
      </x:c>
      <x:c r="K113" s="11" t="n">
        <x:f>IF(B113=Queue_Intervals!A2,MAX(0,MIN(D113,Queue_Intervals!C2)-MAX(C113+120,Queue_Intervals!B2)),0)+IF(B113=Queue_Intervals!A3,MAX(0,MIN(D113,Queue_Intervals!C3)-MAX(C113+120,Queue_Intervals!B3)),0)+IF(B113=Queue_Intervals!A4,MAX(0,MIN(D113,Queue_Intervals!C4)-MAX(C113+120,Queue_Intervals!B4)),0)+IF(B113=Queue_Intervals!A5,MAX(0,MIN(D113,Queue_Intervals!C5)-MAX(C113+120,Queue_Intervals!B5)),0)</x:f>
        <x:v>0</x:v>
      </x:c>
      <x:c r="L113" s="11" t="n">
        <x:f>MAX(0,F113-150)</x:f>
        <x:v>0</x:v>
      </x:c>
      <x:c r="M113" s="11" t="n">
        <x:f>IF(B113=Queue_Intervals!A2,MAX(0,MIN(D113,Queue_Intervals!C2)-MAX(C113+150,Queue_Intervals!B2)),0)+IF(B113=Queue_Intervals!A3,MAX(0,MIN(D113,Queue_Intervals!C3)-MAX(C113+150,Queue_Intervals!B3)),0)+IF(B113=Queue_Intervals!A4,MAX(0,MIN(D113,Queue_Intervals!C4)-MAX(C113+150,Queue_Intervals!B4)),0)+IF(B113=Queue_Intervals!A5,MAX(0,MIN(D113,Queue_Intervals!C5)-MAX(C113+150,Queue_Intervals!B5)),0)</x:f>
        <x:v>0</x:v>
      </x:c>
    </x:row>
    <x:row r="114" ht="25" customHeight="1">
      <x:c r="A114" s="11" t="str">
        <x:v>153_47</x:v>
      </x:c>
      <x:c r="B114" s="13" t="str">
        <x:v>153</x:v>
      </x:c>
      <x:c r="C114" s="13" t="n">
        <x:v>605</x:v>
      </x:c>
      <x:c r="D114" s="13" t="n">
        <x:v>720</x:v>
      </x:c>
      <x:c r="E114" s="13" t="str">
        <x:v>Walk in</x:v>
      </x:c>
      <x:c r="F114" s="13" t="n">
        <x:v>115</x:v>
      </x:c>
      <x:c r="G114" s="13" t="n">
        <x:v>1</x:v>
      </x:c>
      <x:c r="H114" s="11" t="n">
        <x:f>MAX(0,F114-90)</x:f>
        <x:v>25</x:v>
      </x:c>
      <x:c r="I114" s="11" t="n">
        <x:f>IF(B114=Queue_Intervals!A2,MAX(0,MIN(D114,Queue_Intervals!C2)-MAX(C114+90,Queue_Intervals!B2)),0)+IF(B114=Queue_Intervals!A3,MAX(0,MIN(D114,Queue_Intervals!C3)-MAX(C114+90,Queue_Intervals!B3)),0)+IF(B114=Queue_Intervals!A4,MAX(0,MIN(D114,Queue_Intervals!C4)-MAX(C114+90,Queue_Intervals!B4)),0)+IF(B114=Queue_Intervals!A5,MAX(0,MIN(D114,Queue_Intervals!C5)-MAX(C114+90,Queue_Intervals!B5)),0)</x:f>
        <x:v>5</x:v>
      </x:c>
      <x:c r="J114" s="11" t="n">
        <x:f>MAX(0,F114-120)</x:f>
        <x:v>0</x:v>
      </x:c>
      <x:c r="K114" s="11" t="n">
        <x:f>IF(B114=Queue_Intervals!A2,MAX(0,MIN(D114,Queue_Intervals!C2)-MAX(C114+120,Queue_Intervals!B2)),0)+IF(B114=Queue_Intervals!A3,MAX(0,MIN(D114,Queue_Intervals!C3)-MAX(C114+120,Queue_Intervals!B3)),0)+IF(B114=Queue_Intervals!A4,MAX(0,MIN(D114,Queue_Intervals!C4)-MAX(C114+120,Queue_Intervals!B4)),0)+IF(B114=Queue_Intervals!A5,MAX(0,MIN(D114,Queue_Intervals!C5)-MAX(C114+120,Queue_Intervals!B5)),0)</x:f>
        <x:v>0</x:v>
      </x:c>
      <x:c r="L114" s="11" t="n">
        <x:f>MAX(0,F114-150)</x:f>
        <x:v>0</x:v>
      </x:c>
      <x:c r="M114" s="11" t="n">
        <x:f>IF(B114=Queue_Intervals!A2,MAX(0,MIN(D114,Queue_Intervals!C2)-MAX(C114+150,Queue_Intervals!B2)),0)+IF(B114=Queue_Intervals!A3,MAX(0,MIN(D114,Queue_Intervals!C3)-MAX(C114+150,Queue_Intervals!B3)),0)+IF(B114=Queue_Intervals!A4,MAX(0,MIN(D114,Queue_Intervals!C4)-MAX(C114+150,Queue_Intervals!B4)),0)+IF(B114=Queue_Intervals!A5,MAX(0,MIN(D114,Queue_Intervals!C5)-MAX(C114+150,Queue_Intervals!B5)),0)</x:f>
        <x:v>0</x:v>
      </x:c>
    </x:row>
    <x:row r="115" ht="25" customHeight="1">
      <x:c r="A115" s="11" t="str">
        <x:v>153_50</x:v>
      </x:c>
      <x:c r="B115" s="13" t="str">
        <x:v>153</x:v>
      </x:c>
      <x:c r="C115" s="13" t="n">
        <x:v>595</x:v>
      </x:c>
      <x:c r="D115" s="13" t="n">
        <x:v>685</x:v>
      </x:c>
      <x:c r="E115" s="13" t="str">
        <x:v>Walk in</x:v>
      </x:c>
      <x:c r="F115" s="13" t="n">
        <x:v>90</x:v>
      </x:c>
      <x:c r="G115" s="13" t="n">
        <x:v>1</x:v>
      </x:c>
      <x:c r="H115" s="11" t="n">
        <x:f>MAX(0,F115-90)</x:f>
        <x:v>0</x:v>
      </x:c>
      <x:c r="I115" s="11" t="n">
        <x:f>IF(B115=Queue_Intervals!A2,MAX(0,MIN(D115,Queue_Intervals!C2)-MAX(C115+90,Queue_Intervals!B2)),0)+IF(B115=Queue_Intervals!A3,MAX(0,MIN(D115,Queue_Intervals!C3)-MAX(C115+90,Queue_Intervals!B3)),0)+IF(B115=Queue_Intervals!A4,MAX(0,MIN(D115,Queue_Intervals!C4)-MAX(C115+90,Queue_Intervals!B4)),0)+IF(B115=Queue_Intervals!A5,MAX(0,MIN(D115,Queue_Intervals!C5)-MAX(C115+90,Queue_Intervals!B5)),0)</x:f>
        <x:v>0</x:v>
      </x:c>
      <x:c r="J115" s="11" t="n">
        <x:f>MAX(0,F115-120)</x:f>
        <x:v>0</x:v>
      </x:c>
      <x:c r="K115" s="11" t="n">
        <x:f>IF(B115=Queue_Intervals!A2,MAX(0,MIN(D115,Queue_Intervals!C2)-MAX(C115+120,Queue_Intervals!B2)),0)+IF(B115=Queue_Intervals!A3,MAX(0,MIN(D115,Queue_Intervals!C3)-MAX(C115+120,Queue_Intervals!B3)),0)+IF(B115=Queue_Intervals!A4,MAX(0,MIN(D115,Queue_Intervals!C4)-MAX(C115+120,Queue_Intervals!B4)),0)+IF(B115=Queue_Intervals!A5,MAX(0,MIN(D115,Queue_Intervals!C5)-MAX(C115+120,Queue_Intervals!B5)),0)</x:f>
        <x:v>0</x:v>
      </x:c>
      <x:c r="L115" s="11" t="n">
        <x:f>MAX(0,F115-150)</x:f>
        <x:v>0</x:v>
      </x:c>
      <x:c r="M115" s="11" t="n">
        <x:f>IF(B115=Queue_Intervals!A2,MAX(0,MIN(D115,Queue_Intervals!C2)-MAX(C115+150,Queue_Intervals!B2)),0)+IF(B115=Queue_Intervals!A3,MAX(0,MIN(D115,Queue_Intervals!C3)-MAX(C115+150,Queue_Intervals!B3)),0)+IF(B115=Queue_Intervals!A4,MAX(0,MIN(D115,Queue_Intervals!C4)-MAX(C115+150,Queue_Intervals!B4)),0)+IF(B115=Queue_Intervals!A5,MAX(0,MIN(D115,Queue_Intervals!C5)-MAX(C115+150,Queue_Intervals!B5)),0)</x:f>
        <x:v>0</x:v>
      </x:c>
    </x:row>
    <x:row r="116" ht="25" customHeight="1">
      <x:c r="A116" s="11" t="str">
        <x:v>153_52</x:v>
      </x:c>
      <x:c r="B116" s="13" t="str">
        <x:v>153</x:v>
      </x:c>
      <x:c r="C116" s="13" t="n">
        <x:v>609</x:v>
      </x:c>
      <x:c r="D116" s="13" t="n">
        <x:v>680</x:v>
      </x:c>
      <x:c r="E116" s="13" t="str">
        <x:v>Walk in</x:v>
      </x:c>
      <x:c r="F116" s="13" t="n">
        <x:v>71</x:v>
      </x:c>
      <x:c r="G116" s="13" t="n">
        <x:v>1</x:v>
      </x:c>
      <x:c r="H116" s="11" t="n">
        <x:f>MAX(0,F116-90)</x:f>
        <x:v>0</x:v>
      </x:c>
      <x:c r="I116" s="11" t="n">
        <x:f>IF(B116=Queue_Intervals!A2,MAX(0,MIN(D116,Queue_Intervals!C2)-MAX(C116+90,Queue_Intervals!B2)),0)+IF(B116=Queue_Intervals!A3,MAX(0,MIN(D116,Queue_Intervals!C3)-MAX(C116+90,Queue_Intervals!B3)),0)+IF(B116=Queue_Intervals!A4,MAX(0,MIN(D116,Queue_Intervals!C4)-MAX(C116+90,Queue_Intervals!B4)),0)+IF(B116=Queue_Intervals!A5,MAX(0,MIN(D116,Queue_Intervals!C5)-MAX(C116+90,Queue_Intervals!B5)),0)</x:f>
        <x:v>0</x:v>
      </x:c>
      <x:c r="J116" s="11" t="n">
        <x:f>MAX(0,F116-120)</x:f>
        <x:v>0</x:v>
      </x:c>
      <x:c r="K116" s="11" t="n">
        <x:f>IF(B116=Queue_Intervals!A2,MAX(0,MIN(D116,Queue_Intervals!C2)-MAX(C116+120,Queue_Intervals!B2)),0)+IF(B116=Queue_Intervals!A3,MAX(0,MIN(D116,Queue_Intervals!C3)-MAX(C116+120,Queue_Intervals!B3)),0)+IF(B116=Queue_Intervals!A4,MAX(0,MIN(D116,Queue_Intervals!C4)-MAX(C116+120,Queue_Intervals!B4)),0)+IF(B116=Queue_Intervals!A5,MAX(0,MIN(D116,Queue_Intervals!C5)-MAX(C116+120,Queue_Intervals!B5)),0)</x:f>
        <x:v>0</x:v>
      </x:c>
      <x:c r="L116" s="11" t="n">
        <x:f>MAX(0,F116-150)</x:f>
        <x:v>0</x:v>
      </x:c>
      <x:c r="M116" s="11" t="n">
        <x:f>IF(B116=Queue_Intervals!A2,MAX(0,MIN(D116,Queue_Intervals!C2)-MAX(C116+150,Queue_Intervals!B2)),0)+IF(B116=Queue_Intervals!A3,MAX(0,MIN(D116,Queue_Intervals!C3)-MAX(C116+150,Queue_Intervals!B3)),0)+IF(B116=Queue_Intervals!A4,MAX(0,MIN(D116,Queue_Intervals!C4)-MAX(C116+150,Queue_Intervals!B4)),0)+IF(B116=Queue_Intervals!A5,MAX(0,MIN(D116,Queue_Intervals!C5)-MAX(C116+150,Queue_Intervals!B5)),0)</x:f>
        <x:v>0</x:v>
      </x:c>
    </x:row>
    <x:row r="117" ht="25" customHeight="1">
      <x:c r="A117" s="11" t="str">
        <x:v>153_53</x:v>
      </x:c>
      <x:c r="B117" s="13" t="str">
        <x:v>153</x:v>
      </x:c>
      <x:c r="C117" s="13" t="n">
        <x:v>611</x:v>
      </x:c>
      <x:c r="D117" s="13" t="n">
        <x:v>695</x:v>
      </x:c>
      <x:c r="E117" s="13" t="str">
        <x:v>Walk in</x:v>
      </x:c>
      <x:c r="F117" s="13" t="n">
        <x:v>84</x:v>
      </x:c>
      <x:c r="G117" s="13" t="n">
        <x:v>1</x:v>
      </x:c>
      <x:c r="H117" s="11" t="n">
        <x:f>MAX(0,F117-90)</x:f>
        <x:v>0</x:v>
      </x:c>
      <x:c r="I117" s="11" t="n">
        <x:f>IF(B117=Queue_Intervals!A2,MAX(0,MIN(D117,Queue_Intervals!C2)-MAX(C117+90,Queue_Intervals!B2)),0)+IF(B117=Queue_Intervals!A3,MAX(0,MIN(D117,Queue_Intervals!C3)-MAX(C117+90,Queue_Intervals!B3)),0)+IF(B117=Queue_Intervals!A4,MAX(0,MIN(D117,Queue_Intervals!C4)-MAX(C117+90,Queue_Intervals!B4)),0)+IF(B117=Queue_Intervals!A5,MAX(0,MIN(D117,Queue_Intervals!C5)-MAX(C117+90,Queue_Intervals!B5)),0)</x:f>
        <x:v>0</x:v>
      </x:c>
      <x:c r="J117" s="11" t="n">
        <x:f>MAX(0,F117-120)</x:f>
        <x:v>0</x:v>
      </x:c>
      <x:c r="K117" s="11" t="n">
        <x:f>IF(B117=Queue_Intervals!A2,MAX(0,MIN(D117,Queue_Intervals!C2)-MAX(C117+120,Queue_Intervals!B2)),0)+IF(B117=Queue_Intervals!A3,MAX(0,MIN(D117,Queue_Intervals!C3)-MAX(C117+120,Queue_Intervals!B3)),0)+IF(B117=Queue_Intervals!A4,MAX(0,MIN(D117,Queue_Intervals!C4)-MAX(C117+120,Queue_Intervals!B4)),0)+IF(B117=Queue_Intervals!A5,MAX(0,MIN(D117,Queue_Intervals!C5)-MAX(C117+120,Queue_Intervals!B5)),0)</x:f>
        <x:v>0</x:v>
      </x:c>
      <x:c r="L117" s="11" t="n">
        <x:f>MAX(0,F117-150)</x:f>
        <x:v>0</x:v>
      </x:c>
      <x:c r="M117" s="11" t="n">
        <x:f>IF(B117=Queue_Intervals!A2,MAX(0,MIN(D117,Queue_Intervals!C2)-MAX(C117+150,Queue_Intervals!B2)),0)+IF(B117=Queue_Intervals!A3,MAX(0,MIN(D117,Queue_Intervals!C3)-MAX(C117+150,Queue_Intervals!B3)),0)+IF(B117=Queue_Intervals!A4,MAX(0,MIN(D117,Queue_Intervals!C4)-MAX(C117+150,Queue_Intervals!B4)),0)+IF(B117=Queue_Intervals!A5,MAX(0,MIN(D117,Queue_Intervals!C5)-MAX(C117+150,Queue_Intervals!B5)),0)</x:f>
        <x:v>0</x:v>
      </x:c>
    </x:row>
    <x:row r="118" ht="25" customHeight="1">
      <x:c r="A118" s="11" t="str">
        <x:v>153_56</x:v>
      </x:c>
      <x:c r="B118" s="13" t="str">
        <x:v>153</x:v>
      </x:c>
      <x:c r="C118" s="13" t="n">
        <x:v>635</x:v>
      </x:c>
      <x:c r="D118" s="13" t="n">
        <x:v>670</x:v>
      </x:c>
      <x:c r="E118" s="13" t="str">
        <x:v>Walk in</x:v>
      </x:c>
      <x:c r="F118" s="13" t="n">
        <x:v>35</x:v>
      </x:c>
      <x:c r="G118" s="13" t="n">
        <x:v>1</x:v>
      </x:c>
      <x:c r="H118" s="11" t="n">
        <x:f>MAX(0,F118-90)</x:f>
        <x:v>0</x:v>
      </x:c>
      <x:c r="I118" s="11" t="n">
        <x:f>IF(B118=Queue_Intervals!A2,MAX(0,MIN(D118,Queue_Intervals!C2)-MAX(C118+90,Queue_Intervals!B2)),0)+IF(B118=Queue_Intervals!A3,MAX(0,MIN(D118,Queue_Intervals!C3)-MAX(C118+90,Queue_Intervals!B3)),0)+IF(B118=Queue_Intervals!A4,MAX(0,MIN(D118,Queue_Intervals!C4)-MAX(C118+90,Queue_Intervals!B4)),0)+IF(B118=Queue_Intervals!A5,MAX(0,MIN(D118,Queue_Intervals!C5)-MAX(C118+90,Queue_Intervals!B5)),0)</x:f>
        <x:v>0</x:v>
      </x:c>
      <x:c r="J118" s="11" t="n">
        <x:f>MAX(0,F118-120)</x:f>
        <x:v>0</x:v>
      </x:c>
      <x:c r="K118" s="11" t="n">
        <x:f>IF(B118=Queue_Intervals!A2,MAX(0,MIN(D118,Queue_Intervals!C2)-MAX(C118+120,Queue_Intervals!B2)),0)+IF(B118=Queue_Intervals!A3,MAX(0,MIN(D118,Queue_Intervals!C3)-MAX(C118+120,Queue_Intervals!B3)),0)+IF(B118=Queue_Intervals!A4,MAX(0,MIN(D118,Queue_Intervals!C4)-MAX(C118+120,Queue_Intervals!B4)),0)+IF(B118=Queue_Intervals!A5,MAX(0,MIN(D118,Queue_Intervals!C5)-MAX(C118+120,Queue_Intervals!B5)),0)</x:f>
        <x:v>0</x:v>
      </x:c>
      <x:c r="L118" s="11" t="n">
        <x:f>MAX(0,F118-150)</x:f>
        <x:v>0</x:v>
      </x:c>
      <x:c r="M118" s="11" t="n">
        <x:f>IF(B118=Queue_Intervals!A2,MAX(0,MIN(D118,Queue_Intervals!C2)-MAX(C118+150,Queue_Intervals!B2)),0)+IF(B118=Queue_Intervals!A3,MAX(0,MIN(D118,Queue_Intervals!C3)-MAX(C118+150,Queue_Intervals!B3)),0)+IF(B118=Queue_Intervals!A4,MAX(0,MIN(D118,Queue_Intervals!C4)-MAX(C118+150,Queue_Intervals!B4)),0)+IF(B118=Queue_Intervals!A5,MAX(0,MIN(D118,Queue_Intervals!C5)-MAX(C118+150,Queue_Intervals!B5)),0)</x:f>
        <x:v>0</x:v>
      </x:c>
    </x:row>
    <x:row r="119" ht="25" customHeight="1">
      <x:c r="A119" s="11" t="str">
        <x:v>153_57</x:v>
      </x:c>
      <x:c r="B119" s="13" t="str">
        <x:v>153</x:v>
      </x:c>
      <x:c r="C119" s="13" t="n">
        <x:v>645</x:v>
      </x:c>
      <x:c r="D119" s="13" t="n">
        <x:v>675</x:v>
      </x:c>
      <x:c r="E119" s="13" t="str">
        <x:v>Walk in</x:v>
      </x:c>
      <x:c r="F119" s="13" t="n">
        <x:v>30</x:v>
      </x:c>
      <x:c r="G119" s="13" t="n">
        <x:v>1</x:v>
      </x:c>
      <x:c r="H119" s="11" t="n">
        <x:f>MAX(0,F119-90)</x:f>
        <x:v>0</x:v>
      </x:c>
      <x:c r="I119" s="11" t="n">
        <x:f>IF(B119=Queue_Intervals!A2,MAX(0,MIN(D119,Queue_Intervals!C2)-MAX(C119+90,Queue_Intervals!B2)),0)+IF(B119=Queue_Intervals!A3,MAX(0,MIN(D119,Queue_Intervals!C3)-MAX(C119+90,Queue_Intervals!B3)),0)+IF(B119=Queue_Intervals!A4,MAX(0,MIN(D119,Queue_Intervals!C4)-MAX(C119+90,Queue_Intervals!B4)),0)+IF(B119=Queue_Intervals!A5,MAX(0,MIN(D119,Queue_Intervals!C5)-MAX(C119+90,Queue_Intervals!B5)),0)</x:f>
        <x:v>0</x:v>
      </x:c>
      <x:c r="J119" s="11" t="n">
        <x:f>MAX(0,F119-120)</x:f>
        <x:v>0</x:v>
      </x:c>
      <x:c r="K119" s="11" t="n">
        <x:f>IF(B119=Queue_Intervals!A2,MAX(0,MIN(D119,Queue_Intervals!C2)-MAX(C119+120,Queue_Intervals!B2)),0)+IF(B119=Queue_Intervals!A3,MAX(0,MIN(D119,Queue_Intervals!C3)-MAX(C119+120,Queue_Intervals!B3)),0)+IF(B119=Queue_Intervals!A4,MAX(0,MIN(D119,Queue_Intervals!C4)-MAX(C119+120,Queue_Intervals!B4)),0)+IF(B119=Queue_Intervals!A5,MAX(0,MIN(D119,Queue_Intervals!C5)-MAX(C119+120,Queue_Intervals!B5)),0)</x:f>
        <x:v>0</x:v>
      </x:c>
      <x:c r="L119" s="11" t="n">
        <x:f>MAX(0,F119-150)</x:f>
        <x:v>0</x:v>
      </x:c>
      <x:c r="M119" s="11" t="n">
        <x:f>IF(B119=Queue_Intervals!A2,MAX(0,MIN(D119,Queue_Intervals!C2)-MAX(C119+150,Queue_Intervals!B2)),0)+IF(B119=Queue_Intervals!A3,MAX(0,MIN(D119,Queue_Intervals!C3)-MAX(C119+150,Queue_Intervals!B3)),0)+IF(B119=Queue_Intervals!A4,MAX(0,MIN(D119,Queue_Intervals!C4)-MAX(C119+150,Queue_Intervals!B4)),0)+IF(B119=Queue_Intervals!A5,MAX(0,MIN(D119,Queue_Intervals!C5)-MAX(C119+150,Queue_Intervals!B5)),0)</x:f>
        <x:v>0</x:v>
      </x:c>
    </x:row>
    <x:row r="120" ht="25" customHeight="1">
      <x:c r="A120" s="11" t="str">
        <x:v>153_61</x:v>
      </x:c>
      <x:c r="B120" s="13" t="str">
        <x:v>153</x:v>
      </x:c>
      <x:c r="C120" s="13" t="n">
        <x:v>650</x:v>
      </x:c>
      <x:c r="D120" s="13" t="n">
        <x:v>715</x:v>
      </x:c>
      <x:c r="E120" s="13" t="str">
        <x:v>Walk in</x:v>
      </x:c>
      <x:c r="F120" s="13" t="n">
        <x:v>65</x:v>
      </x:c>
      <x:c r="G120" s="13" t="n">
        <x:v>1</x:v>
      </x:c>
      <x:c r="H120" s="11" t="n">
        <x:f>MAX(0,F120-90)</x:f>
        <x:v>0</x:v>
      </x:c>
      <x:c r="I120" s="11" t="n">
        <x:f>IF(B120=Queue_Intervals!A2,MAX(0,MIN(D120,Queue_Intervals!C2)-MAX(C120+90,Queue_Intervals!B2)),0)+IF(B120=Queue_Intervals!A3,MAX(0,MIN(D120,Queue_Intervals!C3)-MAX(C120+90,Queue_Intervals!B3)),0)+IF(B120=Queue_Intervals!A4,MAX(0,MIN(D120,Queue_Intervals!C4)-MAX(C120+90,Queue_Intervals!B4)),0)+IF(B120=Queue_Intervals!A5,MAX(0,MIN(D120,Queue_Intervals!C5)-MAX(C120+90,Queue_Intervals!B5)),0)</x:f>
        <x:v>0</x:v>
      </x:c>
      <x:c r="J120" s="11" t="n">
        <x:f>MAX(0,F120-120)</x:f>
        <x:v>0</x:v>
      </x:c>
      <x:c r="K120" s="11" t="n">
        <x:f>IF(B120=Queue_Intervals!A2,MAX(0,MIN(D120,Queue_Intervals!C2)-MAX(C120+120,Queue_Intervals!B2)),0)+IF(B120=Queue_Intervals!A3,MAX(0,MIN(D120,Queue_Intervals!C3)-MAX(C120+120,Queue_Intervals!B3)),0)+IF(B120=Queue_Intervals!A4,MAX(0,MIN(D120,Queue_Intervals!C4)-MAX(C120+120,Queue_Intervals!B4)),0)+IF(B120=Queue_Intervals!A5,MAX(0,MIN(D120,Queue_Intervals!C5)-MAX(C120+120,Queue_Intervals!B5)),0)</x:f>
        <x:v>0</x:v>
      </x:c>
      <x:c r="L120" s="11" t="n">
        <x:f>MAX(0,F120-150)</x:f>
        <x:v>0</x:v>
      </x:c>
      <x:c r="M120" s="11" t="n">
        <x:f>IF(B120=Queue_Intervals!A2,MAX(0,MIN(D120,Queue_Intervals!C2)-MAX(C120+150,Queue_Intervals!B2)),0)+IF(B120=Queue_Intervals!A3,MAX(0,MIN(D120,Queue_Intervals!C3)-MAX(C120+150,Queue_Intervals!B3)),0)+IF(B120=Queue_Intervals!A4,MAX(0,MIN(D120,Queue_Intervals!C4)-MAX(C120+150,Queue_Intervals!B4)),0)+IF(B120=Queue_Intervals!A5,MAX(0,MIN(D120,Queue_Intervals!C5)-MAX(C120+150,Queue_Intervals!B5)),0)</x:f>
        <x:v>0</x:v>
      </x:c>
    </x:row>
    <x:row r="121" ht="25" customHeight="1">
      <x:c r="A121" s="11" t="str">
        <x:v>153_62</x:v>
      </x:c>
      <x:c r="B121" s="13" t="str">
        <x:v>153</x:v>
      </x:c>
      <x:c r="C121" s="13" t="n">
        <x:v>650</x:v>
      </x:c>
      <x:c r="D121" s="13" t="n">
        <x:v>686</x:v>
      </x:c>
      <x:c r="E121" s="13" t="str">
        <x:v>Walk in</x:v>
      </x:c>
      <x:c r="F121" s="13" t="n">
        <x:v>36</x:v>
      </x:c>
      <x:c r="G121" s="13" t="n">
        <x:v>1</x:v>
      </x:c>
      <x:c r="H121" s="11" t="n">
        <x:f>MAX(0,F121-90)</x:f>
        <x:v>0</x:v>
      </x:c>
      <x:c r="I121" s="11" t="n">
        <x:f>IF(B121=Queue_Intervals!A2,MAX(0,MIN(D121,Queue_Intervals!C2)-MAX(C121+90,Queue_Intervals!B2)),0)+IF(B121=Queue_Intervals!A3,MAX(0,MIN(D121,Queue_Intervals!C3)-MAX(C121+90,Queue_Intervals!B3)),0)+IF(B121=Queue_Intervals!A4,MAX(0,MIN(D121,Queue_Intervals!C4)-MAX(C121+90,Queue_Intervals!B4)),0)+IF(B121=Queue_Intervals!A5,MAX(0,MIN(D121,Queue_Intervals!C5)-MAX(C121+90,Queue_Intervals!B5)),0)</x:f>
        <x:v>0</x:v>
      </x:c>
      <x:c r="J121" s="11" t="n">
        <x:f>MAX(0,F121-120)</x:f>
        <x:v>0</x:v>
      </x:c>
      <x:c r="K121" s="11" t="n">
        <x:f>IF(B121=Queue_Intervals!A2,MAX(0,MIN(D121,Queue_Intervals!C2)-MAX(C121+120,Queue_Intervals!B2)),0)+IF(B121=Queue_Intervals!A3,MAX(0,MIN(D121,Queue_Intervals!C3)-MAX(C121+120,Queue_Intervals!B3)),0)+IF(B121=Queue_Intervals!A4,MAX(0,MIN(D121,Queue_Intervals!C4)-MAX(C121+120,Queue_Intervals!B4)),0)+IF(B121=Queue_Intervals!A5,MAX(0,MIN(D121,Queue_Intervals!C5)-MAX(C121+120,Queue_Intervals!B5)),0)</x:f>
        <x:v>0</x:v>
      </x:c>
      <x:c r="L121" s="11" t="n">
        <x:f>MAX(0,F121-150)</x:f>
        <x:v>0</x:v>
      </x:c>
      <x:c r="M121" s="11" t="n">
        <x:f>IF(B121=Queue_Intervals!A2,MAX(0,MIN(D121,Queue_Intervals!C2)-MAX(C121+150,Queue_Intervals!B2)),0)+IF(B121=Queue_Intervals!A3,MAX(0,MIN(D121,Queue_Intervals!C3)-MAX(C121+150,Queue_Intervals!B3)),0)+IF(B121=Queue_Intervals!A4,MAX(0,MIN(D121,Queue_Intervals!C4)-MAX(C121+150,Queue_Intervals!B4)),0)+IF(B121=Queue_Intervals!A5,MAX(0,MIN(D121,Queue_Intervals!C5)-MAX(C121+150,Queue_Intervals!B5)),0)</x:f>
        <x:v>0</x:v>
      </x:c>
    </x:row>
    <x:row r="122" ht="25" customHeight="1">
      <x:c r="A122" s="11" t="str">
        <x:v>153_64</x:v>
      </x:c>
      <x:c r="B122" s="13" t="str">
        <x:v>153</x:v>
      </x:c>
      <x:c r="C122" s="13" t="n">
        <x:v>663</x:v>
      </x:c>
      <x:c r="D122" s="13" t="n">
        <x:v>703</x:v>
      </x:c>
      <x:c r="E122" s="13" t="str">
        <x:v>Walk in</x:v>
      </x:c>
      <x:c r="F122" s="13" t="n">
        <x:v>40</x:v>
      </x:c>
      <x:c r="G122" s="13" t="n">
        <x:v>1</x:v>
      </x:c>
      <x:c r="H122" s="11" t="n">
        <x:f>MAX(0,F122-90)</x:f>
        <x:v>0</x:v>
      </x:c>
      <x:c r="I122" s="11" t="n">
        <x:f>IF(B122=Queue_Intervals!A2,MAX(0,MIN(D122,Queue_Intervals!C2)-MAX(C122+90,Queue_Intervals!B2)),0)+IF(B122=Queue_Intervals!A3,MAX(0,MIN(D122,Queue_Intervals!C3)-MAX(C122+90,Queue_Intervals!B3)),0)+IF(B122=Queue_Intervals!A4,MAX(0,MIN(D122,Queue_Intervals!C4)-MAX(C122+90,Queue_Intervals!B4)),0)+IF(B122=Queue_Intervals!A5,MAX(0,MIN(D122,Queue_Intervals!C5)-MAX(C122+90,Queue_Intervals!B5)),0)</x:f>
        <x:v>0</x:v>
      </x:c>
      <x:c r="J122" s="11" t="n">
        <x:f>MAX(0,F122-120)</x:f>
        <x:v>0</x:v>
      </x:c>
      <x:c r="K122" s="11" t="n">
        <x:f>IF(B122=Queue_Intervals!A2,MAX(0,MIN(D122,Queue_Intervals!C2)-MAX(C122+120,Queue_Intervals!B2)),0)+IF(B122=Queue_Intervals!A3,MAX(0,MIN(D122,Queue_Intervals!C3)-MAX(C122+120,Queue_Intervals!B3)),0)+IF(B122=Queue_Intervals!A4,MAX(0,MIN(D122,Queue_Intervals!C4)-MAX(C122+120,Queue_Intervals!B4)),0)+IF(B122=Queue_Intervals!A5,MAX(0,MIN(D122,Queue_Intervals!C5)-MAX(C122+120,Queue_Intervals!B5)),0)</x:f>
        <x:v>0</x:v>
      </x:c>
      <x:c r="L122" s="11" t="n">
        <x:f>MAX(0,F122-150)</x:f>
        <x:v>0</x:v>
      </x:c>
      <x:c r="M122" s="11" t="n">
        <x:f>IF(B122=Queue_Intervals!A2,MAX(0,MIN(D122,Queue_Intervals!C2)-MAX(C122+150,Queue_Intervals!B2)),0)+IF(B122=Queue_Intervals!A3,MAX(0,MIN(D122,Queue_Intervals!C3)-MAX(C122+150,Queue_Intervals!B3)),0)+IF(B122=Queue_Intervals!A4,MAX(0,MIN(D122,Queue_Intervals!C4)-MAX(C122+150,Queue_Intervals!B4)),0)+IF(B122=Queue_Intervals!A5,MAX(0,MIN(D122,Queue_Intervals!C5)-MAX(C122+150,Queue_Intervals!B5)),0)</x:f>
        <x:v>0</x:v>
      </x:c>
    </x:row>
    <x:row r="123" ht="25" customHeight="1">
      <x:c r="A123" s="11" t="str">
        <x:v>153_66</x:v>
      </x:c>
      <x:c r="B123" s="13" t="str">
        <x:v>153</x:v>
      </x:c>
      <x:c r="C123" s="13" t="n">
        <x:v>665</x:v>
      </x:c>
      <x:c r="D123" s="13" t="n">
        <x:v>745</x:v>
      </x:c>
      <x:c r="E123" s="13" t="str">
        <x:v>Walk in</x:v>
      </x:c>
      <x:c r="F123" s="13" t="n">
        <x:v>80</x:v>
      </x:c>
      <x:c r="G123" s="13" t="n">
        <x:v>1</x:v>
      </x:c>
      <x:c r="H123" s="11" t="n">
        <x:f>MAX(0,F123-90)</x:f>
        <x:v>0</x:v>
      </x:c>
      <x:c r="I123" s="11" t="n">
        <x:f>IF(B123=Queue_Intervals!A2,MAX(0,MIN(D123,Queue_Intervals!C2)-MAX(C123+90,Queue_Intervals!B2)),0)+IF(B123=Queue_Intervals!A3,MAX(0,MIN(D123,Queue_Intervals!C3)-MAX(C123+90,Queue_Intervals!B3)),0)+IF(B123=Queue_Intervals!A4,MAX(0,MIN(D123,Queue_Intervals!C4)-MAX(C123+90,Queue_Intervals!B4)),0)+IF(B123=Queue_Intervals!A5,MAX(0,MIN(D123,Queue_Intervals!C5)-MAX(C123+90,Queue_Intervals!B5)),0)</x:f>
        <x:v>0</x:v>
      </x:c>
      <x:c r="J123" s="11" t="n">
        <x:f>MAX(0,F123-120)</x:f>
        <x:v>0</x:v>
      </x:c>
      <x:c r="K123" s="11" t="n">
        <x:f>IF(B123=Queue_Intervals!A2,MAX(0,MIN(D123,Queue_Intervals!C2)-MAX(C123+120,Queue_Intervals!B2)),0)+IF(B123=Queue_Intervals!A3,MAX(0,MIN(D123,Queue_Intervals!C3)-MAX(C123+120,Queue_Intervals!B3)),0)+IF(B123=Queue_Intervals!A4,MAX(0,MIN(D123,Queue_Intervals!C4)-MAX(C123+120,Queue_Intervals!B4)),0)+IF(B123=Queue_Intervals!A5,MAX(0,MIN(D123,Queue_Intervals!C5)-MAX(C123+120,Queue_Intervals!B5)),0)</x:f>
        <x:v>0</x:v>
      </x:c>
      <x:c r="L123" s="11" t="n">
        <x:f>MAX(0,F123-150)</x:f>
        <x:v>0</x:v>
      </x:c>
      <x:c r="M123" s="11" t="n">
        <x:f>IF(B123=Queue_Intervals!A2,MAX(0,MIN(D123,Queue_Intervals!C2)-MAX(C123+150,Queue_Intervals!B2)),0)+IF(B123=Queue_Intervals!A3,MAX(0,MIN(D123,Queue_Intervals!C3)-MAX(C123+150,Queue_Intervals!B3)),0)+IF(B123=Queue_Intervals!A4,MAX(0,MIN(D123,Queue_Intervals!C4)-MAX(C123+150,Queue_Intervals!B4)),0)+IF(B123=Queue_Intervals!A5,MAX(0,MIN(D123,Queue_Intervals!C5)-MAX(C123+150,Queue_Intervals!B5)),0)</x:f>
        <x:v>0</x:v>
      </x:c>
    </x:row>
    <x:row r="124" ht="25" customHeight="1">
      <x:c r="A124" s="11" t="str">
        <x:v>153_68</x:v>
      </x:c>
      <x:c r="B124" s="13" t="str">
        <x:v>153</x:v>
      </x:c>
      <x:c r="C124" s="13" t="n">
        <x:v>630</x:v>
      </x:c>
      <x:c r="D124" s="13" t="n">
        <x:v>730</x:v>
      </x:c>
      <x:c r="E124" s="13" t="str">
        <x:v>Walk in</x:v>
      </x:c>
      <x:c r="F124" s="13" t="n">
        <x:v>100</x:v>
      </x:c>
      <x:c r="G124" s="13" t="n">
        <x:v>1</x:v>
      </x:c>
      <x:c r="H124" s="11" t="n">
        <x:f>MAX(0,F124-90)</x:f>
        <x:v>10</x:v>
      </x:c>
      <x:c r="I124" s="11" t="n">
        <x:f>IF(B124=Queue_Intervals!A2,MAX(0,MIN(D124,Queue_Intervals!C2)-MAX(C124+90,Queue_Intervals!B2)),0)+IF(B124=Queue_Intervals!A3,MAX(0,MIN(D124,Queue_Intervals!C3)-MAX(C124+90,Queue_Intervals!B3)),0)+IF(B124=Queue_Intervals!A4,MAX(0,MIN(D124,Queue_Intervals!C4)-MAX(C124+90,Queue_Intervals!B4)),0)+IF(B124=Queue_Intervals!A5,MAX(0,MIN(D124,Queue_Intervals!C5)-MAX(C124+90,Queue_Intervals!B5)),0)</x:f>
        <x:v>0</x:v>
      </x:c>
      <x:c r="J124" s="11" t="n">
        <x:f>MAX(0,F124-120)</x:f>
        <x:v>0</x:v>
      </x:c>
      <x:c r="K124" s="11" t="n">
        <x:f>IF(B124=Queue_Intervals!A2,MAX(0,MIN(D124,Queue_Intervals!C2)-MAX(C124+120,Queue_Intervals!B2)),0)+IF(B124=Queue_Intervals!A3,MAX(0,MIN(D124,Queue_Intervals!C3)-MAX(C124+120,Queue_Intervals!B3)),0)+IF(B124=Queue_Intervals!A4,MAX(0,MIN(D124,Queue_Intervals!C4)-MAX(C124+120,Queue_Intervals!B4)),0)+IF(B124=Queue_Intervals!A5,MAX(0,MIN(D124,Queue_Intervals!C5)-MAX(C124+120,Queue_Intervals!B5)),0)</x:f>
        <x:v>0</x:v>
      </x:c>
      <x:c r="L124" s="11" t="n">
        <x:f>MAX(0,F124-150)</x:f>
        <x:v>0</x:v>
      </x:c>
      <x:c r="M124" s="11" t="n">
        <x:f>IF(B124=Queue_Intervals!A2,MAX(0,MIN(D124,Queue_Intervals!C2)-MAX(C124+150,Queue_Intervals!B2)),0)+IF(B124=Queue_Intervals!A3,MAX(0,MIN(D124,Queue_Intervals!C3)-MAX(C124+150,Queue_Intervals!B3)),0)+IF(B124=Queue_Intervals!A4,MAX(0,MIN(D124,Queue_Intervals!C4)-MAX(C124+150,Queue_Intervals!B4)),0)+IF(B124=Queue_Intervals!A5,MAX(0,MIN(D124,Queue_Intervals!C5)-MAX(C124+150,Queue_Intervals!B5)),0)</x:f>
        <x:v>0</x:v>
      </x:c>
    </x:row>
    <x:row r="125" ht="25" customHeight="1">
      <x:c r="A125" s="11" t="str">
        <x:v>153_69</x:v>
      </x:c>
      <x:c r="B125" s="13" t="str">
        <x:v>153</x:v>
      </x:c>
      <x:c r="C125" s="13" t="n">
        <x:v>669</x:v>
      </x:c>
      <x:c r="D125" s="13" t="n">
        <x:v>740</x:v>
      </x:c>
      <x:c r="E125" s="13" t="str">
        <x:v>Walk in</x:v>
      </x:c>
      <x:c r="F125" s="13" t="n">
        <x:v>71</x:v>
      </x:c>
      <x:c r="G125" s="13" t="n">
        <x:v>1</x:v>
      </x:c>
      <x:c r="H125" s="11" t="n">
        <x:f>MAX(0,F125-90)</x:f>
        <x:v>0</x:v>
      </x:c>
      <x:c r="I125" s="11" t="n">
        <x:f>IF(B125=Queue_Intervals!A2,MAX(0,MIN(D125,Queue_Intervals!C2)-MAX(C125+90,Queue_Intervals!B2)),0)+IF(B125=Queue_Intervals!A3,MAX(0,MIN(D125,Queue_Intervals!C3)-MAX(C125+90,Queue_Intervals!B3)),0)+IF(B125=Queue_Intervals!A4,MAX(0,MIN(D125,Queue_Intervals!C4)-MAX(C125+90,Queue_Intervals!B4)),0)+IF(B125=Queue_Intervals!A5,MAX(0,MIN(D125,Queue_Intervals!C5)-MAX(C125+90,Queue_Intervals!B5)),0)</x:f>
        <x:v>0</x:v>
      </x:c>
      <x:c r="J125" s="11" t="n">
        <x:f>MAX(0,F125-120)</x:f>
        <x:v>0</x:v>
      </x:c>
      <x:c r="K125" s="11" t="n">
        <x:f>IF(B125=Queue_Intervals!A2,MAX(0,MIN(D125,Queue_Intervals!C2)-MAX(C125+120,Queue_Intervals!B2)),0)+IF(B125=Queue_Intervals!A3,MAX(0,MIN(D125,Queue_Intervals!C3)-MAX(C125+120,Queue_Intervals!B3)),0)+IF(B125=Queue_Intervals!A4,MAX(0,MIN(D125,Queue_Intervals!C4)-MAX(C125+120,Queue_Intervals!B4)),0)+IF(B125=Queue_Intervals!A5,MAX(0,MIN(D125,Queue_Intervals!C5)-MAX(C125+120,Queue_Intervals!B5)),0)</x:f>
        <x:v>0</x:v>
      </x:c>
      <x:c r="L125" s="11" t="n">
        <x:f>MAX(0,F125-150)</x:f>
        <x:v>0</x:v>
      </x:c>
      <x:c r="M125" s="11" t="n">
        <x:f>IF(B125=Queue_Intervals!A2,MAX(0,MIN(D125,Queue_Intervals!C2)-MAX(C125+150,Queue_Intervals!B2)),0)+IF(B125=Queue_Intervals!A3,MAX(0,MIN(D125,Queue_Intervals!C3)-MAX(C125+150,Queue_Intervals!B3)),0)+IF(B125=Queue_Intervals!A4,MAX(0,MIN(D125,Queue_Intervals!C4)-MAX(C125+150,Queue_Intervals!B4)),0)+IF(B125=Queue_Intervals!A5,MAX(0,MIN(D125,Queue_Intervals!C5)-MAX(C125+150,Queue_Intervals!B5)),0)</x:f>
        <x:v>0</x:v>
      </x:c>
    </x:row>
    <x:row r="126" ht="25" customHeight="1">
      <x:c r="A126" s="11" t="str">
        <x:v>153_70</x:v>
      </x:c>
      <x:c r="B126" s="13" t="str">
        <x:v>153</x:v>
      </x:c>
      <x:c r="C126" s="13" t="n">
        <x:v>669</x:v>
      </x:c>
      <x:c r="D126" s="13" t="n">
        <x:v>730</x:v>
      </x:c>
      <x:c r="E126" s="13" t="str">
        <x:v>Walk in</x:v>
      </x:c>
      <x:c r="F126" s="13" t="n">
        <x:v>61</x:v>
      </x:c>
      <x:c r="G126" s="13" t="n">
        <x:v>1</x:v>
      </x:c>
      <x:c r="H126" s="11" t="n">
        <x:f>MAX(0,F126-90)</x:f>
        <x:v>0</x:v>
      </x:c>
      <x:c r="I126" s="11" t="n">
        <x:f>IF(B126=Queue_Intervals!A2,MAX(0,MIN(D126,Queue_Intervals!C2)-MAX(C126+90,Queue_Intervals!B2)),0)+IF(B126=Queue_Intervals!A3,MAX(0,MIN(D126,Queue_Intervals!C3)-MAX(C126+90,Queue_Intervals!B3)),0)+IF(B126=Queue_Intervals!A4,MAX(0,MIN(D126,Queue_Intervals!C4)-MAX(C126+90,Queue_Intervals!B4)),0)+IF(B126=Queue_Intervals!A5,MAX(0,MIN(D126,Queue_Intervals!C5)-MAX(C126+90,Queue_Intervals!B5)),0)</x:f>
        <x:v>0</x:v>
      </x:c>
      <x:c r="J126" s="11" t="n">
        <x:f>MAX(0,F126-120)</x:f>
        <x:v>0</x:v>
      </x:c>
      <x:c r="K126" s="11" t="n">
        <x:f>IF(B126=Queue_Intervals!A2,MAX(0,MIN(D126,Queue_Intervals!C2)-MAX(C126+120,Queue_Intervals!B2)),0)+IF(B126=Queue_Intervals!A3,MAX(0,MIN(D126,Queue_Intervals!C3)-MAX(C126+120,Queue_Intervals!B3)),0)+IF(B126=Queue_Intervals!A4,MAX(0,MIN(D126,Queue_Intervals!C4)-MAX(C126+120,Queue_Intervals!B4)),0)+IF(B126=Queue_Intervals!A5,MAX(0,MIN(D126,Queue_Intervals!C5)-MAX(C126+120,Queue_Intervals!B5)),0)</x:f>
        <x:v>0</x:v>
      </x:c>
      <x:c r="L126" s="11" t="n">
        <x:f>MAX(0,F126-150)</x:f>
        <x:v>0</x:v>
      </x:c>
      <x:c r="M126" s="11" t="n">
        <x:f>IF(B126=Queue_Intervals!A2,MAX(0,MIN(D126,Queue_Intervals!C2)-MAX(C126+150,Queue_Intervals!B2)),0)+IF(B126=Queue_Intervals!A3,MAX(0,MIN(D126,Queue_Intervals!C3)-MAX(C126+150,Queue_Intervals!B3)),0)+IF(B126=Queue_Intervals!A4,MAX(0,MIN(D126,Queue_Intervals!C4)-MAX(C126+150,Queue_Intervals!B4)),0)+IF(B126=Queue_Intervals!A5,MAX(0,MIN(D126,Queue_Intervals!C5)-MAX(C126+150,Queue_Intervals!B5)),0)</x:f>
        <x:v>0</x:v>
      </x:c>
    </x:row>
    <x:row r="127" ht="25" customHeight="1">
      <x:c r="A127" s="11" t="str">
        <x:v>153_72</x:v>
      </x:c>
      <x:c r="B127" s="13" t="str">
        <x:v>153</x:v>
      </x:c>
      <x:c r="C127" s="13" t="n">
        <x:v>670</x:v>
      </x:c>
      <x:c r="D127" s="13" t="n">
        <x:v>710</x:v>
      </x:c>
      <x:c r="E127" s="13" t="str">
        <x:v>Walk in</x:v>
      </x:c>
      <x:c r="F127" s="13" t="n">
        <x:v>40</x:v>
      </x:c>
      <x:c r="G127" s="13" t="n">
        <x:v>1</x:v>
      </x:c>
      <x:c r="H127" s="11" t="n">
        <x:f>MAX(0,F127-90)</x:f>
        <x:v>0</x:v>
      </x:c>
      <x:c r="I127" s="11" t="n">
        <x:f>IF(B127=Queue_Intervals!A2,MAX(0,MIN(D127,Queue_Intervals!C2)-MAX(C127+90,Queue_Intervals!B2)),0)+IF(B127=Queue_Intervals!A3,MAX(0,MIN(D127,Queue_Intervals!C3)-MAX(C127+90,Queue_Intervals!B3)),0)+IF(B127=Queue_Intervals!A4,MAX(0,MIN(D127,Queue_Intervals!C4)-MAX(C127+90,Queue_Intervals!B4)),0)+IF(B127=Queue_Intervals!A5,MAX(0,MIN(D127,Queue_Intervals!C5)-MAX(C127+90,Queue_Intervals!B5)),0)</x:f>
        <x:v>0</x:v>
      </x:c>
      <x:c r="J127" s="11" t="n">
        <x:f>MAX(0,F127-120)</x:f>
        <x:v>0</x:v>
      </x:c>
      <x:c r="K127" s="11" t="n">
        <x:f>IF(B127=Queue_Intervals!A2,MAX(0,MIN(D127,Queue_Intervals!C2)-MAX(C127+120,Queue_Intervals!B2)),0)+IF(B127=Queue_Intervals!A3,MAX(0,MIN(D127,Queue_Intervals!C3)-MAX(C127+120,Queue_Intervals!B3)),0)+IF(B127=Queue_Intervals!A4,MAX(0,MIN(D127,Queue_Intervals!C4)-MAX(C127+120,Queue_Intervals!B4)),0)+IF(B127=Queue_Intervals!A5,MAX(0,MIN(D127,Queue_Intervals!C5)-MAX(C127+120,Queue_Intervals!B5)),0)</x:f>
        <x:v>0</x:v>
      </x:c>
      <x:c r="L127" s="11" t="n">
        <x:f>MAX(0,F127-150)</x:f>
        <x:v>0</x:v>
      </x:c>
      <x:c r="M127" s="11" t="n">
        <x:f>IF(B127=Queue_Intervals!A2,MAX(0,MIN(D127,Queue_Intervals!C2)-MAX(C127+150,Queue_Intervals!B2)),0)+IF(B127=Queue_Intervals!A3,MAX(0,MIN(D127,Queue_Intervals!C3)-MAX(C127+150,Queue_Intervals!B3)),0)+IF(B127=Queue_Intervals!A4,MAX(0,MIN(D127,Queue_Intervals!C4)-MAX(C127+150,Queue_Intervals!B4)),0)+IF(B127=Queue_Intervals!A5,MAX(0,MIN(D127,Queue_Intervals!C5)-MAX(C127+150,Queue_Intervals!B5)),0)</x:f>
        <x:v>0</x:v>
      </x:c>
    </x:row>
    <x:row r="128" ht="25" customHeight="1">
      <x:c r="A128" s="11" t="str">
        <x:v>153_73</x:v>
      </x:c>
      <x:c r="B128" s="13" t="str">
        <x:v>153</x:v>
      </x:c>
      <x:c r="C128" s="13" t="n">
        <x:v>672</x:v>
      </x:c>
      <x:c r="D128" s="13" t="n">
        <x:v>703</x:v>
      </x:c>
      <x:c r="E128" s="13" t="str">
        <x:v>Walk in</x:v>
      </x:c>
      <x:c r="F128" s="13" t="n">
        <x:v>31</x:v>
      </x:c>
      <x:c r="G128" s="13" t="n">
        <x:v>1</x:v>
      </x:c>
      <x:c r="H128" s="11" t="n">
        <x:f>MAX(0,F128-90)</x:f>
        <x:v>0</x:v>
      </x:c>
      <x:c r="I128" s="11" t="n">
        <x:f>IF(B128=Queue_Intervals!A2,MAX(0,MIN(D128,Queue_Intervals!C2)-MAX(C128+90,Queue_Intervals!B2)),0)+IF(B128=Queue_Intervals!A3,MAX(0,MIN(D128,Queue_Intervals!C3)-MAX(C128+90,Queue_Intervals!B3)),0)+IF(B128=Queue_Intervals!A4,MAX(0,MIN(D128,Queue_Intervals!C4)-MAX(C128+90,Queue_Intervals!B4)),0)+IF(B128=Queue_Intervals!A5,MAX(0,MIN(D128,Queue_Intervals!C5)-MAX(C128+90,Queue_Intervals!B5)),0)</x:f>
        <x:v>0</x:v>
      </x:c>
      <x:c r="J128" s="11" t="n">
        <x:f>MAX(0,F128-120)</x:f>
        <x:v>0</x:v>
      </x:c>
      <x:c r="K128" s="11" t="n">
        <x:f>IF(B128=Queue_Intervals!A2,MAX(0,MIN(D128,Queue_Intervals!C2)-MAX(C128+120,Queue_Intervals!B2)),0)+IF(B128=Queue_Intervals!A3,MAX(0,MIN(D128,Queue_Intervals!C3)-MAX(C128+120,Queue_Intervals!B3)),0)+IF(B128=Queue_Intervals!A4,MAX(0,MIN(D128,Queue_Intervals!C4)-MAX(C128+120,Queue_Intervals!B4)),0)+IF(B128=Queue_Intervals!A5,MAX(0,MIN(D128,Queue_Intervals!C5)-MAX(C128+120,Queue_Intervals!B5)),0)</x:f>
        <x:v>0</x:v>
      </x:c>
      <x:c r="L128" s="11" t="n">
        <x:f>MAX(0,F128-150)</x:f>
        <x:v>0</x:v>
      </x:c>
      <x:c r="M128" s="11" t="n">
        <x:f>IF(B128=Queue_Intervals!A2,MAX(0,MIN(D128,Queue_Intervals!C2)-MAX(C128+150,Queue_Intervals!B2)),0)+IF(B128=Queue_Intervals!A3,MAX(0,MIN(D128,Queue_Intervals!C3)-MAX(C128+150,Queue_Intervals!B3)),0)+IF(B128=Queue_Intervals!A4,MAX(0,MIN(D128,Queue_Intervals!C4)-MAX(C128+150,Queue_Intervals!B4)),0)+IF(B128=Queue_Intervals!A5,MAX(0,MIN(D128,Queue_Intervals!C5)-MAX(C128+150,Queue_Intervals!B5)),0)</x:f>
        <x:v>0</x:v>
      </x:c>
    </x:row>
    <x:row r="129" ht="25" customHeight="1">
      <x:c r="A129" s="11" t="str">
        <x:v>153_85</x:v>
      </x:c>
      <x:c r="B129" s="13" t="str">
        <x:v>153</x:v>
      </x:c>
      <x:c r="C129" s="13" t="n">
        <x:v>700</x:v>
      </x:c>
      <x:c r="D129" s="13" t="n">
        <x:v>750</x:v>
      </x:c>
      <x:c r="E129" s="13" t="str">
        <x:v>Walk in</x:v>
      </x:c>
      <x:c r="F129" s="13" t="n">
        <x:v>50</x:v>
      </x:c>
      <x:c r="G129" s="13" t="n">
        <x:v>1</x:v>
      </x:c>
      <x:c r="H129" s="11" t="n">
        <x:f>MAX(0,F129-90)</x:f>
        <x:v>0</x:v>
      </x:c>
      <x:c r="I129" s="11" t="n">
        <x:f>IF(B129=Queue_Intervals!A2,MAX(0,MIN(D129,Queue_Intervals!C2)-MAX(C129+90,Queue_Intervals!B2)),0)+IF(B129=Queue_Intervals!A3,MAX(0,MIN(D129,Queue_Intervals!C3)-MAX(C129+90,Queue_Intervals!B3)),0)+IF(B129=Queue_Intervals!A4,MAX(0,MIN(D129,Queue_Intervals!C4)-MAX(C129+90,Queue_Intervals!B4)),0)+IF(B129=Queue_Intervals!A5,MAX(0,MIN(D129,Queue_Intervals!C5)-MAX(C129+90,Queue_Intervals!B5)),0)</x:f>
        <x:v>0</x:v>
      </x:c>
      <x:c r="J129" s="11" t="n">
        <x:f>MAX(0,F129-120)</x:f>
        <x:v>0</x:v>
      </x:c>
      <x:c r="K129" s="11" t="n">
        <x:f>IF(B129=Queue_Intervals!A2,MAX(0,MIN(D129,Queue_Intervals!C2)-MAX(C129+120,Queue_Intervals!B2)),0)+IF(B129=Queue_Intervals!A3,MAX(0,MIN(D129,Queue_Intervals!C3)-MAX(C129+120,Queue_Intervals!B3)),0)+IF(B129=Queue_Intervals!A4,MAX(0,MIN(D129,Queue_Intervals!C4)-MAX(C129+120,Queue_Intervals!B4)),0)+IF(B129=Queue_Intervals!A5,MAX(0,MIN(D129,Queue_Intervals!C5)-MAX(C129+120,Queue_Intervals!B5)),0)</x:f>
        <x:v>0</x:v>
      </x:c>
      <x:c r="L129" s="11" t="n">
        <x:f>MAX(0,F129-150)</x:f>
        <x:v>0</x:v>
      </x:c>
      <x:c r="M129" s="11" t="n">
        <x:f>IF(B129=Queue_Intervals!A2,MAX(0,MIN(D129,Queue_Intervals!C2)-MAX(C129+150,Queue_Intervals!B2)),0)+IF(B129=Queue_Intervals!A3,MAX(0,MIN(D129,Queue_Intervals!C3)-MAX(C129+150,Queue_Intervals!B3)),0)+IF(B129=Queue_Intervals!A4,MAX(0,MIN(D129,Queue_Intervals!C4)-MAX(C129+150,Queue_Intervals!B4)),0)+IF(B129=Queue_Intervals!A5,MAX(0,MIN(D129,Queue_Intervals!C5)-MAX(C129+150,Queue_Intervals!B5)),0)</x:f>
        <x:v>0</x:v>
      </x:c>
    </x:row>
    <x:row r="130" ht="25" customHeight="1">
      <x:c r="A130" s="11" t="str">
        <x:v>173_1</x:v>
      </x:c>
      <x:c r="B130" s="13" t="str">
        <x:v>173</x:v>
      </x:c>
      <x:c r="C130" s="13" t="n">
        <x:v>396</x:v>
      </x:c>
      <x:c r="D130" s="13" t="n">
        <x:v>558</x:v>
      </x:c>
      <x:c r="E130" s="13" t="str">
        <x:v>Walk in</x:v>
      </x:c>
      <x:c r="F130" s="13" t="n">
        <x:v>162</x:v>
      </x:c>
      <x:c r="G130" s="13" t="n">
        <x:v>0</x:v>
      </x:c>
      <x:c r="H130" s="11" t="n">
        <x:f>MAX(0,F130-90)</x:f>
        <x:v>72</x:v>
      </x:c>
      <x:c r="I130" s="11" t="n">
        <x:f>IF(B130=Queue_Intervals!A2,MAX(0,MIN(D130,Queue_Intervals!C2)-MAX(C130+90,Queue_Intervals!B2)),0)+IF(B130=Queue_Intervals!A3,MAX(0,MIN(D130,Queue_Intervals!C3)-MAX(C130+90,Queue_Intervals!B3)),0)+IF(B130=Queue_Intervals!A4,MAX(0,MIN(D130,Queue_Intervals!C4)-MAX(C130+90,Queue_Intervals!B4)),0)+IF(B130=Queue_Intervals!A5,MAX(0,MIN(D130,Queue_Intervals!C5)-MAX(C130+90,Queue_Intervals!B5)),0)</x:f>
        <x:v>0</x:v>
      </x:c>
      <x:c r="J130" s="11" t="n">
        <x:f>MAX(0,F130-120)</x:f>
        <x:v>42</x:v>
      </x:c>
      <x:c r="K130" s="11" t="n">
        <x:f>IF(B130=Queue_Intervals!A2,MAX(0,MIN(D130,Queue_Intervals!C2)-MAX(C130+120,Queue_Intervals!B2)),0)+IF(B130=Queue_Intervals!A3,MAX(0,MIN(D130,Queue_Intervals!C3)-MAX(C130+120,Queue_Intervals!B3)),0)+IF(B130=Queue_Intervals!A4,MAX(0,MIN(D130,Queue_Intervals!C4)-MAX(C130+120,Queue_Intervals!B4)),0)+IF(B130=Queue_Intervals!A5,MAX(0,MIN(D130,Queue_Intervals!C5)-MAX(C130+120,Queue_Intervals!B5)),0)</x:f>
        <x:v>0</x:v>
      </x:c>
      <x:c r="L130" s="11" t="n">
        <x:f>MAX(0,F130-150)</x:f>
        <x:v>12</x:v>
      </x:c>
      <x:c r="M130" s="11" t="n">
        <x:f>IF(B130=Queue_Intervals!A2,MAX(0,MIN(D130,Queue_Intervals!C2)-MAX(C130+150,Queue_Intervals!B2)),0)+IF(B130=Queue_Intervals!A3,MAX(0,MIN(D130,Queue_Intervals!C3)-MAX(C130+150,Queue_Intervals!B3)),0)+IF(B130=Queue_Intervals!A4,MAX(0,MIN(D130,Queue_Intervals!C4)-MAX(C130+150,Queue_Intervals!B4)),0)+IF(B130=Queue_Intervals!A5,MAX(0,MIN(D130,Queue_Intervals!C5)-MAX(C130+150,Queue_Intervals!B5)),0)</x:f>
        <x:v>0</x:v>
      </x:c>
    </x:row>
    <x:row r="131" ht="25" customHeight="1">
      <x:c r="A131" s="11" t="str">
        <x:v>173_2</x:v>
      </x:c>
      <x:c r="B131" s="13" t="str">
        <x:v>173</x:v>
      </x:c>
      <x:c r="C131" s="13" t="n">
        <x:v>397</x:v>
      </x:c>
      <x:c r="D131" s="13" t="n">
        <x:v>467</x:v>
      </x:c>
      <x:c r="E131" s="13" t="str">
        <x:v>Walk in</x:v>
      </x:c>
      <x:c r="F131" s="13" t="n">
        <x:v>70</x:v>
      </x:c>
      <x:c r="G131" s="13" t="n">
        <x:v>0</x:v>
      </x:c>
      <x:c r="H131" s="11" t="n">
        <x:f>MAX(0,F131-90)</x:f>
        <x:v>0</x:v>
      </x:c>
      <x:c r="I131" s="11" t="n">
        <x:f>IF(B131=Queue_Intervals!A2,MAX(0,MIN(D131,Queue_Intervals!C2)-MAX(C131+90,Queue_Intervals!B2)),0)+IF(B131=Queue_Intervals!A3,MAX(0,MIN(D131,Queue_Intervals!C3)-MAX(C131+90,Queue_Intervals!B3)),0)+IF(B131=Queue_Intervals!A4,MAX(0,MIN(D131,Queue_Intervals!C4)-MAX(C131+90,Queue_Intervals!B4)),0)+IF(B131=Queue_Intervals!A5,MAX(0,MIN(D131,Queue_Intervals!C5)-MAX(C131+90,Queue_Intervals!B5)),0)</x:f>
        <x:v>0</x:v>
      </x:c>
      <x:c r="J131" s="11" t="n">
        <x:f>MAX(0,F131-120)</x:f>
        <x:v>0</x:v>
      </x:c>
      <x:c r="K131" s="11" t="n">
        <x:f>IF(B131=Queue_Intervals!A2,MAX(0,MIN(D131,Queue_Intervals!C2)-MAX(C131+120,Queue_Intervals!B2)),0)+IF(B131=Queue_Intervals!A3,MAX(0,MIN(D131,Queue_Intervals!C3)-MAX(C131+120,Queue_Intervals!B3)),0)+IF(B131=Queue_Intervals!A4,MAX(0,MIN(D131,Queue_Intervals!C4)-MAX(C131+120,Queue_Intervals!B4)),0)+IF(B131=Queue_Intervals!A5,MAX(0,MIN(D131,Queue_Intervals!C5)-MAX(C131+120,Queue_Intervals!B5)),0)</x:f>
        <x:v>0</x:v>
      </x:c>
      <x:c r="L131" s="11" t="n">
        <x:f>MAX(0,F131-150)</x:f>
        <x:v>0</x:v>
      </x:c>
      <x:c r="M131" s="11" t="n">
        <x:f>IF(B131=Queue_Intervals!A2,MAX(0,MIN(D131,Queue_Intervals!C2)-MAX(C131+150,Queue_Intervals!B2)),0)+IF(B131=Queue_Intervals!A3,MAX(0,MIN(D131,Queue_Intervals!C3)-MAX(C131+150,Queue_Intervals!B3)),0)+IF(B131=Queue_Intervals!A4,MAX(0,MIN(D131,Queue_Intervals!C4)-MAX(C131+150,Queue_Intervals!B4)),0)+IF(B131=Queue_Intervals!A5,MAX(0,MIN(D131,Queue_Intervals!C5)-MAX(C131+150,Queue_Intervals!B5)),0)</x:f>
        <x:v>0</x:v>
      </x:c>
    </x:row>
    <x:row r="132" ht="25" customHeight="1">
      <x:c r="A132" s="11" t="str">
        <x:v>173_3</x:v>
      </x:c>
      <x:c r="B132" s="13" t="str">
        <x:v>173</x:v>
      </x:c>
      <x:c r="C132" s="13" t="n">
        <x:v>400</x:v>
      </x:c>
      <x:c r="D132" s="13" t="n">
        <x:v>540</x:v>
      </x:c>
      <x:c r="E132" s="13" t="str">
        <x:v>Walk in</x:v>
      </x:c>
      <x:c r="F132" s="13" t="n">
        <x:v>140</x:v>
      </x:c>
      <x:c r="G132" s="13" t="n">
        <x:v>0</x:v>
      </x:c>
      <x:c r="H132" s="11" t="n">
        <x:f>MAX(0,F132-90)</x:f>
        <x:v>50</x:v>
      </x:c>
      <x:c r="I132" s="11" t="n">
        <x:f>IF(B132=Queue_Intervals!A2,MAX(0,MIN(D132,Queue_Intervals!C2)-MAX(C132+90,Queue_Intervals!B2)),0)+IF(B132=Queue_Intervals!A3,MAX(0,MIN(D132,Queue_Intervals!C3)-MAX(C132+90,Queue_Intervals!B3)),0)+IF(B132=Queue_Intervals!A4,MAX(0,MIN(D132,Queue_Intervals!C4)-MAX(C132+90,Queue_Intervals!B4)),0)+IF(B132=Queue_Intervals!A5,MAX(0,MIN(D132,Queue_Intervals!C5)-MAX(C132+90,Queue_Intervals!B5)),0)</x:f>
        <x:v>0</x:v>
      </x:c>
      <x:c r="J132" s="11" t="n">
        <x:f>MAX(0,F132-120)</x:f>
        <x:v>20</x:v>
      </x:c>
      <x:c r="K132" s="11" t="n">
        <x:f>IF(B132=Queue_Intervals!A2,MAX(0,MIN(D132,Queue_Intervals!C2)-MAX(C132+120,Queue_Intervals!B2)),0)+IF(B132=Queue_Intervals!A3,MAX(0,MIN(D132,Queue_Intervals!C3)-MAX(C132+120,Queue_Intervals!B3)),0)+IF(B132=Queue_Intervals!A4,MAX(0,MIN(D132,Queue_Intervals!C4)-MAX(C132+120,Queue_Intervals!B4)),0)+IF(B132=Queue_Intervals!A5,MAX(0,MIN(D132,Queue_Intervals!C5)-MAX(C132+120,Queue_Intervals!B5)),0)</x:f>
        <x:v>0</x:v>
      </x:c>
      <x:c r="L132" s="11" t="n">
        <x:f>MAX(0,F132-150)</x:f>
        <x:v>0</x:v>
      </x:c>
      <x:c r="M132" s="11" t="n">
        <x:f>IF(B132=Queue_Intervals!A2,MAX(0,MIN(D132,Queue_Intervals!C2)-MAX(C132+150,Queue_Intervals!B2)),0)+IF(B132=Queue_Intervals!A3,MAX(0,MIN(D132,Queue_Intervals!C3)-MAX(C132+150,Queue_Intervals!B3)),0)+IF(B132=Queue_Intervals!A4,MAX(0,MIN(D132,Queue_Intervals!C4)-MAX(C132+150,Queue_Intervals!B4)),0)+IF(B132=Queue_Intervals!A5,MAX(0,MIN(D132,Queue_Intervals!C5)-MAX(C132+150,Queue_Intervals!B5)),0)</x:f>
        <x:v>0</x:v>
      </x:c>
    </x:row>
    <x:row r="133" ht="25" customHeight="1">
      <x:c r="A133" s="11" t="str">
        <x:v>173_5</x:v>
      </x:c>
      <x:c r="B133" s="13" t="str">
        <x:v>173</x:v>
      </x:c>
      <x:c r="C133" s="13" t="n">
        <x:v>412</x:v>
      </x:c>
      <x:c r="D133" s="13" t="n">
        <x:v>474</x:v>
      </x:c>
      <x:c r="E133" s="13" t="str">
        <x:v>Walk in</x:v>
      </x:c>
      <x:c r="F133" s="13" t="n">
        <x:v>62</x:v>
      </x:c>
      <x:c r="G133" s="13" t="n">
        <x:v>0</x:v>
      </x:c>
      <x:c r="H133" s="11" t="n">
        <x:f>MAX(0,F133-90)</x:f>
        <x:v>0</x:v>
      </x:c>
      <x:c r="I133" s="11" t="n">
        <x:f>IF(B133=Queue_Intervals!A2,MAX(0,MIN(D133,Queue_Intervals!C2)-MAX(C133+90,Queue_Intervals!B2)),0)+IF(B133=Queue_Intervals!A3,MAX(0,MIN(D133,Queue_Intervals!C3)-MAX(C133+90,Queue_Intervals!B3)),0)+IF(B133=Queue_Intervals!A4,MAX(0,MIN(D133,Queue_Intervals!C4)-MAX(C133+90,Queue_Intervals!B4)),0)+IF(B133=Queue_Intervals!A5,MAX(0,MIN(D133,Queue_Intervals!C5)-MAX(C133+90,Queue_Intervals!B5)),0)</x:f>
        <x:v>0</x:v>
      </x:c>
      <x:c r="J133" s="11" t="n">
        <x:f>MAX(0,F133-120)</x:f>
        <x:v>0</x:v>
      </x:c>
      <x:c r="K133" s="11" t="n">
        <x:f>IF(B133=Queue_Intervals!A2,MAX(0,MIN(D133,Queue_Intervals!C2)-MAX(C133+120,Queue_Intervals!B2)),0)+IF(B133=Queue_Intervals!A3,MAX(0,MIN(D133,Queue_Intervals!C3)-MAX(C133+120,Queue_Intervals!B3)),0)+IF(B133=Queue_Intervals!A4,MAX(0,MIN(D133,Queue_Intervals!C4)-MAX(C133+120,Queue_Intervals!B4)),0)+IF(B133=Queue_Intervals!A5,MAX(0,MIN(D133,Queue_Intervals!C5)-MAX(C133+120,Queue_Intervals!B5)),0)</x:f>
        <x:v>0</x:v>
      </x:c>
      <x:c r="L133" s="11" t="n">
        <x:f>MAX(0,F133-150)</x:f>
        <x:v>0</x:v>
      </x:c>
      <x:c r="M133" s="11" t="n">
        <x:f>IF(B133=Queue_Intervals!A2,MAX(0,MIN(D133,Queue_Intervals!C2)-MAX(C133+150,Queue_Intervals!B2)),0)+IF(B133=Queue_Intervals!A3,MAX(0,MIN(D133,Queue_Intervals!C3)-MAX(C133+150,Queue_Intervals!B3)),0)+IF(B133=Queue_Intervals!A4,MAX(0,MIN(D133,Queue_Intervals!C4)-MAX(C133+150,Queue_Intervals!B4)),0)+IF(B133=Queue_Intervals!A5,MAX(0,MIN(D133,Queue_Intervals!C5)-MAX(C133+150,Queue_Intervals!B5)),0)</x:f>
        <x:v>0</x:v>
      </x:c>
    </x:row>
    <x:row r="134" ht="25" customHeight="1">
      <x:c r="A134" s="11" t="str">
        <x:v>173_6</x:v>
      </x:c>
      <x:c r="B134" s="13" t="str">
        <x:v>173</x:v>
      </x:c>
      <x:c r="C134" s="13" t="n">
        <x:v>418</x:v>
      </x:c>
      <x:c r="D134" s="13" t="n">
        <x:v>474</x:v>
      </x:c>
      <x:c r="E134" s="13" t="str">
        <x:v>Walk in</x:v>
      </x:c>
      <x:c r="F134" s="13" t="n">
        <x:v>56</x:v>
      </x:c>
      <x:c r="G134" s="13" t="n">
        <x:v>0</x:v>
      </x:c>
      <x:c r="H134" s="11" t="n">
        <x:f>MAX(0,F134-90)</x:f>
        <x:v>0</x:v>
      </x:c>
      <x:c r="I134" s="11" t="n">
        <x:f>IF(B134=Queue_Intervals!A2,MAX(0,MIN(D134,Queue_Intervals!C2)-MAX(C134+90,Queue_Intervals!B2)),0)+IF(B134=Queue_Intervals!A3,MAX(0,MIN(D134,Queue_Intervals!C3)-MAX(C134+90,Queue_Intervals!B3)),0)+IF(B134=Queue_Intervals!A4,MAX(0,MIN(D134,Queue_Intervals!C4)-MAX(C134+90,Queue_Intervals!B4)),0)+IF(B134=Queue_Intervals!A5,MAX(0,MIN(D134,Queue_Intervals!C5)-MAX(C134+90,Queue_Intervals!B5)),0)</x:f>
        <x:v>0</x:v>
      </x:c>
      <x:c r="J134" s="11" t="n">
        <x:f>MAX(0,F134-120)</x:f>
        <x:v>0</x:v>
      </x:c>
      <x:c r="K134" s="11" t="n">
        <x:f>IF(B134=Queue_Intervals!A2,MAX(0,MIN(D134,Queue_Intervals!C2)-MAX(C134+120,Queue_Intervals!B2)),0)+IF(B134=Queue_Intervals!A3,MAX(0,MIN(D134,Queue_Intervals!C3)-MAX(C134+120,Queue_Intervals!B3)),0)+IF(B134=Queue_Intervals!A4,MAX(0,MIN(D134,Queue_Intervals!C4)-MAX(C134+120,Queue_Intervals!B4)),0)+IF(B134=Queue_Intervals!A5,MAX(0,MIN(D134,Queue_Intervals!C5)-MAX(C134+120,Queue_Intervals!B5)),0)</x:f>
        <x:v>0</x:v>
      </x:c>
      <x:c r="L134" s="11" t="n">
        <x:f>MAX(0,F134-150)</x:f>
        <x:v>0</x:v>
      </x:c>
      <x:c r="M134" s="11" t="n">
        <x:f>IF(B134=Queue_Intervals!A2,MAX(0,MIN(D134,Queue_Intervals!C2)-MAX(C134+150,Queue_Intervals!B2)),0)+IF(B134=Queue_Intervals!A3,MAX(0,MIN(D134,Queue_Intervals!C3)-MAX(C134+150,Queue_Intervals!B3)),0)+IF(B134=Queue_Intervals!A4,MAX(0,MIN(D134,Queue_Intervals!C4)-MAX(C134+150,Queue_Intervals!B4)),0)+IF(B134=Queue_Intervals!A5,MAX(0,MIN(D134,Queue_Intervals!C5)-MAX(C134+150,Queue_Intervals!B5)),0)</x:f>
        <x:v>0</x:v>
      </x:c>
    </x:row>
    <x:row r="135" ht="25" customHeight="1">
      <x:c r="A135" s="11" t="str">
        <x:v>173_14</x:v>
      </x:c>
      <x:c r="B135" s="13" t="str">
        <x:v>173</x:v>
      </x:c>
      <x:c r="C135" s="13" t="n">
        <x:v>450</x:v>
      </x:c>
      <x:c r="D135" s="13" t="n">
        <x:v>515</x:v>
      </x:c>
      <x:c r="E135" s="13" t="str">
        <x:v>Walk in</x:v>
      </x:c>
      <x:c r="F135" s="13" t="n">
        <x:v>65</x:v>
      </x:c>
      <x:c r="G135" s="13" t="n">
        <x:v>0</x:v>
      </x:c>
      <x:c r="H135" s="11" t="n">
        <x:f>MAX(0,F135-90)</x:f>
        <x:v>0</x:v>
      </x:c>
      <x:c r="I135" s="11" t="n">
        <x:f>IF(B135=Queue_Intervals!A2,MAX(0,MIN(D135,Queue_Intervals!C2)-MAX(C135+90,Queue_Intervals!B2)),0)+IF(B135=Queue_Intervals!A3,MAX(0,MIN(D135,Queue_Intervals!C3)-MAX(C135+90,Queue_Intervals!B3)),0)+IF(B135=Queue_Intervals!A4,MAX(0,MIN(D135,Queue_Intervals!C4)-MAX(C135+90,Queue_Intervals!B4)),0)+IF(B135=Queue_Intervals!A5,MAX(0,MIN(D135,Queue_Intervals!C5)-MAX(C135+90,Queue_Intervals!B5)),0)</x:f>
        <x:v>0</x:v>
      </x:c>
      <x:c r="J135" s="11" t="n">
        <x:f>MAX(0,F135-120)</x:f>
        <x:v>0</x:v>
      </x:c>
      <x:c r="K135" s="11" t="n">
        <x:f>IF(B135=Queue_Intervals!A2,MAX(0,MIN(D135,Queue_Intervals!C2)-MAX(C135+120,Queue_Intervals!B2)),0)+IF(B135=Queue_Intervals!A3,MAX(0,MIN(D135,Queue_Intervals!C3)-MAX(C135+120,Queue_Intervals!B3)),0)+IF(B135=Queue_Intervals!A4,MAX(0,MIN(D135,Queue_Intervals!C4)-MAX(C135+120,Queue_Intervals!B4)),0)+IF(B135=Queue_Intervals!A5,MAX(0,MIN(D135,Queue_Intervals!C5)-MAX(C135+120,Queue_Intervals!B5)),0)</x:f>
        <x:v>0</x:v>
      </x:c>
      <x:c r="L135" s="11" t="n">
        <x:f>MAX(0,F135-150)</x:f>
        <x:v>0</x:v>
      </x:c>
      <x:c r="M135" s="11" t="n">
        <x:f>IF(B135=Queue_Intervals!A2,MAX(0,MIN(D135,Queue_Intervals!C2)-MAX(C135+150,Queue_Intervals!B2)),0)+IF(B135=Queue_Intervals!A3,MAX(0,MIN(D135,Queue_Intervals!C3)-MAX(C135+150,Queue_Intervals!B3)),0)+IF(B135=Queue_Intervals!A4,MAX(0,MIN(D135,Queue_Intervals!C4)-MAX(C135+150,Queue_Intervals!B4)),0)+IF(B135=Queue_Intervals!A5,MAX(0,MIN(D135,Queue_Intervals!C5)-MAX(C135+150,Queue_Intervals!B5)),0)</x:f>
        <x:v>0</x:v>
      </x:c>
    </x:row>
    <x:row r="136" ht="25" customHeight="1">
      <x:c r="A136" s="11" t="str">
        <x:v>173_16</x:v>
      </x:c>
      <x:c r="B136" s="13" t="str">
        <x:v>173</x:v>
      </x:c>
      <x:c r="C136" s="13" t="n">
        <x:v>456</x:v>
      </x:c>
      <x:c r="D136" s="13" t="n">
        <x:v>476</x:v>
      </x:c>
      <x:c r="E136" s="13" t="str">
        <x:v>Walk in</x:v>
      </x:c>
      <x:c r="F136" s="13" t="n">
        <x:v>20</x:v>
      </x:c>
      <x:c r="G136" s="13" t="n">
        <x:v>0</x:v>
      </x:c>
      <x:c r="H136" s="11" t="n">
        <x:f>MAX(0,F136-90)</x:f>
        <x:v>0</x:v>
      </x:c>
      <x:c r="I136" s="11" t="n">
        <x:f>IF(B136=Queue_Intervals!A2,MAX(0,MIN(D136,Queue_Intervals!C2)-MAX(C136+90,Queue_Intervals!B2)),0)+IF(B136=Queue_Intervals!A3,MAX(0,MIN(D136,Queue_Intervals!C3)-MAX(C136+90,Queue_Intervals!B3)),0)+IF(B136=Queue_Intervals!A4,MAX(0,MIN(D136,Queue_Intervals!C4)-MAX(C136+90,Queue_Intervals!B4)),0)+IF(B136=Queue_Intervals!A5,MAX(0,MIN(D136,Queue_Intervals!C5)-MAX(C136+90,Queue_Intervals!B5)),0)</x:f>
        <x:v>0</x:v>
      </x:c>
      <x:c r="J136" s="11" t="n">
        <x:f>MAX(0,F136-120)</x:f>
        <x:v>0</x:v>
      </x:c>
      <x:c r="K136" s="11" t="n">
        <x:f>IF(B136=Queue_Intervals!A2,MAX(0,MIN(D136,Queue_Intervals!C2)-MAX(C136+120,Queue_Intervals!B2)),0)+IF(B136=Queue_Intervals!A3,MAX(0,MIN(D136,Queue_Intervals!C3)-MAX(C136+120,Queue_Intervals!B3)),0)+IF(B136=Queue_Intervals!A4,MAX(0,MIN(D136,Queue_Intervals!C4)-MAX(C136+120,Queue_Intervals!B4)),0)+IF(B136=Queue_Intervals!A5,MAX(0,MIN(D136,Queue_Intervals!C5)-MAX(C136+120,Queue_Intervals!B5)),0)</x:f>
        <x:v>0</x:v>
      </x:c>
      <x:c r="L136" s="11" t="n">
        <x:f>MAX(0,F136-150)</x:f>
        <x:v>0</x:v>
      </x:c>
      <x:c r="M136" s="11" t="n">
        <x:f>IF(B136=Queue_Intervals!A2,MAX(0,MIN(D136,Queue_Intervals!C2)-MAX(C136+150,Queue_Intervals!B2)),0)+IF(B136=Queue_Intervals!A3,MAX(0,MIN(D136,Queue_Intervals!C3)-MAX(C136+150,Queue_Intervals!B3)),0)+IF(B136=Queue_Intervals!A4,MAX(0,MIN(D136,Queue_Intervals!C4)-MAX(C136+150,Queue_Intervals!B4)),0)+IF(B136=Queue_Intervals!A5,MAX(0,MIN(D136,Queue_Intervals!C5)-MAX(C136+150,Queue_Intervals!B5)),0)</x:f>
        <x:v>0</x:v>
      </x:c>
    </x:row>
    <x:row r="137" ht="25" customHeight="1">
      <x:c r="A137" s="11" t="str">
        <x:v>173_18</x:v>
      </x:c>
      <x:c r="B137" s="13" t="str">
        <x:v>173</x:v>
      </x:c>
      <x:c r="C137" s="13" t="n">
        <x:v>457</x:v>
      </x:c>
      <x:c r="D137" s="13" t="n">
        <x:v>530</x:v>
      </x:c>
      <x:c r="E137" s="13" t="str">
        <x:v>Walk in</x:v>
      </x:c>
      <x:c r="F137" s="13" t="n">
        <x:v>73</x:v>
      </x:c>
      <x:c r="G137" s="13" t="n">
        <x:v>0</x:v>
      </x:c>
      <x:c r="H137" s="11" t="n">
        <x:f>MAX(0,F137-90)</x:f>
        <x:v>0</x:v>
      </x:c>
      <x:c r="I137" s="11" t="n">
        <x:f>IF(B137=Queue_Intervals!A2,MAX(0,MIN(D137,Queue_Intervals!C2)-MAX(C137+90,Queue_Intervals!B2)),0)+IF(B137=Queue_Intervals!A3,MAX(0,MIN(D137,Queue_Intervals!C3)-MAX(C137+90,Queue_Intervals!B3)),0)+IF(B137=Queue_Intervals!A4,MAX(0,MIN(D137,Queue_Intervals!C4)-MAX(C137+90,Queue_Intervals!B4)),0)+IF(B137=Queue_Intervals!A5,MAX(0,MIN(D137,Queue_Intervals!C5)-MAX(C137+90,Queue_Intervals!B5)),0)</x:f>
        <x:v>0</x:v>
      </x:c>
      <x:c r="J137" s="11" t="n">
        <x:f>MAX(0,F137-120)</x:f>
        <x:v>0</x:v>
      </x:c>
      <x:c r="K137" s="11" t="n">
        <x:f>IF(B137=Queue_Intervals!A2,MAX(0,MIN(D137,Queue_Intervals!C2)-MAX(C137+120,Queue_Intervals!B2)),0)+IF(B137=Queue_Intervals!A3,MAX(0,MIN(D137,Queue_Intervals!C3)-MAX(C137+120,Queue_Intervals!B3)),0)+IF(B137=Queue_Intervals!A4,MAX(0,MIN(D137,Queue_Intervals!C4)-MAX(C137+120,Queue_Intervals!B4)),0)+IF(B137=Queue_Intervals!A5,MAX(0,MIN(D137,Queue_Intervals!C5)-MAX(C137+120,Queue_Intervals!B5)),0)</x:f>
        <x:v>0</x:v>
      </x:c>
      <x:c r="L137" s="11" t="n">
        <x:f>MAX(0,F137-150)</x:f>
        <x:v>0</x:v>
      </x:c>
      <x:c r="M137" s="11" t="n">
        <x:f>IF(B137=Queue_Intervals!A2,MAX(0,MIN(D137,Queue_Intervals!C2)-MAX(C137+150,Queue_Intervals!B2)),0)+IF(B137=Queue_Intervals!A3,MAX(0,MIN(D137,Queue_Intervals!C3)-MAX(C137+150,Queue_Intervals!B3)),0)+IF(B137=Queue_Intervals!A4,MAX(0,MIN(D137,Queue_Intervals!C4)-MAX(C137+150,Queue_Intervals!B4)),0)+IF(B137=Queue_Intervals!A5,MAX(0,MIN(D137,Queue_Intervals!C5)-MAX(C137+150,Queue_Intervals!B5)),0)</x:f>
        <x:v>0</x:v>
      </x:c>
    </x:row>
    <x:row r="138" ht="25" customHeight="1">
      <x:c r="A138" s="11" t="str">
        <x:v>173_19</x:v>
      </x:c>
      <x:c r="B138" s="13" t="str">
        <x:v>173</x:v>
      </x:c>
      <x:c r="C138" s="13" t="n">
        <x:v>460</x:v>
      </x:c>
      <x:c r="D138" s="13" t="n">
        <x:v>680</x:v>
      </x:c>
      <x:c r="E138" s="13" t="str">
        <x:v>Walk in</x:v>
      </x:c>
      <x:c r="F138" s="13" t="n">
        <x:v>220</x:v>
      </x:c>
      <x:c r="G138" s="13" t="n">
        <x:v>0</x:v>
      </x:c>
      <x:c r="H138" s="11" t="n">
        <x:f>MAX(0,F138-90)</x:f>
        <x:v>130</x:v>
      </x:c>
      <x:c r="I138" s="11" t="n">
        <x:f>IF(B138=Queue_Intervals!A2,MAX(0,MIN(D138,Queue_Intervals!C2)-MAX(C138+90,Queue_Intervals!B2)),0)+IF(B138=Queue_Intervals!A3,MAX(0,MIN(D138,Queue_Intervals!C3)-MAX(C138+90,Queue_Intervals!B3)),0)+IF(B138=Queue_Intervals!A4,MAX(0,MIN(D138,Queue_Intervals!C4)-MAX(C138+90,Queue_Intervals!B4)),0)+IF(B138=Queue_Intervals!A5,MAX(0,MIN(D138,Queue_Intervals!C5)-MAX(C138+90,Queue_Intervals!B5)),0)</x:f>
        <x:v>0</x:v>
      </x:c>
      <x:c r="J138" s="11" t="n">
        <x:f>MAX(0,F138-120)</x:f>
        <x:v>100</x:v>
      </x:c>
      <x:c r="K138" s="11" t="n">
        <x:f>IF(B138=Queue_Intervals!A2,MAX(0,MIN(D138,Queue_Intervals!C2)-MAX(C138+120,Queue_Intervals!B2)),0)+IF(B138=Queue_Intervals!A3,MAX(0,MIN(D138,Queue_Intervals!C3)-MAX(C138+120,Queue_Intervals!B3)),0)+IF(B138=Queue_Intervals!A4,MAX(0,MIN(D138,Queue_Intervals!C4)-MAX(C138+120,Queue_Intervals!B4)),0)+IF(B138=Queue_Intervals!A5,MAX(0,MIN(D138,Queue_Intervals!C5)-MAX(C138+120,Queue_Intervals!B5)),0)</x:f>
        <x:v>0</x:v>
      </x:c>
      <x:c r="L138" s="11" t="n">
        <x:f>MAX(0,F138-150)</x:f>
        <x:v>70</x:v>
      </x:c>
      <x:c r="M138" s="11" t="n">
        <x:f>IF(B138=Queue_Intervals!A2,MAX(0,MIN(D138,Queue_Intervals!C2)-MAX(C138+150,Queue_Intervals!B2)),0)+IF(B138=Queue_Intervals!A3,MAX(0,MIN(D138,Queue_Intervals!C3)-MAX(C138+150,Queue_Intervals!B3)),0)+IF(B138=Queue_Intervals!A4,MAX(0,MIN(D138,Queue_Intervals!C4)-MAX(C138+150,Queue_Intervals!B4)),0)+IF(B138=Queue_Intervals!A5,MAX(0,MIN(D138,Queue_Intervals!C5)-MAX(C138+150,Queue_Intervals!B5)),0)</x:f>
        <x:v>0</x:v>
      </x:c>
    </x:row>
    <x:row r="139" ht="25" customHeight="1">
      <x:c r="A139" s="11" t="str">
        <x:v>173_20</x:v>
      </x:c>
      <x:c r="B139" s="13" t="str">
        <x:v>173</x:v>
      </x:c>
      <x:c r="C139" s="13" t="n">
        <x:v>460</x:v>
      </x:c>
      <x:c r="D139" s="13" t="n">
        <x:v>565</x:v>
      </x:c>
      <x:c r="E139" s="13" t="str">
        <x:v>Walk in</x:v>
      </x:c>
      <x:c r="F139" s="13" t="n">
        <x:v>105</x:v>
      </x:c>
      <x:c r="G139" s="13" t="n">
        <x:v>0</x:v>
      </x:c>
      <x:c r="H139" s="11" t="n">
        <x:f>MAX(0,F139-90)</x:f>
        <x:v>15</x:v>
      </x:c>
      <x:c r="I139" s="11" t="n">
        <x:f>IF(B139=Queue_Intervals!A2,MAX(0,MIN(D139,Queue_Intervals!C2)-MAX(C139+90,Queue_Intervals!B2)),0)+IF(B139=Queue_Intervals!A3,MAX(0,MIN(D139,Queue_Intervals!C3)-MAX(C139+90,Queue_Intervals!B3)),0)+IF(B139=Queue_Intervals!A4,MAX(0,MIN(D139,Queue_Intervals!C4)-MAX(C139+90,Queue_Intervals!B4)),0)+IF(B139=Queue_Intervals!A5,MAX(0,MIN(D139,Queue_Intervals!C5)-MAX(C139+90,Queue_Intervals!B5)),0)</x:f>
        <x:v>0</x:v>
      </x:c>
      <x:c r="J139" s="11" t="n">
        <x:f>MAX(0,F139-120)</x:f>
        <x:v>0</x:v>
      </x:c>
      <x:c r="K139" s="11" t="n">
        <x:f>IF(B139=Queue_Intervals!A2,MAX(0,MIN(D139,Queue_Intervals!C2)-MAX(C139+120,Queue_Intervals!B2)),0)+IF(B139=Queue_Intervals!A3,MAX(0,MIN(D139,Queue_Intervals!C3)-MAX(C139+120,Queue_Intervals!B3)),0)+IF(B139=Queue_Intervals!A4,MAX(0,MIN(D139,Queue_Intervals!C4)-MAX(C139+120,Queue_Intervals!B4)),0)+IF(B139=Queue_Intervals!A5,MAX(0,MIN(D139,Queue_Intervals!C5)-MAX(C139+120,Queue_Intervals!B5)),0)</x:f>
        <x:v>0</x:v>
      </x:c>
      <x:c r="L139" s="11" t="n">
        <x:f>MAX(0,F139-150)</x:f>
        <x:v>0</x:v>
      </x:c>
      <x:c r="M139" s="11" t="n">
        <x:f>IF(B139=Queue_Intervals!A2,MAX(0,MIN(D139,Queue_Intervals!C2)-MAX(C139+150,Queue_Intervals!B2)),0)+IF(B139=Queue_Intervals!A3,MAX(0,MIN(D139,Queue_Intervals!C3)-MAX(C139+150,Queue_Intervals!B3)),0)+IF(B139=Queue_Intervals!A4,MAX(0,MIN(D139,Queue_Intervals!C4)-MAX(C139+150,Queue_Intervals!B4)),0)+IF(B139=Queue_Intervals!A5,MAX(0,MIN(D139,Queue_Intervals!C5)-MAX(C139+150,Queue_Intervals!B5)),0)</x:f>
        <x:v>0</x:v>
      </x:c>
    </x:row>
    <x:row r="140" ht="25" customHeight="1">
      <x:c r="A140" s="11" t="str">
        <x:v>173_24</x:v>
      </x:c>
      <x:c r="B140" s="13" t="str">
        <x:v>173</x:v>
      </x:c>
      <x:c r="C140" s="13" t="n">
        <x:v>471</x:v>
      </x:c>
      <x:c r="D140" s="13" t="n">
        <x:v>501</x:v>
      </x:c>
      <x:c r="E140" s="13" t="str">
        <x:v>Walk in</x:v>
      </x:c>
      <x:c r="F140" s="13" t="n">
        <x:v>30</x:v>
      </x:c>
      <x:c r="G140" s="13" t="n">
        <x:v>0</x:v>
      </x:c>
      <x:c r="H140" s="11" t="n">
        <x:f>MAX(0,F140-90)</x:f>
        <x:v>0</x:v>
      </x:c>
      <x:c r="I140" s="11" t="n">
        <x:f>IF(B140=Queue_Intervals!A2,MAX(0,MIN(D140,Queue_Intervals!C2)-MAX(C140+90,Queue_Intervals!B2)),0)+IF(B140=Queue_Intervals!A3,MAX(0,MIN(D140,Queue_Intervals!C3)-MAX(C140+90,Queue_Intervals!B3)),0)+IF(B140=Queue_Intervals!A4,MAX(0,MIN(D140,Queue_Intervals!C4)-MAX(C140+90,Queue_Intervals!B4)),0)+IF(B140=Queue_Intervals!A5,MAX(0,MIN(D140,Queue_Intervals!C5)-MAX(C140+90,Queue_Intervals!B5)),0)</x:f>
        <x:v>0</x:v>
      </x:c>
      <x:c r="J140" s="11" t="n">
        <x:f>MAX(0,F140-120)</x:f>
        <x:v>0</x:v>
      </x:c>
      <x:c r="K140" s="11" t="n">
        <x:f>IF(B140=Queue_Intervals!A2,MAX(0,MIN(D140,Queue_Intervals!C2)-MAX(C140+120,Queue_Intervals!B2)),0)+IF(B140=Queue_Intervals!A3,MAX(0,MIN(D140,Queue_Intervals!C3)-MAX(C140+120,Queue_Intervals!B3)),0)+IF(B140=Queue_Intervals!A4,MAX(0,MIN(D140,Queue_Intervals!C4)-MAX(C140+120,Queue_Intervals!B4)),0)+IF(B140=Queue_Intervals!A5,MAX(0,MIN(D140,Queue_Intervals!C5)-MAX(C140+120,Queue_Intervals!B5)),0)</x:f>
        <x:v>0</x:v>
      </x:c>
      <x:c r="L140" s="11" t="n">
        <x:f>MAX(0,F140-150)</x:f>
        <x:v>0</x:v>
      </x:c>
      <x:c r="M140" s="11" t="n">
        <x:f>IF(B140=Queue_Intervals!A2,MAX(0,MIN(D140,Queue_Intervals!C2)-MAX(C140+150,Queue_Intervals!B2)),0)+IF(B140=Queue_Intervals!A3,MAX(0,MIN(D140,Queue_Intervals!C3)-MAX(C140+150,Queue_Intervals!B3)),0)+IF(B140=Queue_Intervals!A4,MAX(0,MIN(D140,Queue_Intervals!C4)-MAX(C140+150,Queue_Intervals!B4)),0)+IF(B140=Queue_Intervals!A5,MAX(0,MIN(D140,Queue_Intervals!C5)-MAX(C140+150,Queue_Intervals!B5)),0)</x:f>
        <x:v>0</x:v>
      </x:c>
    </x:row>
    <x:row r="141" ht="25" customHeight="1">
      <x:c r="A141" s="11" t="str">
        <x:v>173_25</x:v>
      </x:c>
      <x:c r="B141" s="13" t="str">
        <x:v>173</x:v>
      </x:c>
      <x:c r="C141" s="13" t="n">
        <x:v>476</x:v>
      </x:c>
      <x:c r="D141" s="13" t="n">
        <x:v>536</x:v>
      </x:c>
      <x:c r="E141" s="13" t="str">
        <x:v>Walk in</x:v>
      </x:c>
      <x:c r="F141" s="13" t="n">
        <x:v>60</x:v>
      </x:c>
      <x:c r="G141" s="13" t="n">
        <x:v>0</x:v>
      </x:c>
      <x:c r="H141" s="11" t="n">
        <x:f>MAX(0,F141-90)</x:f>
        <x:v>0</x:v>
      </x:c>
      <x:c r="I141" s="11" t="n">
        <x:f>IF(B141=Queue_Intervals!A2,MAX(0,MIN(D141,Queue_Intervals!C2)-MAX(C141+90,Queue_Intervals!B2)),0)+IF(B141=Queue_Intervals!A3,MAX(0,MIN(D141,Queue_Intervals!C3)-MAX(C141+90,Queue_Intervals!B3)),0)+IF(B141=Queue_Intervals!A4,MAX(0,MIN(D141,Queue_Intervals!C4)-MAX(C141+90,Queue_Intervals!B4)),0)+IF(B141=Queue_Intervals!A5,MAX(0,MIN(D141,Queue_Intervals!C5)-MAX(C141+90,Queue_Intervals!B5)),0)</x:f>
        <x:v>0</x:v>
      </x:c>
      <x:c r="J141" s="11" t="n">
        <x:f>MAX(0,F141-120)</x:f>
        <x:v>0</x:v>
      </x:c>
      <x:c r="K141" s="11" t="n">
        <x:f>IF(B141=Queue_Intervals!A2,MAX(0,MIN(D141,Queue_Intervals!C2)-MAX(C141+120,Queue_Intervals!B2)),0)+IF(B141=Queue_Intervals!A3,MAX(0,MIN(D141,Queue_Intervals!C3)-MAX(C141+120,Queue_Intervals!B3)),0)+IF(B141=Queue_Intervals!A4,MAX(0,MIN(D141,Queue_Intervals!C4)-MAX(C141+120,Queue_Intervals!B4)),0)+IF(B141=Queue_Intervals!A5,MAX(0,MIN(D141,Queue_Intervals!C5)-MAX(C141+120,Queue_Intervals!B5)),0)</x:f>
        <x:v>0</x:v>
      </x:c>
      <x:c r="L141" s="11" t="n">
        <x:f>MAX(0,F141-150)</x:f>
        <x:v>0</x:v>
      </x:c>
      <x:c r="M141" s="11" t="n">
        <x:f>IF(B141=Queue_Intervals!A2,MAX(0,MIN(D141,Queue_Intervals!C2)-MAX(C141+150,Queue_Intervals!B2)),0)+IF(B141=Queue_Intervals!A3,MAX(0,MIN(D141,Queue_Intervals!C3)-MAX(C141+150,Queue_Intervals!B3)),0)+IF(B141=Queue_Intervals!A4,MAX(0,MIN(D141,Queue_Intervals!C4)-MAX(C141+150,Queue_Intervals!B4)),0)+IF(B141=Queue_Intervals!A5,MAX(0,MIN(D141,Queue_Intervals!C5)-MAX(C141+150,Queue_Intervals!B5)),0)</x:f>
        <x:v>0</x:v>
      </x:c>
    </x:row>
    <x:row r="142" ht="25" customHeight="1">
      <x:c r="A142" s="11" t="str">
        <x:v>173_26</x:v>
      </x:c>
      <x:c r="B142" s="13" t="str">
        <x:v>173</x:v>
      </x:c>
      <x:c r="C142" s="13" t="n">
        <x:v>485</x:v>
      </x:c>
      <x:c r="D142" s="13" t="n">
        <x:v>544</x:v>
      </x:c>
      <x:c r="E142" s="13" t="str">
        <x:v>Walk in</x:v>
      </x:c>
      <x:c r="F142" s="13" t="n">
        <x:v>59</x:v>
      </x:c>
      <x:c r="G142" s="13" t="n">
        <x:v>0</x:v>
      </x:c>
      <x:c r="H142" s="11" t="n">
        <x:f>MAX(0,F142-90)</x:f>
        <x:v>0</x:v>
      </x:c>
      <x:c r="I142" s="11" t="n">
        <x:f>IF(B142=Queue_Intervals!A2,MAX(0,MIN(D142,Queue_Intervals!C2)-MAX(C142+90,Queue_Intervals!B2)),0)+IF(B142=Queue_Intervals!A3,MAX(0,MIN(D142,Queue_Intervals!C3)-MAX(C142+90,Queue_Intervals!B3)),0)+IF(B142=Queue_Intervals!A4,MAX(0,MIN(D142,Queue_Intervals!C4)-MAX(C142+90,Queue_Intervals!B4)),0)+IF(B142=Queue_Intervals!A5,MAX(0,MIN(D142,Queue_Intervals!C5)-MAX(C142+90,Queue_Intervals!B5)),0)</x:f>
        <x:v>0</x:v>
      </x:c>
      <x:c r="J142" s="11" t="n">
        <x:f>MAX(0,F142-120)</x:f>
        <x:v>0</x:v>
      </x:c>
      <x:c r="K142" s="11" t="n">
        <x:f>IF(B142=Queue_Intervals!A2,MAX(0,MIN(D142,Queue_Intervals!C2)-MAX(C142+120,Queue_Intervals!B2)),0)+IF(B142=Queue_Intervals!A3,MAX(0,MIN(D142,Queue_Intervals!C3)-MAX(C142+120,Queue_Intervals!B3)),0)+IF(B142=Queue_Intervals!A4,MAX(0,MIN(D142,Queue_Intervals!C4)-MAX(C142+120,Queue_Intervals!B4)),0)+IF(B142=Queue_Intervals!A5,MAX(0,MIN(D142,Queue_Intervals!C5)-MAX(C142+120,Queue_Intervals!B5)),0)</x:f>
        <x:v>0</x:v>
      </x:c>
      <x:c r="L142" s="11" t="n">
        <x:f>MAX(0,F142-150)</x:f>
        <x:v>0</x:v>
      </x:c>
      <x:c r="M142" s="11" t="n">
        <x:f>IF(B142=Queue_Intervals!A2,MAX(0,MIN(D142,Queue_Intervals!C2)-MAX(C142+150,Queue_Intervals!B2)),0)+IF(B142=Queue_Intervals!A3,MAX(0,MIN(D142,Queue_Intervals!C3)-MAX(C142+150,Queue_Intervals!B3)),0)+IF(B142=Queue_Intervals!A4,MAX(0,MIN(D142,Queue_Intervals!C4)-MAX(C142+150,Queue_Intervals!B4)),0)+IF(B142=Queue_Intervals!A5,MAX(0,MIN(D142,Queue_Intervals!C5)-MAX(C142+150,Queue_Intervals!B5)),0)</x:f>
        <x:v>0</x:v>
      </x:c>
    </x:row>
    <x:row r="143" ht="25" customHeight="1">
      <x:c r="A143" s="11" t="str">
        <x:v>173_28</x:v>
      </x:c>
      <x:c r="B143" s="13" t="str">
        <x:v>173</x:v>
      </x:c>
      <x:c r="C143" s="13" t="n">
        <x:v>486</x:v>
      </x:c>
      <x:c r="D143" s="13" t="n">
        <x:v>533</x:v>
      </x:c>
      <x:c r="E143" s="13" t="str">
        <x:v>Walk in</x:v>
      </x:c>
      <x:c r="F143" s="13" t="n">
        <x:v>47</x:v>
      </x:c>
      <x:c r="G143" s="13" t="n">
        <x:v>0</x:v>
      </x:c>
      <x:c r="H143" s="11" t="n">
        <x:f>MAX(0,F143-90)</x:f>
        <x:v>0</x:v>
      </x:c>
      <x:c r="I143" s="11" t="n">
        <x:f>IF(B143=Queue_Intervals!A2,MAX(0,MIN(D143,Queue_Intervals!C2)-MAX(C143+90,Queue_Intervals!B2)),0)+IF(B143=Queue_Intervals!A3,MAX(0,MIN(D143,Queue_Intervals!C3)-MAX(C143+90,Queue_Intervals!B3)),0)+IF(B143=Queue_Intervals!A4,MAX(0,MIN(D143,Queue_Intervals!C4)-MAX(C143+90,Queue_Intervals!B4)),0)+IF(B143=Queue_Intervals!A5,MAX(0,MIN(D143,Queue_Intervals!C5)-MAX(C143+90,Queue_Intervals!B5)),0)</x:f>
        <x:v>0</x:v>
      </x:c>
      <x:c r="J143" s="11" t="n">
        <x:f>MAX(0,F143-120)</x:f>
        <x:v>0</x:v>
      </x:c>
      <x:c r="K143" s="11" t="n">
        <x:f>IF(B143=Queue_Intervals!A2,MAX(0,MIN(D143,Queue_Intervals!C2)-MAX(C143+120,Queue_Intervals!B2)),0)+IF(B143=Queue_Intervals!A3,MAX(0,MIN(D143,Queue_Intervals!C3)-MAX(C143+120,Queue_Intervals!B3)),0)+IF(B143=Queue_Intervals!A4,MAX(0,MIN(D143,Queue_Intervals!C4)-MAX(C143+120,Queue_Intervals!B4)),0)+IF(B143=Queue_Intervals!A5,MAX(0,MIN(D143,Queue_Intervals!C5)-MAX(C143+120,Queue_Intervals!B5)),0)</x:f>
        <x:v>0</x:v>
      </x:c>
      <x:c r="L143" s="11" t="n">
        <x:f>MAX(0,F143-150)</x:f>
        <x:v>0</x:v>
      </x:c>
      <x:c r="M143" s="11" t="n">
        <x:f>IF(B143=Queue_Intervals!A2,MAX(0,MIN(D143,Queue_Intervals!C2)-MAX(C143+150,Queue_Intervals!B2)),0)+IF(B143=Queue_Intervals!A3,MAX(0,MIN(D143,Queue_Intervals!C3)-MAX(C143+150,Queue_Intervals!B3)),0)+IF(B143=Queue_Intervals!A4,MAX(0,MIN(D143,Queue_Intervals!C4)-MAX(C143+150,Queue_Intervals!B4)),0)+IF(B143=Queue_Intervals!A5,MAX(0,MIN(D143,Queue_Intervals!C5)-MAX(C143+150,Queue_Intervals!B5)),0)</x:f>
        <x:v>0</x:v>
      </x:c>
    </x:row>
    <x:row r="144" ht="25" customHeight="1">
      <x:c r="A144" s="11" t="str">
        <x:v>173_29</x:v>
      </x:c>
      <x:c r="B144" s="13" t="str">
        <x:v>173</x:v>
      </x:c>
      <x:c r="C144" s="13" t="n">
        <x:v>496</x:v>
      </x:c>
      <x:c r="D144" s="13" t="n">
        <x:v>569</x:v>
      </x:c>
      <x:c r="E144" s="13" t="str">
        <x:v>Walk in</x:v>
      </x:c>
      <x:c r="F144" s="13" t="n">
        <x:v>73</x:v>
      </x:c>
      <x:c r="G144" s="13" t="n">
        <x:v>0</x:v>
      </x:c>
      <x:c r="H144" s="11" t="n">
        <x:f>MAX(0,F144-90)</x:f>
        <x:v>0</x:v>
      </x:c>
      <x:c r="I144" s="11" t="n">
        <x:f>IF(B144=Queue_Intervals!A2,MAX(0,MIN(D144,Queue_Intervals!C2)-MAX(C144+90,Queue_Intervals!B2)),0)+IF(B144=Queue_Intervals!A3,MAX(0,MIN(D144,Queue_Intervals!C3)-MAX(C144+90,Queue_Intervals!B3)),0)+IF(B144=Queue_Intervals!A4,MAX(0,MIN(D144,Queue_Intervals!C4)-MAX(C144+90,Queue_Intervals!B4)),0)+IF(B144=Queue_Intervals!A5,MAX(0,MIN(D144,Queue_Intervals!C5)-MAX(C144+90,Queue_Intervals!B5)),0)</x:f>
        <x:v>0</x:v>
      </x:c>
      <x:c r="J144" s="11" t="n">
        <x:f>MAX(0,F144-120)</x:f>
        <x:v>0</x:v>
      </x:c>
      <x:c r="K144" s="11" t="n">
        <x:f>IF(B144=Queue_Intervals!A2,MAX(0,MIN(D144,Queue_Intervals!C2)-MAX(C144+120,Queue_Intervals!B2)),0)+IF(B144=Queue_Intervals!A3,MAX(0,MIN(D144,Queue_Intervals!C3)-MAX(C144+120,Queue_Intervals!B3)),0)+IF(B144=Queue_Intervals!A4,MAX(0,MIN(D144,Queue_Intervals!C4)-MAX(C144+120,Queue_Intervals!B4)),0)+IF(B144=Queue_Intervals!A5,MAX(0,MIN(D144,Queue_Intervals!C5)-MAX(C144+120,Queue_Intervals!B5)),0)</x:f>
        <x:v>0</x:v>
      </x:c>
      <x:c r="L144" s="11" t="n">
        <x:f>MAX(0,F144-150)</x:f>
        <x:v>0</x:v>
      </x:c>
      <x:c r="M144" s="11" t="n">
        <x:f>IF(B144=Queue_Intervals!A2,MAX(0,MIN(D144,Queue_Intervals!C2)-MAX(C144+150,Queue_Intervals!B2)),0)+IF(B144=Queue_Intervals!A3,MAX(0,MIN(D144,Queue_Intervals!C3)-MAX(C144+150,Queue_Intervals!B3)),0)+IF(B144=Queue_Intervals!A4,MAX(0,MIN(D144,Queue_Intervals!C4)-MAX(C144+150,Queue_Intervals!B4)),0)+IF(B144=Queue_Intervals!A5,MAX(0,MIN(D144,Queue_Intervals!C5)-MAX(C144+150,Queue_Intervals!B5)),0)</x:f>
        <x:v>0</x:v>
      </x:c>
    </x:row>
    <x:row r="145" ht="25" customHeight="1">
      <x:c r="A145" s="11" t="str">
        <x:v>173_31</x:v>
      </x:c>
      <x:c r="B145" s="13" t="str">
        <x:v>173</x:v>
      </x:c>
      <x:c r="C145" s="13" t="n">
        <x:v>504</x:v>
      </x:c>
      <x:c r="D145" s="13" t="n">
        <x:v>589</x:v>
      </x:c>
      <x:c r="E145" s="13" t="str">
        <x:v>Walk in</x:v>
      </x:c>
      <x:c r="F145" s="13" t="n">
        <x:v>85</x:v>
      </x:c>
      <x:c r="G145" s="13" t="n">
        <x:v>0</x:v>
      </x:c>
      <x:c r="H145" s="11" t="n">
        <x:f>MAX(0,F145-90)</x:f>
        <x:v>0</x:v>
      </x:c>
      <x:c r="I145" s="11" t="n">
        <x:f>IF(B145=Queue_Intervals!A2,MAX(0,MIN(D145,Queue_Intervals!C2)-MAX(C145+90,Queue_Intervals!B2)),0)+IF(B145=Queue_Intervals!A3,MAX(0,MIN(D145,Queue_Intervals!C3)-MAX(C145+90,Queue_Intervals!B3)),0)+IF(B145=Queue_Intervals!A4,MAX(0,MIN(D145,Queue_Intervals!C4)-MAX(C145+90,Queue_Intervals!B4)),0)+IF(B145=Queue_Intervals!A5,MAX(0,MIN(D145,Queue_Intervals!C5)-MAX(C145+90,Queue_Intervals!B5)),0)</x:f>
        <x:v>0</x:v>
      </x:c>
      <x:c r="J145" s="11" t="n">
        <x:f>MAX(0,F145-120)</x:f>
        <x:v>0</x:v>
      </x:c>
      <x:c r="K145" s="11" t="n">
        <x:f>IF(B145=Queue_Intervals!A2,MAX(0,MIN(D145,Queue_Intervals!C2)-MAX(C145+120,Queue_Intervals!B2)),0)+IF(B145=Queue_Intervals!A3,MAX(0,MIN(D145,Queue_Intervals!C3)-MAX(C145+120,Queue_Intervals!B3)),0)+IF(B145=Queue_Intervals!A4,MAX(0,MIN(D145,Queue_Intervals!C4)-MAX(C145+120,Queue_Intervals!B4)),0)+IF(B145=Queue_Intervals!A5,MAX(0,MIN(D145,Queue_Intervals!C5)-MAX(C145+120,Queue_Intervals!B5)),0)</x:f>
        <x:v>0</x:v>
      </x:c>
      <x:c r="L145" s="11" t="n">
        <x:f>MAX(0,F145-150)</x:f>
        <x:v>0</x:v>
      </x:c>
      <x:c r="M145" s="11" t="n">
        <x:f>IF(B145=Queue_Intervals!A2,MAX(0,MIN(D145,Queue_Intervals!C2)-MAX(C145+150,Queue_Intervals!B2)),0)+IF(B145=Queue_Intervals!A3,MAX(0,MIN(D145,Queue_Intervals!C3)-MAX(C145+150,Queue_Intervals!B3)),0)+IF(B145=Queue_Intervals!A4,MAX(0,MIN(D145,Queue_Intervals!C4)-MAX(C145+150,Queue_Intervals!B4)),0)+IF(B145=Queue_Intervals!A5,MAX(0,MIN(D145,Queue_Intervals!C5)-MAX(C145+150,Queue_Intervals!B5)),0)</x:f>
        <x:v>0</x:v>
      </x:c>
    </x:row>
    <x:row r="146" ht="25" customHeight="1">
      <x:c r="A146" s="11" t="str">
        <x:v>173_32</x:v>
      </x:c>
      <x:c r="B146" s="13" t="str">
        <x:v>173</x:v>
      </x:c>
      <x:c r="C146" s="13" t="n">
        <x:v>513</x:v>
      </x:c>
      <x:c r="D146" s="13" t="n">
        <x:v>553</x:v>
      </x:c>
      <x:c r="E146" s="13" t="str">
        <x:v>Walk in</x:v>
      </x:c>
      <x:c r="F146" s="13" t="n">
        <x:v>40</x:v>
      </x:c>
      <x:c r="G146" s="13" t="n">
        <x:v>0</x:v>
      </x:c>
      <x:c r="H146" s="11" t="n">
        <x:f>MAX(0,F146-90)</x:f>
        <x:v>0</x:v>
      </x:c>
      <x:c r="I146" s="11" t="n">
        <x:f>IF(B146=Queue_Intervals!A2,MAX(0,MIN(D146,Queue_Intervals!C2)-MAX(C146+90,Queue_Intervals!B2)),0)+IF(B146=Queue_Intervals!A3,MAX(0,MIN(D146,Queue_Intervals!C3)-MAX(C146+90,Queue_Intervals!B3)),0)+IF(B146=Queue_Intervals!A4,MAX(0,MIN(D146,Queue_Intervals!C4)-MAX(C146+90,Queue_Intervals!B4)),0)+IF(B146=Queue_Intervals!A5,MAX(0,MIN(D146,Queue_Intervals!C5)-MAX(C146+90,Queue_Intervals!B5)),0)</x:f>
        <x:v>0</x:v>
      </x:c>
      <x:c r="J146" s="11" t="n">
        <x:f>MAX(0,F146-120)</x:f>
        <x:v>0</x:v>
      </x:c>
      <x:c r="K146" s="11" t="n">
        <x:f>IF(B146=Queue_Intervals!A2,MAX(0,MIN(D146,Queue_Intervals!C2)-MAX(C146+120,Queue_Intervals!B2)),0)+IF(B146=Queue_Intervals!A3,MAX(0,MIN(D146,Queue_Intervals!C3)-MAX(C146+120,Queue_Intervals!B3)),0)+IF(B146=Queue_Intervals!A4,MAX(0,MIN(D146,Queue_Intervals!C4)-MAX(C146+120,Queue_Intervals!B4)),0)+IF(B146=Queue_Intervals!A5,MAX(0,MIN(D146,Queue_Intervals!C5)-MAX(C146+120,Queue_Intervals!B5)),0)</x:f>
        <x:v>0</x:v>
      </x:c>
      <x:c r="L146" s="11" t="n">
        <x:f>MAX(0,F146-150)</x:f>
        <x:v>0</x:v>
      </x:c>
      <x:c r="M146" s="11" t="n">
        <x:f>IF(B146=Queue_Intervals!A2,MAX(0,MIN(D146,Queue_Intervals!C2)-MAX(C146+150,Queue_Intervals!B2)),0)+IF(B146=Queue_Intervals!A3,MAX(0,MIN(D146,Queue_Intervals!C3)-MAX(C146+150,Queue_Intervals!B3)),0)+IF(B146=Queue_Intervals!A4,MAX(0,MIN(D146,Queue_Intervals!C4)-MAX(C146+150,Queue_Intervals!B4)),0)+IF(B146=Queue_Intervals!A5,MAX(0,MIN(D146,Queue_Intervals!C5)-MAX(C146+150,Queue_Intervals!B5)),0)</x:f>
        <x:v>0</x:v>
      </x:c>
    </x:row>
    <x:row r="147" ht="25" customHeight="1">
      <x:c r="A147" s="11" t="str">
        <x:v>173_34</x:v>
      </x:c>
      <x:c r="B147" s="13" t="str">
        <x:v>173</x:v>
      </x:c>
      <x:c r="C147" s="13" t="n">
        <x:v>521</x:v>
      </x:c>
      <x:c r="D147" s="13" t="n">
        <x:v>571</x:v>
      </x:c>
      <x:c r="E147" s="13" t="str">
        <x:v>Walk in</x:v>
      </x:c>
      <x:c r="F147" s="13" t="n">
        <x:v>50</x:v>
      </x:c>
      <x:c r="G147" s="13" t="n">
        <x:v>0</x:v>
      </x:c>
      <x:c r="H147" s="11" t="n">
        <x:f>MAX(0,F147-90)</x:f>
        <x:v>0</x:v>
      </x:c>
      <x:c r="I147" s="11" t="n">
        <x:f>IF(B147=Queue_Intervals!A2,MAX(0,MIN(D147,Queue_Intervals!C2)-MAX(C147+90,Queue_Intervals!B2)),0)+IF(B147=Queue_Intervals!A3,MAX(0,MIN(D147,Queue_Intervals!C3)-MAX(C147+90,Queue_Intervals!B3)),0)+IF(B147=Queue_Intervals!A4,MAX(0,MIN(D147,Queue_Intervals!C4)-MAX(C147+90,Queue_Intervals!B4)),0)+IF(B147=Queue_Intervals!A5,MAX(0,MIN(D147,Queue_Intervals!C5)-MAX(C147+90,Queue_Intervals!B5)),0)</x:f>
        <x:v>0</x:v>
      </x:c>
      <x:c r="J147" s="11" t="n">
        <x:f>MAX(0,F147-120)</x:f>
        <x:v>0</x:v>
      </x:c>
      <x:c r="K147" s="11" t="n">
        <x:f>IF(B147=Queue_Intervals!A2,MAX(0,MIN(D147,Queue_Intervals!C2)-MAX(C147+120,Queue_Intervals!B2)),0)+IF(B147=Queue_Intervals!A3,MAX(0,MIN(D147,Queue_Intervals!C3)-MAX(C147+120,Queue_Intervals!B3)),0)+IF(B147=Queue_Intervals!A4,MAX(0,MIN(D147,Queue_Intervals!C4)-MAX(C147+120,Queue_Intervals!B4)),0)+IF(B147=Queue_Intervals!A5,MAX(0,MIN(D147,Queue_Intervals!C5)-MAX(C147+120,Queue_Intervals!B5)),0)</x:f>
        <x:v>0</x:v>
      </x:c>
      <x:c r="L147" s="11" t="n">
        <x:f>MAX(0,F147-150)</x:f>
        <x:v>0</x:v>
      </x:c>
      <x:c r="M147" s="11" t="n">
        <x:f>IF(B147=Queue_Intervals!A2,MAX(0,MIN(D147,Queue_Intervals!C2)-MAX(C147+150,Queue_Intervals!B2)),0)+IF(B147=Queue_Intervals!A3,MAX(0,MIN(D147,Queue_Intervals!C3)-MAX(C147+150,Queue_Intervals!B3)),0)+IF(B147=Queue_Intervals!A4,MAX(0,MIN(D147,Queue_Intervals!C4)-MAX(C147+150,Queue_Intervals!B4)),0)+IF(B147=Queue_Intervals!A5,MAX(0,MIN(D147,Queue_Intervals!C5)-MAX(C147+150,Queue_Intervals!B5)),0)</x:f>
        <x:v>0</x:v>
      </x:c>
    </x:row>
    <x:row r="148" ht="25" customHeight="1">
      <x:c r="A148" s="11" t="str">
        <x:v>173_35</x:v>
      </x:c>
      <x:c r="B148" s="13" t="str">
        <x:v>173</x:v>
      </x:c>
      <x:c r="C148" s="13" t="n">
        <x:v>523</x:v>
      </x:c>
      <x:c r="D148" s="13" t="n">
        <x:v>560</x:v>
      </x:c>
      <x:c r="E148" s="13" t="str">
        <x:v>Walk in</x:v>
      </x:c>
      <x:c r="F148" s="13" t="n">
        <x:v>37</x:v>
      </x:c>
      <x:c r="G148" s="13" t="n">
        <x:v>0</x:v>
      </x:c>
      <x:c r="H148" s="11" t="n">
        <x:f>MAX(0,F148-90)</x:f>
        <x:v>0</x:v>
      </x:c>
      <x:c r="I148" s="11" t="n">
        <x:f>IF(B148=Queue_Intervals!A2,MAX(0,MIN(D148,Queue_Intervals!C2)-MAX(C148+90,Queue_Intervals!B2)),0)+IF(B148=Queue_Intervals!A3,MAX(0,MIN(D148,Queue_Intervals!C3)-MAX(C148+90,Queue_Intervals!B3)),0)+IF(B148=Queue_Intervals!A4,MAX(0,MIN(D148,Queue_Intervals!C4)-MAX(C148+90,Queue_Intervals!B4)),0)+IF(B148=Queue_Intervals!A5,MAX(0,MIN(D148,Queue_Intervals!C5)-MAX(C148+90,Queue_Intervals!B5)),0)</x:f>
        <x:v>0</x:v>
      </x:c>
      <x:c r="J148" s="11" t="n">
        <x:f>MAX(0,F148-120)</x:f>
        <x:v>0</x:v>
      </x:c>
      <x:c r="K148" s="11" t="n">
        <x:f>IF(B148=Queue_Intervals!A2,MAX(0,MIN(D148,Queue_Intervals!C2)-MAX(C148+120,Queue_Intervals!B2)),0)+IF(B148=Queue_Intervals!A3,MAX(0,MIN(D148,Queue_Intervals!C3)-MAX(C148+120,Queue_Intervals!B3)),0)+IF(B148=Queue_Intervals!A4,MAX(0,MIN(D148,Queue_Intervals!C4)-MAX(C148+120,Queue_Intervals!B4)),0)+IF(B148=Queue_Intervals!A5,MAX(0,MIN(D148,Queue_Intervals!C5)-MAX(C148+120,Queue_Intervals!B5)),0)</x:f>
        <x:v>0</x:v>
      </x:c>
      <x:c r="L148" s="11" t="n">
        <x:f>MAX(0,F148-150)</x:f>
        <x:v>0</x:v>
      </x:c>
      <x:c r="M148" s="11" t="n">
        <x:f>IF(B148=Queue_Intervals!A2,MAX(0,MIN(D148,Queue_Intervals!C2)-MAX(C148+150,Queue_Intervals!B2)),0)+IF(B148=Queue_Intervals!A3,MAX(0,MIN(D148,Queue_Intervals!C3)-MAX(C148+150,Queue_Intervals!B3)),0)+IF(B148=Queue_Intervals!A4,MAX(0,MIN(D148,Queue_Intervals!C4)-MAX(C148+150,Queue_Intervals!B4)),0)+IF(B148=Queue_Intervals!A5,MAX(0,MIN(D148,Queue_Intervals!C5)-MAX(C148+150,Queue_Intervals!B5)),0)</x:f>
        <x:v>0</x:v>
      </x:c>
    </x:row>
    <x:row r="149" ht="25" customHeight="1">
      <x:c r="A149" s="11" t="str">
        <x:v>173_38</x:v>
      </x:c>
      <x:c r="B149" s="13" t="str">
        <x:v>173</x:v>
      </x:c>
      <x:c r="C149" s="13" t="n">
        <x:v>545</x:v>
      </x:c>
      <x:c r="D149" s="13" t="n">
        <x:v>577</x:v>
      </x:c>
      <x:c r="E149" s="13" t="str">
        <x:v>Walk in</x:v>
      </x:c>
      <x:c r="F149" s="13" t="n">
        <x:v>32</x:v>
      </x:c>
      <x:c r="G149" s="13" t="n">
        <x:v>0</x:v>
      </x:c>
      <x:c r="H149" s="11" t="n">
        <x:f>MAX(0,F149-90)</x:f>
        <x:v>0</x:v>
      </x:c>
      <x:c r="I149" s="11" t="n">
        <x:f>IF(B149=Queue_Intervals!A2,MAX(0,MIN(D149,Queue_Intervals!C2)-MAX(C149+90,Queue_Intervals!B2)),0)+IF(B149=Queue_Intervals!A3,MAX(0,MIN(D149,Queue_Intervals!C3)-MAX(C149+90,Queue_Intervals!B3)),0)+IF(B149=Queue_Intervals!A4,MAX(0,MIN(D149,Queue_Intervals!C4)-MAX(C149+90,Queue_Intervals!B4)),0)+IF(B149=Queue_Intervals!A5,MAX(0,MIN(D149,Queue_Intervals!C5)-MAX(C149+90,Queue_Intervals!B5)),0)</x:f>
        <x:v>0</x:v>
      </x:c>
      <x:c r="J149" s="11" t="n">
        <x:f>MAX(0,F149-120)</x:f>
        <x:v>0</x:v>
      </x:c>
      <x:c r="K149" s="11" t="n">
        <x:f>IF(B149=Queue_Intervals!A2,MAX(0,MIN(D149,Queue_Intervals!C2)-MAX(C149+120,Queue_Intervals!B2)),0)+IF(B149=Queue_Intervals!A3,MAX(0,MIN(D149,Queue_Intervals!C3)-MAX(C149+120,Queue_Intervals!B3)),0)+IF(B149=Queue_Intervals!A4,MAX(0,MIN(D149,Queue_Intervals!C4)-MAX(C149+120,Queue_Intervals!B4)),0)+IF(B149=Queue_Intervals!A5,MAX(0,MIN(D149,Queue_Intervals!C5)-MAX(C149+120,Queue_Intervals!B5)),0)</x:f>
        <x:v>0</x:v>
      </x:c>
      <x:c r="L149" s="11" t="n">
        <x:f>MAX(0,F149-150)</x:f>
        <x:v>0</x:v>
      </x:c>
      <x:c r="M149" s="11" t="n">
        <x:f>IF(B149=Queue_Intervals!A2,MAX(0,MIN(D149,Queue_Intervals!C2)-MAX(C149+150,Queue_Intervals!B2)),0)+IF(B149=Queue_Intervals!A3,MAX(0,MIN(D149,Queue_Intervals!C3)-MAX(C149+150,Queue_Intervals!B3)),0)+IF(B149=Queue_Intervals!A4,MAX(0,MIN(D149,Queue_Intervals!C4)-MAX(C149+150,Queue_Intervals!B4)),0)+IF(B149=Queue_Intervals!A5,MAX(0,MIN(D149,Queue_Intervals!C5)-MAX(C149+150,Queue_Intervals!B5)),0)</x:f>
        <x:v>0</x:v>
      </x:c>
    </x:row>
    <x:row r="150" ht="25" customHeight="1">
      <x:c r="A150" s="11" t="str">
        <x:v>173_39</x:v>
      </x:c>
      <x:c r="B150" s="13" t="str">
        <x:v>173</x:v>
      </x:c>
      <x:c r="C150" s="13" t="n">
        <x:v>545</x:v>
      </x:c>
      <x:c r="D150" s="13" t="n">
        <x:v>675</x:v>
      </x:c>
      <x:c r="E150" s="13" t="str">
        <x:v>Walk in</x:v>
      </x:c>
      <x:c r="F150" s="13" t="n">
        <x:v>130</x:v>
      </x:c>
      <x:c r="G150" s="13" t="n">
        <x:v>0</x:v>
      </x:c>
      <x:c r="H150" s="11" t="n">
        <x:f>MAX(0,F150-90)</x:f>
        <x:v>40</x:v>
      </x:c>
      <x:c r="I150" s="11" t="n">
        <x:f>IF(B150=Queue_Intervals!A2,MAX(0,MIN(D150,Queue_Intervals!C2)-MAX(C150+90,Queue_Intervals!B2)),0)+IF(B150=Queue_Intervals!A3,MAX(0,MIN(D150,Queue_Intervals!C3)-MAX(C150+90,Queue_Intervals!B3)),0)+IF(B150=Queue_Intervals!A4,MAX(0,MIN(D150,Queue_Intervals!C4)-MAX(C150+90,Queue_Intervals!B4)),0)+IF(B150=Queue_Intervals!A5,MAX(0,MIN(D150,Queue_Intervals!C5)-MAX(C150+90,Queue_Intervals!B5)),0)</x:f>
        <x:v>0</x:v>
      </x:c>
      <x:c r="J150" s="11" t="n">
        <x:f>MAX(0,F150-120)</x:f>
        <x:v>10</x:v>
      </x:c>
      <x:c r="K150" s="11" t="n">
        <x:f>IF(B150=Queue_Intervals!A2,MAX(0,MIN(D150,Queue_Intervals!C2)-MAX(C150+120,Queue_Intervals!B2)),0)+IF(B150=Queue_Intervals!A3,MAX(0,MIN(D150,Queue_Intervals!C3)-MAX(C150+120,Queue_Intervals!B3)),0)+IF(B150=Queue_Intervals!A4,MAX(0,MIN(D150,Queue_Intervals!C4)-MAX(C150+120,Queue_Intervals!B4)),0)+IF(B150=Queue_Intervals!A5,MAX(0,MIN(D150,Queue_Intervals!C5)-MAX(C150+120,Queue_Intervals!B5)),0)</x:f>
        <x:v>0</x:v>
      </x:c>
      <x:c r="L150" s="11" t="n">
        <x:f>MAX(0,F150-150)</x:f>
        <x:v>0</x:v>
      </x:c>
      <x:c r="M150" s="11" t="n">
        <x:f>IF(B150=Queue_Intervals!A2,MAX(0,MIN(D150,Queue_Intervals!C2)-MAX(C150+150,Queue_Intervals!B2)),0)+IF(B150=Queue_Intervals!A3,MAX(0,MIN(D150,Queue_Intervals!C3)-MAX(C150+150,Queue_Intervals!B3)),0)+IF(B150=Queue_Intervals!A4,MAX(0,MIN(D150,Queue_Intervals!C4)-MAX(C150+150,Queue_Intervals!B4)),0)+IF(B150=Queue_Intervals!A5,MAX(0,MIN(D150,Queue_Intervals!C5)-MAX(C150+150,Queue_Intervals!B5)),0)</x:f>
        <x:v>0</x:v>
      </x:c>
    </x:row>
    <x:row r="151" ht="25" customHeight="1">
      <x:c r="A151" s="11" t="str">
        <x:v>173_41</x:v>
      </x:c>
      <x:c r="B151" s="13" t="str">
        <x:v>173</x:v>
      </x:c>
      <x:c r="C151" s="13" t="n">
        <x:v>554</x:v>
      </x:c>
      <x:c r="D151" s="13" t="n">
        <x:v>623</x:v>
      </x:c>
      <x:c r="E151" s="13" t="str">
        <x:v>Walk in</x:v>
      </x:c>
      <x:c r="F151" s="13" t="n">
        <x:v>69</x:v>
      </x:c>
      <x:c r="G151" s="13" t="n">
        <x:v>0</x:v>
      </x:c>
      <x:c r="H151" s="11" t="n">
        <x:f>MAX(0,F151-90)</x:f>
        <x:v>0</x:v>
      </x:c>
      <x:c r="I151" s="11" t="n">
        <x:f>IF(B151=Queue_Intervals!A2,MAX(0,MIN(D151,Queue_Intervals!C2)-MAX(C151+90,Queue_Intervals!B2)),0)+IF(B151=Queue_Intervals!A3,MAX(0,MIN(D151,Queue_Intervals!C3)-MAX(C151+90,Queue_Intervals!B3)),0)+IF(B151=Queue_Intervals!A4,MAX(0,MIN(D151,Queue_Intervals!C4)-MAX(C151+90,Queue_Intervals!B4)),0)+IF(B151=Queue_Intervals!A5,MAX(0,MIN(D151,Queue_Intervals!C5)-MAX(C151+90,Queue_Intervals!B5)),0)</x:f>
        <x:v>0</x:v>
      </x:c>
      <x:c r="J151" s="11" t="n">
        <x:f>MAX(0,F151-120)</x:f>
        <x:v>0</x:v>
      </x:c>
      <x:c r="K151" s="11" t="n">
        <x:f>IF(B151=Queue_Intervals!A2,MAX(0,MIN(D151,Queue_Intervals!C2)-MAX(C151+120,Queue_Intervals!B2)),0)+IF(B151=Queue_Intervals!A3,MAX(0,MIN(D151,Queue_Intervals!C3)-MAX(C151+120,Queue_Intervals!B3)),0)+IF(B151=Queue_Intervals!A4,MAX(0,MIN(D151,Queue_Intervals!C4)-MAX(C151+120,Queue_Intervals!B4)),0)+IF(B151=Queue_Intervals!A5,MAX(0,MIN(D151,Queue_Intervals!C5)-MAX(C151+120,Queue_Intervals!B5)),0)</x:f>
        <x:v>0</x:v>
      </x:c>
      <x:c r="L151" s="11" t="n">
        <x:f>MAX(0,F151-150)</x:f>
        <x:v>0</x:v>
      </x:c>
      <x:c r="M151" s="11" t="n">
        <x:f>IF(B151=Queue_Intervals!A2,MAX(0,MIN(D151,Queue_Intervals!C2)-MAX(C151+150,Queue_Intervals!B2)),0)+IF(B151=Queue_Intervals!A3,MAX(0,MIN(D151,Queue_Intervals!C3)-MAX(C151+150,Queue_Intervals!B3)),0)+IF(B151=Queue_Intervals!A4,MAX(0,MIN(D151,Queue_Intervals!C4)-MAX(C151+150,Queue_Intervals!B4)),0)+IF(B151=Queue_Intervals!A5,MAX(0,MIN(D151,Queue_Intervals!C5)-MAX(C151+150,Queue_Intervals!B5)),0)</x:f>
        <x:v>0</x:v>
      </x:c>
    </x:row>
    <x:row r="152" ht="25" customHeight="1">
      <x:c r="A152" s="11" t="str">
        <x:v>173_42</x:v>
      </x:c>
      <x:c r="B152" s="13" t="str">
        <x:v>173</x:v>
      </x:c>
      <x:c r="C152" s="13" t="n">
        <x:v>556</x:v>
      </x:c>
      <x:c r="D152" s="13" t="n">
        <x:v>646</x:v>
      </x:c>
      <x:c r="E152" s="13" t="str">
        <x:v>Walk in</x:v>
      </x:c>
      <x:c r="F152" s="13" t="n">
        <x:v>90</x:v>
      </x:c>
      <x:c r="G152" s="13" t="n">
        <x:v>0</x:v>
      </x:c>
      <x:c r="H152" s="11" t="n">
        <x:f>MAX(0,F152-90)</x:f>
        <x:v>0</x:v>
      </x:c>
      <x:c r="I152" s="11" t="n">
        <x:f>IF(B152=Queue_Intervals!A2,MAX(0,MIN(D152,Queue_Intervals!C2)-MAX(C152+90,Queue_Intervals!B2)),0)+IF(B152=Queue_Intervals!A3,MAX(0,MIN(D152,Queue_Intervals!C3)-MAX(C152+90,Queue_Intervals!B3)),0)+IF(B152=Queue_Intervals!A4,MAX(0,MIN(D152,Queue_Intervals!C4)-MAX(C152+90,Queue_Intervals!B4)),0)+IF(B152=Queue_Intervals!A5,MAX(0,MIN(D152,Queue_Intervals!C5)-MAX(C152+90,Queue_Intervals!B5)),0)</x:f>
        <x:v>0</x:v>
      </x:c>
      <x:c r="J152" s="11" t="n">
        <x:f>MAX(0,F152-120)</x:f>
        <x:v>0</x:v>
      </x:c>
      <x:c r="K152" s="11" t="n">
        <x:f>IF(B152=Queue_Intervals!A2,MAX(0,MIN(D152,Queue_Intervals!C2)-MAX(C152+120,Queue_Intervals!B2)),0)+IF(B152=Queue_Intervals!A3,MAX(0,MIN(D152,Queue_Intervals!C3)-MAX(C152+120,Queue_Intervals!B3)),0)+IF(B152=Queue_Intervals!A4,MAX(0,MIN(D152,Queue_Intervals!C4)-MAX(C152+120,Queue_Intervals!B4)),0)+IF(B152=Queue_Intervals!A5,MAX(0,MIN(D152,Queue_Intervals!C5)-MAX(C152+120,Queue_Intervals!B5)),0)</x:f>
        <x:v>0</x:v>
      </x:c>
      <x:c r="L152" s="11" t="n">
        <x:f>MAX(0,F152-150)</x:f>
        <x:v>0</x:v>
      </x:c>
      <x:c r="M152" s="11" t="n">
        <x:f>IF(B152=Queue_Intervals!A2,MAX(0,MIN(D152,Queue_Intervals!C2)-MAX(C152+150,Queue_Intervals!B2)),0)+IF(B152=Queue_Intervals!A3,MAX(0,MIN(D152,Queue_Intervals!C3)-MAX(C152+150,Queue_Intervals!B3)),0)+IF(B152=Queue_Intervals!A4,MAX(0,MIN(D152,Queue_Intervals!C4)-MAX(C152+150,Queue_Intervals!B4)),0)+IF(B152=Queue_Intervals!A5,MAX(0,MIN(D152,Queue_Intervals!C5)-MAX(C152+150,Queue_Intervals!B5)),0)</x:f>
        <x:v>0</x:v>
      </x:c>
    </x:row>
    <x:row r="153" ht="25" customHeight="1">
      <x:c r="A153" s="11" t="str">
        <x:v>173_49</x:v>
      </x:c>
      <x:c r="B153" s="13" t="str">
        <x:v>173</x:v>
      </x:c>
      <x:c r="C153" s="13" t="n">
        <x:v>590</x:v>
      </x:c>
      <x:c r="D153" s="13" t="n">
        <x:v>711</x:v>
      </x:c>
      <x:c r="E153" s="13" t="str">
        <x:v>Walk in</x:v>
      </x:c>
      <x:c r="F153" s="13" t="n">
        <x:v>121</x:v>
      </x:c>
      <x:c r="G153" s="13" t="n">
        <x:v>0</x:v>
      </x:c>
      <x:c r="H153" s="11" t="n">
        <x:f>MAX(0,F153-90)</x:f>
        <x:v>31</x:v>
      </x:c>
      <x:c r="I153" s="11" t="n">
        <x:f>IF(B153=Queue_Intervals!A2,MAX(0,MIN(D153,Queue_Intervals!C2)-MAX(C153+90,Queue_Intervals!B2)),0)+IF(B153=Queue_Intervals!A3,MAX(0,MIN(D153,Queue_Intervals!C3)-MAX(C153+90,Queue_Intervals!B3)),0)+IF(B153=Queue_Intervals!A4,MAX(0,MIN(D153,Queue_Intervals!C4)-MAX(C153+90,Queue_Intervals!B4)),0)+IF(B153=Queue_Intervals!A5,MAX(0,MIN(D153,Queue_Intervals!C5)-MAX(C153+90,Queue_Intervals!B5)),0)</x:f>
        <x:v>0</x:v>
      </x:c>
      <x:c r="J153" s="11" t="n">
        <x:f>MAX(0,F153-120)</x:f>
        <x:v>1</x:v>
      </x:c>
      <x:c r="K153" s="11" t="n">
        <x:f>IF(B153=Queue_Intervals!A2,MAX(0,MIN(D153,Queue_Intervals!C2)-MAX(C153+120,Queue_Intervals!B2)),0)+IF(B153=Queue_Intervals!A3,MAX(0,MIN(D153,Queue_Intervals!C3)-MAX(C153+120,Queue_Intervals!B3)),0)+IF(B153=Queue_Intervals!A4,MAX(0,MIN(D153,Queue_Intervals!C4)-MAX(C153+120,Queue_Intervals!B4)),0)+IF(B153=Queue_Intervals!A5,MAX(0,MIN(D153,Queue_Intervals!C5)-MAX(C153+120,Queue_Intervals!B5)),0)</x:f>
        <x:v>0</x:v>
      </x:c>
      <x:c r="L153" s="11" t="n">
        <x:f>MAX(0,F153-150)</x:f>
        <x:v>0</x:v>
      </x:c>
      <x:c r="M153" s="11" t="n">
        <x:f>IF(B153=Queue_Intervals!A2,MAX(0,MIN(D153,Queue_Intervals!C2)-MAX(C153+150,Queue_Intervals!B2)),0)+IF(B153=Queue_Intervals!A3,MAX(0,MIN(D153,Queue_Intervals!C3)-MAX(C153+150,Queue_Intervals!B3)),0)+IF(B153=Queue_Intervals!A4,MAX(0,MIN(D153,Queue_Intervals!C4)-MAX(C153+150,Queue_Intervals!B4)),0)+IF(B153=Queue_Intervals!A5,MAX(0,MIN(D153,Queue_Intervals!C5)-MAX(C153+150,Queue_Intervals!B5)),0)</x:f>
        <x:v>0</x:v>
      </x:c>
    </x:row>
    <x:row r="154" ht="25" customHeight="1">
      <x:c r="A154" s="11" t="str">
        <x:v>173_50</x:v>
      </x:c>
      <x:c r="B154" s="13" t="str">
        <x:v>173</x:v>
      </x:c>
      <x:c r="C154" s="13" t="n">
        <x:v>592</x:v>
      </x:c>
      <x:c r="D154" s="13" t="n">
        <x:v>660</x:v>
      </x:c>
      <x:c r="E154" s="13" t="str">
        <x:v>Walk in</x:v>
      </x:c>
      <x:c r="F154" s="13" t="n">
        <x:v>68</x:v>
      </x:c>
      <x:c r="G154" s="13" t="n">
        <x:v>0</x:v>
      </x:c>
      <x:c r="H154" s="11" t="n">
        <x:f>MAX(0,F154-90)</x:f>
        <x:v>0</x:v>
      </x:c>
      <x:c r="I154" s="11" t="n">
        <x:f>IF(B154=Queue_Intervals!A2,MAX(0,MIN(D154,Queue_Intervals!C2)-MAX(C154+90,Queue_Intervals!B2)),0)+IF(B154=Queue_Intervals!A3,MAX(0,MIN(D154,Queue_Intervals!C3)-MAX(C154+90,Queue_Intervals!B3)),0)+IF(B154=Queue_Intervals!A4,MAX(0,MIN(D154,Queue_Intervals!C4)-MAX(C154+90,Queue_Intervals!B4)),0)+IF(B154=Queue_Intervals!A5,MAX(0,MIN(D154,Queue_Intervals!C5)-MAX(C154+90,Queue_Intervals!B5)),0)</x:f>
        <x:v>0</x:v>
      </x:c>
      <x:c r="J154" s="11" t="n">
        <x:f>MAX(0,F154-120)</x:f>
        <x:v>0</x:v>
      </x:c>
      <x:c r="K154" s="11" t="n">
        <x:f>IF(B154=Queue_Intervals!A2,MAX(0,MIN(D154,Queue_Intervals!C2)-MAX(C154+120,Queue_Intervals!B2)),0)+IF(B154=Queue_Intervals!A3,MAX(0,MIN(D154,Queue_Intervals!C3)-MAX(C154+120,Queue_Intervals!B3)),0)+IF(B154=Queue_Intervals!A4,MAX(0,MIN(D154,Queue_Intervals!C4)-MAX(C154+120,Queue_Intervals!B4)),0)+IF(B154=Queue_Intervals!A5,MAX(0,MIN(D154,Queue_Intervals!C5)-MAX(C154+120,Queue_Intervals!B5)),0)</x:f>
        <x:v>0</x:v>
      </x:c>
      <x:c r="L154" s="11" t="n">
        <x:f>MAX(0,F154-150)</x:f>
        <x:v>0</x:v>
      </x:c>
      <x:c r="M154" s="11" t="n">
        <x:f>IF(B154=Queue_Intervals!A2,MAX(0,MIN(D154,Queue_Intervals!C2)-MAX(C154+150,Queue_Intervals!B2)),0)+IF(B154=Queue_Intervals!A3,MAX(0,MIN(D154,Queue_Intervals!C3)-MAX(C154+150,Queue_Intervals!B3)),0)+IF(B154=Queue_Intervals!A4,MAX(0,MIN(D154,Queue_Intervals!C4)-MAX(C154+150,Queue_Intervals!B4)),0)+IF(B154=Queue_Intervals!A5,MAX(0,MIN(D154,Queue_Intervals!C5)-MAX(C154+150,Queue_Intervals!B5)),0)</x:f>
        <x:v>0</x:v>
      </x:c>
    </x:row>
    <x:row r="155" ht="25" customHeight="1">
      <x:c r="A155" s="11" t="str">
        <x:v>173_53</x:v>
      </x:c>
      <x:c r="B155" s="13" t="str">
        <x:v>173</x:v>
      </x:c>
      <x:c r="C155" s="13" t="n">
        <x:v>609</x:v>
      </x:c>
      <x:c r="D155" s="13" t="n">
        <x:v>625</x:v>
      </x:c>
      <x:c r="E155" s="13" t="str">
        <x:v>Walk in</x:v>
      </x:c>
      <x:c r="F155" s="13" t="n">
        <x:v>16</x:v>
      </x:c>
      <x:c r="G155" s="13" t="n">
        <x:v>0</x:v>
      </x:c>
      <x:c r="H155" s="11" t="n">
        <x:f>MAX(0,F155-90)</x:f>
        <x:v>0</x:v>
      </x:c>
      <x:c r="I155" s="11" t="n">
        <x:f>IF(B155=Queue_Intervals!A2,MAX(0,MIN(D155,Queue_Intervals!C2)-MAX(C155+90,Queue_Intervals!B2)),0)+IF(B155=Queue_Intervals!A3,MAX(0,MIN(D155,Queue_Intervals!C3)-MAX(C155+90,Queue_Intervals!B3)),0)+IF(B155=Queue_Intervals!A4,MAX(0,MIN(D155,Queue_Intervals!C4)-MAX(C155+90,Queue_Intervals!B4)),0)+IF(B155=Queue_Intervals!A5,MAX(0,MIN(D155,Queue_Intervals!C5)-MAX(C155+90,Queue_Intervals!B5)),0)</x:f>
        <x:v>0</x:v>
      </x:c>
      <x:c r="J155" s="11" t="n">
        <x:f>MAX(0,F155-120)</x:f>
        <x:v>0</x:v>
      </x:c>
      <x:c r="K155" s="11" t="n">
        <x:f>IF(B155=Queue_Intervals!A2,MAX(0,MIN(D155,Queue_Intervals!C2)-MAX(C155+120,Queue_Intervals!B2)),0)+IF(B155=Queue_Intervals!A3,MAX(0,MIN(D155,Queue_Intervals!C3)-MAX(C155+120,Queue_Intervals!B3)),0)+IF(B155=Queue_Intervals!A4,MAX(0,MIN(D155,Queue_Intervals!C4)-MAX(C155+120,Queue_Intervals!B4)),0)+IF(B155=Queue_Intervals!A5,MAX(0,MIN(D155,Queue_Intervals!C5)-MAX(C155+120,Queue_Intervals!B5)),0)</x:f>
        <x:v>0</x:v>
      </x:c>
      <x:c r="L155" s="11" t="n">
        <x:f>MAX(0,F155-150)</x:f>
        <x:v>0</x:v>
      </x:c>
      <x:c r="M155" s="11" t="n">
        <x:f>IF(B155=Queue_Intervals!A2,MAX(0,MIN(D155,Queue_Intervals!C2)-MAX(C155+150,Queue_Intervals!B2)),0)+IF(B155=Queue_Intervals!A3,MAX(0,MIN(D155,Queue_Intervals!C3)-MAX(C155+150,Queue_Intervals!B3)),0)+IF(B155=Queue_Intervals!A4,MAX(0,MIN(D155,Queue_Intervals!C4)-MAX(C155+150,Queue_Intervals!B4)),0)+IF(B155=Queue_Intervals!A5,MAX(0,MIN(D155,Queue_Intervals!C5)-MAX(C155+150,Queue_Intervals!B5)),0)</x:f>
        <x:v>0</x:v>
      </x:c>
    </x:row>
    <x:row r="156" ht="25" customHeight="1">
      <x:c r="A156" s="11" t="str">
        <x:v>173_55</x:v>
      </x:c>
      <x:c r="B156" s="13" t="str">
        <x:v>173</x:v>
      </x:c>
      <x:c r="C156" s="13" t="n">
        <x:v>611</x:v>
      </x:c>
      <x:c r="D156" s="13" t="n">
        <x:v>643</x:v>
      </x:c>
      <x:c r="E156" s="13" t="str">
        <x:v>Walk in</x:v>
      </x:c>
      <x:c r="F156" s="13" t="n">
        <x:v>32</x:v>
      </x:c>
      <x:c r="G156" s="13" t="n">
        <x:v>0</x:v>
      </x:c>
      <x:c r="H156" s="11" t="n">
        <x:f>MAX(0,F156-90)</x:f>
        <x:v>0</x:v>
      </x:c>
      <x:c r="I156" s="11" t="n">
        <x:f>IF(B156=Queue_Intervals!A2,MAX(0,MIN(D156,Queue_Intervals!C2)-MAX(C156+90,Queue_Intervals!B2)),0)+IF(B156=Queue_Intervals!A3,MAX(0,MIN(D156,Queue_Intervals!C3)-MAX(C156+90,Queue_Intervals!B3)),0)+IF(B156=Queue_Intervals!A4,MAX(0,MIN(D156,Queue_Intervals!C4)-MAX(C156+90,Queue_Intervals!B4)),0)+IF(B156=Queue_Intervals!A5,MAX(0,MIN(D156,Queue_Intervals!C5)-MAX(C156+90,Queue_Intervals!B5)),0)</x:f>
        <x:v>0</x:v>
      </x:c>
      <x:c r="J156" s="11" t="n">
        <x:f>MAX(0,F156-120)</x:f>
        <x:v>0</x:v>
      </x:c>
      <x:c r="K156" s="11" t="n">
        <x:f>IF(B156=Queue_Intervals!A2,MAX(0,MIN(D156,Queue_Intervals!C2)-MAX(C156+120,Queue_Intervals!B2)),0)+IF(B156=Queue_Intervals!A3,MAX(0,MIN(D156,Queue_Intervals!C3)-MAX(C156+120,Queue_Intervals!B3)),0)+IF(B156=Queue_Intervals!A4,MAX(0,MIN(D156,Queue_Intervals!C4)-MAX(C156+120,Queue_Intervals!B4)),0)+IF(B156=Queue_Intervals!A5,MAX(0,MIN(D156,Queue_Intervals!C5)-MAX(C156+120,Queue_Intervals!B5)),0)</x:f>
        <x:v>0</x:v>
      </x:c>
      <x:c r="L156" s="11" t="n">
        <x:f>MAX(0,F156-150)</x:f>
        <x:v>0</x:v>
      </x:c>
      <x:c r="M156" s="11" t="n">
        <x:f>IF(B156=Queue_Intervals!A2,MAX(0,MIN(D156,Queue_Intervals!C2)-MAX(C156+150,Queue_Intervals!B2)),0)+IF(B156=Queue_Intervals!A3,MAX(0,MIN(D156,Queue_Intervals!C3)-MAX(C156+150,Queue_Intervals!B3)),0)+IF(B156=Queue_Intervals!A4,MAX(0,MIN(D156,Queue_Intervals!C4)-MAX(C156+150,Queue_Intervals!B4)),0)+IF(B156=Queue_Intervals!A5,MAX(0,MIN(D156,Queue_Intervals!C5)-MAX(C156+150,Queue_Intervals!B5)),0)</x:f>
        <x:v>0</x:v>
      </x:c>
    </x:row>
    <x:row r="157" ht="25" customHeight="1">
      <x:c r="A157" s="11" t="str">
        <x:v>173_56</x:v>
      </x:c>
      <x:c r="B157" s="13" t="str">
        <x:v>173</x:v>
      </x:c>
      <x:c r="C157" s="13" t="n">
        <x:v>620</x:v>
      </x:c>
      <x:c r="D157" s="13" t="n">
        <x:v>735</x:v>
      </x:c>
      <x:c r="E157" s="13" t="str">
        <x:v>Walk in</x:v>
      </x:c>
      <x:c r="F157" s="13" t="n">
        <x:v>115</x:v>
      </x:c>
      <x:c r="G157" s="13" t="n">
        <x:v>0</x:v>
      </x:c>
      <x:c r="H157" s="11" t="n">
        <x:f>MAX(0,F157-90)</x:f>
        <x:v>25</x:v>
      </x:c>
      <x:c r="I157" s="11" t="n">
        <x:f>IF(B157=Queue_Intervals!A2,MAX(0,MIN(D157,Queue_Intervals!C2)-MAX(C157+90,Queue_Intervals!B2)),0)+IF(B157=Queue_Intervals!A3,MAX(0,MIN(D157,Queue_Intervals!C3)-MAX(C157+90,Queue_Intervals!B3)),0)+IF(B157=Queue_Intervals!A4,MAX(0,MIN(D157,Queue_Intervals!C4)-MAX(C157+90,Queue_Intervals!B4)),0)+IF(B157=Queue_Intervals!A5,MAX(0,MIN(D157,Queue_Intervals!C5)-MAX(C157+90,Queue_Intervals!B5)),0)</x:f>
        <x:v>0</x:v>
      </x:c>
      <x:c r="J157" s="11" t="n">
        <x:f>MAX(0,F157-120)</x:f>
        <x:v>0</x:v>
      </x:c>
      <x:c r="K157" s="11" t="n">
        <x:f>IF(B157=Queue_Intervals!A2,MAX(0,MIN(D157,Queue_Intervals!C2)-MAX(C157+120,Queue_Intervals!B2)),0)+IF(B157=Queue_Intervals!A3,MAX(0,MIN(D157,Queue_Intervals!C3)-MAX(C157+120,Queue_Intervals!B3)),0)+IF(B157=Queue_Intervals!A4,MAX(0,MIN(D157,Queue_Intervals!C4)-MAX(C157+120,Queue_Intervals!B4)),0)+IF(B157=Queue_Intervals!A5,MAX(0,MIN(D157,Queue_Intervals!C5)-MAX(C157+120,Queue_Intervals!B5)),0)</x:f>
        <x:v>0</x:v>
      </x:c>
      <x:c r="L157" s="11" t="n">
        <x:f>MAX(0,F157-150)</x:f>
        <x:v>0</x:v>
      </x:c>
      <x:c r="M157" s="11" t="n">
        <x:f>IF(B157=Queue_Intervals!A2,MAX(0,MIN(D157,Queue_Intervals!C2)-MAX(C157+150,Queue_Intervals!B2)),0)+IF(B157=Queue_Intervals!A3,MAX(0,MIN(D157,Queue_Intervals!C3)-MAX(C157+150,Queue_Intervals!B3)),0)+IF(B157=Queue_Intervals!A4,MAX(0,MIN(D157,Queue_Intervals!C4)-MAX(C157+150,Queue_Intervals!B4)),0)+IF(B157=Queue_Intervals!A5,MAX(0,MIN(D157,Queue_Intervals!C5)-MAX(C157+150,Queue_Intervals!B5)),0)</x:f>
        <x:v>0</x:v>
      </x:c>
    </x:row>
    <x:row r="158" ht="25" customHeight="1">
      <x:c r="A158" s="11" t="str">
        <x:v>173_57</x:v>
      </x:c>
      <x:c r="B158" s="13" t="str">
        <x:v>173</x:v>
      </x:c>
      <x:c r="C158" s="13" t="n">
        <x:v>628</x:v>
      </x:c>
      <x:c r="D158" s="13" t="n">
        <x:v>668</x:v>
      </x:c>
      <x:c r="E158" s="13" t="str">
        <x:v>Walk in</x:v>
      </x:c>
      <x:c r="F158" s="13" t="n">
        <x:v>40</x:v>
      </x:c>
      <x:c r="G158" s="13" t="n">
        <x:v>0</x:v>
      </x:c>
      <x:c r="H158" s="11" t="n">
        <x:f>MAX(0,F158-90)</x:f>
        <x:v>0</x:v>
      </x:c>
      <x:c r="I158" s="11" t="n">
        <x:f>IF(B158=Queue_Intervals!A2,MAX(0,MIN(D158,Queue_Intervals!C2)-MAX(C158+90,Queue_Intervals!B2)),0)+IF(B158=Queue_Intervals!A3,MAX(0,MIN(D158,Queue_Intervals!C3)-MAX(C158+90,Queue_Intervals!B3)),0)+IF(B158=Queue_Intervals!A4,MAX(0,MIN(D158,Queue_Intervals!C4)-MAX(C158+90,Queue_Intervals!B4)),0)+IF(B158=Queue_Intervals!A5,MAX(0,MIN(D158,Queue_Intervals!C5)-MAX(C158+90,Queue_Intervals!B5)),0)</x:f>
        <x:v>0</x:v>
      </x:c>
      <x:c r="J158" s="11" t="n">
        <x:f>MAX(0,F158-120)</x:f>
        <x:v>0</x:v>
      </x:c>
      <x:c r="K158" s="11" t="n">
        <x:f>IF(B158=Queue_Intervals!A2,MAX(0,MIN(D158,Queue_Intervals!C2)-MAX(C158+120,Queue_Intervals!B2)),0)+IF(B158=Queue_Intervals!A3,MAX(0,MIN(D158,Queue_Intervals!C3)-MAX(C158+120,Queue_Intervals!B3)),0)+IF(B158=Queue_Intervals!A4,MAX(0,MIN(D158,Queue_Intervals!C4)-MAX(C158+120,Queue_Intervals!B4)),0)+IF(B158=Queue_Intervals!A5,MAX(0,MIN(D158,Queue_Intervals!C5)-MAX(C158+120,Queue_Intervals!B5)),0)</x:f>
        <x:v>0</x:v>
      </x:c>
      <x:c r="L158" s="11" t="n">
        <x:f>MAX(0,F158-150)</x:f>
        <x:v>0</x:v>
      </x:c>
      <x:c r="M158" s="11" t="n">
        <x:f>IF(B158=Queue_Intervals!A2,MAX(0,MIN(D158,Queue_Intervals!C2)-MAX(C158+150,Queue_Intervals!B2)),0)+IF(B158=Queue_Intervals!A3,MAX(0,MIN(D158,Queue_Intervals!C3)-MAX(C158+150,Queue_Intervals!B3)),0)+IF(B158=Queue_Intervals!A4,MAX(0,MIN(D158,Queue_Intervals!C4)-MAX(C158+150,Queue_Intervals!B4)),0)+IF(B158=Queue_Intervals!A5,MAX(0,MIN(D158,Queue_Intervals!C5)-MAX(C158+150,Queue_Intervals!B5)),0)</x:f>
        <x:v>0</x:v>
      </x:c>
    </x:row>
    <x:row r="159" ht="25" customHeight="1">
      <x:c r="A159" s="11" t="str">
        <x:v>173_59</x:v>
      </x:c>
      <x:c r="B159" s="13" t="str">
        <x:v>173</x:v>
      </x:c>
      <x:c r="C159" s="13" t="n">
        <x:v>637</x:v>
      </x:c>
      <x:c r="D159" s="13" t="n">
        <x:v>669</x:v>
      </x:c>
      <x:c r="E159" s="13" t="str">
        <x:v>Walk in</x:v>
      </x:c>
      <x:c r="F159" s="13" t="n">
        <x:v>32</x:v>
      </x:c>
      <x:c r="G159" s="13" t="n">
        <x:v>0</x:v>
      </x:c>
      <x:c r="H159" s="11" t="n">
        <x:f>MAX(0,F159-90)</x:f>
        <x:v>0</x:v>
      </x:c>
      <x:c r="I159" s="11" t="n">
        <x:f>IF(B159=Queue_Intervals!A2,MAX(0,MIN(D159,Queue_Intervals!C2)-MAX(C159+90,Queue_Intervals!B2)),0)+IF(B159=Queue_Intervals!A3,MAX(0,MIN(D159,Queue_Intervals!C3)-MAX(C159+90,Queue_Intervals!B3)),0)+IF(B159=Queue_Intervals!A4,MAX(0,MIN(D159,Queue_Intervals!C4)-MAX(C159+90,Queue_Intervals!B4)),0)+IF(B159=Queue_Intervals!A5,MAX(0,MIN(D159,Queue_Intervals!C5)-MAX(C159+90,Queue_Intervals!B5)),0)</x:f>
        <x:v>0</x:v>
      </x:c>
      <x:c r="J159" s="11" t="n">
        <x:f>MAX(0,F159-120)</x:f>
        <x:v>0</x:v>
      </x:c>
      <x:c r="K159" s="11" t="n">
        <x:f>IF(B159=Queue_Intervals!A2,MAX(0,MIN(D159,Queue_Intervals!C2)-MAX(C159+120,Queue_Intervals!B2)),0)+IF(B159=Queue_Intervals!A3,MAX(0,MIN(D159,Queue_Intervals!C3)-MAX(C159+120,Queue_Intervals!B3)),0)+IF(B159=Queue_Intervals!A4,MAX(0,MIN(D159,Queue_Intervals!C4)-MAX(C159+120,Queue_Intervals!B4)),0)+IF(B159=Queue_Intervals!A5,MAX(0,MIN(D159,Queue_Intervals!C5)-MAX(C159+120,Queue_Intervals!B5)),0)</x:f>
        <x:v>0</x:v>
      </x:c>
      <x:c r="L159" s="11" t="n">
        <x:f>MAX(0,F159-150)</x:f>
        <x:v>0</x:v>
      </x:c>
      <x:c r="M159" s="11" t="n">
        <x:f>IF(B159=Queue_Intervals!A2,MAX(0,MIN(D159,Queue_Intervals!C2)-MAX(C159+150,Queue_Intervals!B2)),0)+IF(B159=Queue_Intervals!A3,MAX(0,MIN(D159,Queue_Intervals!C3)-MAX(C159+150,Queue_Intervals!B3)),0)+IF(B159=Queue_Intervals!A4,MAX(0,MIN(D159,Queue_Intervals!C4)-MAX(C159+150,Queue_Intervals!B4)),0)+IF(B159=Queue_Intervals!A5,MAX(0,MIN(D159,Queue_Intervals!C5)-MAX(C159+150,Queue_Intervals!B5)),0)</x:f>
        <x:v>0</x:v>
      </x:c>
    </x:row>
    <x:row r="160" ht="25" customHeight="1">
      <x:c r="A160" s="11" t="str">
        <x:v>173_60</x:v>
      </x:c>
      <x:c r="B160" s="13" t="str">
        <x:v>173</x:v>
      </x:c>
      <x:c r="C160" s="13" t="n">
        <x:v>639</x:v>
      </x:c>
      <x:c r="D160" s="13" t="n">
        <x:v>731</x:v>
      </x:c>
      <x:c r="E160" s="13" t="str">
        <x:v>Walk in</x:v>
      </x:c>
      <x:c r="F160" s="13" t="n">
        <x:v>92</x:v>
      </x:c>
      <x:c r="G160" s="13" t="n">
        <x:v>0</x:v>
      </x:c>
      <x:c r="H160" s="11" t="n">
        <x:f>MAX(0,F160-90)</x:f>
        <x:v>2</x:v>
      </x:c>
      <x:c r="I160" s="11" t="n">
        <x:f>IF(B160=Queue_Intervals!A2,MAX(0,MIN(D160,Queue_Intervals!C2)-MAX(C160+90,Queue_Intervals!B2)),0)+IF(B160=Queue_Intervals!A3,MAX(0,MIN(D160,Queue_Intervals!C3)-MAX(C160+90,Queue_Intervals!B3)),0)+IF(B160=Queue_Intervals!A4,MAX(0,MIN(D160,Queue_Intervals!C4)-MAX(C160+90,Queue_Intervals!B4)),0)+IF(B160=Queue_Intervals!A5,MAX(0,MIN(D160,Queue_Intervals!C5)-MAX(C160+90,Queue_Intervals!B5)),0)</x:f>
        <x:v>0</x:v>
      </x:c>
      <x:c r="J160" s="11" t="n">
        <x:f>MAX(0,F160-120)</x:f>
        <x:v>0</x:v>
      </x:c>
      <x:c r="K160" s="11" t="n">
        <x:f>IF(B160=Queue_Intervals!A2,MAX(0,MIN(D160,Queue_Intervals!C2)-MAX(C160+120,Queue_Intervals!B2)),0)+IF(B160=Queue_Intervals!A3,MAX(0,MIN(D160,Queue_Intervals!C3)-MAX(C160+120,Queue_Intervals!B3)),0)+IF(B160=Queue_Intervals!A4,MAX(0,MIN(D160,Queue_Intervals!C4)-MAX(C160+120,Queue_Intervals!B4)),0)+IF(B160=Queue_Intervals!A5,MAX(0,MIN(D160,Queue_Intervals!C5)-MAX(C160+120,Queue_Intervals!B5)),0)</x:f>
        <x:v>0</x:v>
      </x:c>
      <x:c r="L160" s="11" t="n">
        <x:f>MAX(0,F160-150)</x:f>
        <x:v>0</x:v>
      </x:c>
      <x:c r="M160" s="11" t="n">
        <x:f>IF(B160=Queue_Intervals!A2,MAX(0,MIN(D160,Queue_Intervals!C2)-MAX(C160+150,Queue_Intervals!B2)),0)+IF(B160=Queue_Intervals!A3,MAX(0,MIN(D160,Queue_Intervals!C3)-MAX(C160+150,Queue_Intervals!B3)),0)+IF(B160=Queue_Intervals!A4,MAX(0,MIN(D160,Queue_Intervals!C4)-MAX(C160+150,Queue_Intervals!B4)),0)+IF(B160=Queue_Intervals!A5,MAX(0,MIN(D160,Queue_Intervals!C5)-MAX(C160+150,Queue_Intervals!B5)),0)</x:f>
        <x:v>0</x:v>
      </x:c>
    </x:row>
    <x:row r="161" ht="25" customHeight="1">
      <x:c r="A161" s="11" t="str">
        <x:v>173_62</x:v>
      </x:c>
      <x:c r="B161" s="13" t="str">
        <x:v>173</x:v>
      </x:c>
      <x:c r="C161" s="13" t="n">
        <x:v>644</x:v>
      </x:c>
      <x:c r="D161" s="13" t="n">
        <x:v>700</x:v>
      </x:c>
      <x:c r="E161" s="13" t="str">
        <x:v>Walk in</x:v>
      </x:c>
      <x:c r="F161" s="13" t="n">
        <x:v>56</x:v>
      </x:c>
      <x:c r="G161" s="13" t="n">
        <x:v>0</x:v>
      </x:c>
      <x:c r="H161" s="11" t="n">
        <x:f>MAX(0,F161-90)</x:f>
        <x:v>0</x:v>
      </x:c>
      <x:c r="I161" s="11" t="n">
        <x:f>IF(B161=Queue_Intervals!A2,MAX(0,MIN(D161,Queue_Intervals!C2)-MAX(C161+90,Queue_Intervals!B2)),0)+IF(B161=Queue_Intervals!A3,MAX(0,MIN(D161,Queue_Intervals!C3)-MAX(C161+90,Queue_Intervals!B3)),0)+IF(B161=Queue_Intervals!A4,MAX(0,MIN(D161,Queue_Intervals!C4)-MAX(C161+90,Queue_Intervals!B4)),0)+IF(B161=Queue_Intervals!A5,MAX(0,MIN(D161,Queue_Intervals!C5)-MAX(C161+90,Queue_Intervals!B5)),0)</x:f>
        <x:v>0</x:v>
      </x:c>
      <x:c r="J161" s="11" t="n">
        <x:f>MAX(0,F161-120)</x:f>
        <x:v>0</x:v>
      </x:c>
      <x:c r="K161" s="11" t="n">
        <x:f>IF(B161=Queue_Intervals!A2,MAX(0,MIN(D161,Queue_Intervals!C2)-MAX(C161+120,Queue_Intervals!B2)),0)+IF(B161=Queue_Intervals!A3,MAX(0,MIN(D161,Queue_Intervals!C3)-MAX(C161+120,Queue_Intervals!B3)),0)+IF(B161=Queue_Intervals!A4,MAX(0,MIN(D161,Queue_Intervals!C4)-MAX(C161+120,Queue_Intervals!B4)),0)+IF(B161=Queue_Intervals!A5,MAX(0,MIN(D161,Queue_Intervals!C5)-MAX(C161+120,Queue_Intervals!B5)),0)</x:f>
        <x:v>0</x:v>
      </x:c>
      <x:c r="L161" s="11" t="n">
        <x:f>MAX(0,F161-150)</x:f>
        <x:v>0</x:v>
      </x:c>
      <x:c r="M161" s="11" t="n">
        <x:f>IF(B161=Queue_Intervals!A2,MAX(0,MIN(D161,Queue_Intervals!C2)-MAX(C161+150,Queue_Intervals!B2)),0)+IF(B161=Queue_Intervals!A3,MAX(0,MIN(D161,Queue_Intervals!C3)-MAX(C161+150,Queue_Intervals!B3)),0)+IF(B161=Queue_Intervals!A4,MAX(0,MIN(D161,Queue_Intervals!C4)-MAX(C161+150,Queue_Intervals!B4)),0)+IF(B161=Queue_Intervals!A5,MAX(0,MIN(D161,Queue_Intervals!C5)-MAX(C161+150,Queue_Intervals!B5)),0)</x:f>
        <x:v>0</x:v>
      </x:c>
    </x:row>
    <x:row r="162" ht="25" customHeight="1">
      <x:c r="A162" s="11" t="str">
        <x:v>173_64</x:v>
      </x:c>
      <x:c r="B162" s="13" t="str">
        <x:v>173</x:v>
      </x:c>
      <x:c r="C162" s="13" t="n">
        <x:v>664</x:v>
      </x:c>
      <x:c r="D162" s="13" t="n">
        <x:v>722</x:v>
      </x:c>
      <x:c r="E162" s="13" t="str">
        <x:v>Walk in</x:v>
      </x:c>
      <x:c r="F162" s="13" t="n">
        <x:v>58</x:v>
      </x:c>
      <x:c r="G162" s="13" t="n">
        <x:v>0</x:v>
      </x:c>
      <x:c r="H162" s="11" t="n">
        <x:f>MAX(0,F162-90)</x:f>
        <x:v>0</x:v>
      </x:c>
      <x:c r="I162" s="11" t="n">
        <x:f>IF(B162=Queue_Intervals!A2,MAX(0,MIN(D162,Queue_Intervals!C2)-MAX(C162+90,Queue_Intervals!B2)),0)+IF(B162=Queue_Intervals!A3,MAX(0,MIN(D162,Queue_Intervals!C3)-MAX(C162+90,Queue_Intervals!B3)),0)+IF(B162=Queue_Intervals!A4,MAX(0,MIN(D162,Queue_Intervals!C4)-MAX(C162+90,Queue_Intervals!B4)),0)+IF(B162=Queue_Intervals!A5,MAX(0,MIN(D162,Queue_Intervals!C5)-MAX(C162+90,Queue_Intervals!B5)),0)</x:f>
        <x:v>0</x:v>
      </x:c>
      <x:c r="J162" s="11" t="n">
        <x:f>MAX(0,F162-120)</x:f>
        <x:v>0</x:v>
      </x:c>
      <x:c r="K162" s="11" t="n">
        <x:f>IF(B162=Queue_Intervals!A2,MAX(0,MIN(D162,Queue_Intervals!C2)-MAX(C162+120,Queue_Intervals!B2)),0)+IF(B162=Queue_Intervals!A3,MAX(0,MIN(D162,Queue_Intervals!C3)-MAX(C162+120,Queue_Intervals!B3)),0)+IF(B162=Queue_Intervals!A4,MAX(0,MIN(D162,Queue_Intervals!C4)-MAX(C162+120,Queue_Intervals!B4)),0)+IF(B162=Queue_Intervals!A5,MAX(0,MIN(D162,Queue_Intervals!C5)-MAX(C162+120,Queue_Intervals!B5)),0)</x:f>
        <x:v>0</x:v>
      </x:c>
      <x:c r="L162" s="11" t="n">
        <x:f>MAX(0,F162-150)</x:f>
        <x:v>0</x:v>
      </x:c>
      <x:c r="M162" s="11" t="n">
        <x:f>IF(B162=Queue_Intervals!A2,MAX(0,MIN(D162,Queue_Intervals!C2)-MAX(C162+150,Queue_Intervals!B2)),0)+IF(B162=Queue_Intervals!A3,MAX(0,MIN(D162,Queue_Intervals!C3)-MAX(C162+150,Queue_Intervals!B3)),0)+IF(B162=Queue_Intervals!A4,MAX(0,MIN(D162,Queue_Intervals!C4)-MAX(C162+150,Queue_Intervals!B4)),0)+IF(B162=Queue_Intervals!A5,MAX(0,MIN(D162,Queue_Intervals!C5)-MAX(C162+150,Queue_Intervals!B5)),0)</x:f>
        <x:v>0</x:v>
      </x:c>
    </x:row>
    <x:row r="163" ht="25" customHeight="1">
      <x:c r="A163" s="11" t="str">
        <x:v>173_65</x:v>
      </x:c>
      <x:c r="B163" s="13" t="str">
        <x:v>173</x:v>
      </x:c>
      <x:c r="C163" s="13" t="n">
        <x:v>665</x:v>
      </x:c>
      <x:c r="D163" s="13" t="n">
        <x:v>685</x:v>
      </x:c>
      <x:c r="E163" s="13" t="str">
        <x:v>Walk in</x:v>
      </x:c>
      <x:c r="F163" s="13" t="n">
        <x:v>20</x:v>
      </x:c>
      <x:c r="G163" s="13" t="n">
        <x:v>0</x:v>
      </x:c>
      <x:c r="H163" s="11" t="n">
        <x:f>MAX(0,F163-90)</x:f>
        <x:v>0</x:v>
      </x:c>
      <x:c r="I163" s="11" t="n">
        <x:f>IF(B163=Queue_Intervals!A2,MAX(0,MIN(D163,Queue_Intervals!C2)-MAX(C163+90,Queue_Intervals!B2)),0)+IF(B163=Queue_Intervals!A3,MAX(0,MIN(D163,Queue_Intervals!C3)-MAX(C163+90,Queue_Intervals!B3)),0)+IF(B163=Queue_Intervals!A4,MAX(0,MIN(D163,Queue_Intervals!C4)-MAX(C163+90,Queue_Intervals!B4)),0)+IF(B163=Queue_Intervals!A5,MAX(0,MIN(D163,Queue_Intervals!C5)-MAX(C163+90,Queue_Intervals!B5)),0)</x:f>
        <x:v>0</x:v>
      </x:c>
      <x:c r="J163" s="11" t="n">
        <x:f>MAX(0,F163-120)</x:f>
        <x:v>0</x:v>
      </x:c>
      <x:c r="K163" s="11" t="n">
        <x:f>IF(B163=Queue_Intervals!A2,MAX(0,MIN(D163,Queue_Intervals!C2)-MAX(C163+120,Queue_Intervals!B2)),0)+IF(B163=Queue_Intervals!A3,MAX(0,MIN(D163,Queue_Intervals!C3)-MAX(C163+120,Queue_Intervals!B3)),0)+IF(B163=Queue_Intervals!A4,MAX(0,MIN(D163,Queue_Intervals!C4)-MAX(C163+120,Queue_Intervals!B4)),0)+IF(B163=Queue_Intervals!A5,MAX(0,MIN(D163,Queue_Intervals!C5)-MAX(C163+120,Queue_Intervals!B5)),0)</x:f>
        <x:v>0</x:v>
      </x:c>
      <x:c r="L163" s="11" t="n">
        <x:f>MAX(0,F163-150)</x:f>
        <x:v>0</x:v>
      </x:c>
      <x:c r="M163" s="11" t="n">
        <x:f>IF(B163=Queue_Intervals!A2,MAX(0,MIN(D163,Queue_Intervals!C2)-MAX(C163+150,Queue_Intervals!B2)),0)+IF(B163=Queue_Intervals!A3,MAX(0,MIN(D163,Queue_Intervals!C3)-MAX(C163+150,Queue_Intervals!B3)),0)+IF(B163=Queue_Intervals!A4,MAX(0,MIN(D163,Queue_Intervals!C4)-MAX(C163+150,Queue_Intervals!B4)),0)+IF(B163=Queue_Intervals!A5,MAX(0,MIN(D163,Queue_Intervals!C5)-MAX(C163+150,Queue_Intervals!B5)),0)</x:f>
        <x:v>0</x:v>
      </x:c>
    </x:row>
    <x:row r="164" ht="25" customHeight="1">
      <x:c r="A164" s="11" t="str">
        <x:v>173_66</x:v>
      </x:c>
      <x:c r="B164" s="13" t="str">
        <x:v>173</x:v>
      </x:c>
      <x:c r="C164" s="13" t="n">
        <x:v>681</x:v>
      </x:c>
      <x:c r="D164" s="13" t="n">
        <x:v>699</x:v>
      </x:c>
      <x:c r="E164" s="13" t="str">
        <x:v>Walk in</x:v>
      </x:c>
      <x:c r="F164" s="13" t="n">
        <x:v>18</x:v>
      </x:c>
      <x:c r="G164" s="13" t="n">
        <x:v>0</x:v>
      </x:c>
      <x:c r="H164" s="11" t="n">
        <x:f>MAX(0,F164-90)</x:f>
        <x:v>0</x:v>
      </x:c>
      <x:c r="I164" s="11" t="n">
        <x:f>IF(B164=Queue_Intervals!A2,MAX(0,MIN(D164,Queue_Intervals!C2)-MAX(C164+90,Queue_Intervals!B2)),0)+IF(B164=Queue_Intervals!A3,MAX(0,MIN(D164,Queue_Intervals!C3)-MAX(C164+90,Queue_Intervals!B3)),0)+IF(B164=Queue_Intervals!A4,MAX(0,MIN(D164,Queue_Intervals!C4)-MAX(C164+90,Queue_Intervals!B4)),0)+IF(B164=Queue_Intervals!A5,MAX(0,MIN(D164,Queue_Intervals!C5)-MAX(C164+90,Queue_Intervals!B5)),0)</x:f>
        <x:v>0</x:v>
      </x:c>
      <x:c r="J164" s="11" t="n">
        <x:f>MAX(0,F164-120)</x:f>
        <x:v>0</x:v>
      </x:c>
      <x:c r="K164" s="11" t="n">
        <x:f>IF(B164=Queue_Intervals!A2,MAX(0,MIN(D164,Queue_Intervals!C2)-MAX(C164+120,Queue_Intervals!B2)),0)+IF(B164=Queue_Intervals!A3,MAX(0,MIN(D164,Queue_Intervals!C3)-MAX(C164+120,Queue_Intervals!B3)),0)+IF(B164=Queue_Intervals!A4,MAX(0,MIN(D164,Queue_Intervals!C4)-MAX(C164+120,Queue_Intervals!B4)),0)+IF(B164=Queue_Intervals!A5,MAX(0,MIN(D164,Queue_Intervals!C5)-MAX(C164+120,Queue_Intervals!B5)),0)</x:f>
        <x:v>0</x:v>
      </x:c>
      <x:c r="L164" s="11" t="n">
        <x:f>MAX(0,F164-150)</x:f>
        <x:v>0</x:v>
      </x:c>
      <x:c r="M164" s="11" t="n">
        <x:f>IF(B164=Queue_Intervals!A2,MAX(0,MIN(D164,Queue_Intervals!C2)-MAX(C164+150,Queue_Intervals!B2)),0)+IF(B164=Queue_Intervals!A3,MAX(0,MIN(D164,Queue_Intervals!C3)-MAX(C164+150,Queue_Intervals!B3)),0)+IF(B164=Queue_Intervals!A4,MAX(0,MIN(D164,Queue_Intervals!C4)-MAX(C164+150,Queue_Intervals!B4)),0)+IF(B164=Queue_Intervals!A5,MAX(0,MIN(D164,Queue_Intervals!C5)-MAX(C164+150,Queue_Intervals!B5)),0)</x:f>
        <x:v>0</x:v>
      </x:c>
    </x:row>
    <x:row r="165" ht="25" customHeight="1">
      <x:c r="A165" s="11" t="str">
        <x:v>173_68</x:v>
      </x:c>
      <x:c r="B165" s="13" t="str">
        <x:v>173</x:v>
      </x:c>
      <x:c r="C165" s="13" t="n">
        <x:v>683</x:v>
      </x:c>
      <x:c r="D165" s="13" t="n">
        <x:v>722</x:v>
      </x:c>
      <x:c r="E165" s="13" t="str">
        <x:v>Walk in</x:v>
      </x:c>
      <x:c r="F165" s="13" t="n">
        <x:v>39</x:v>
      </x:c>
      <x:c r="G165" s="13" t="n">
        <x:v>0</x:v>
      </x:c>
      <x:c r="H165" s="11" t="n">
        <x:f>MAX(0,F165-90)</x:f>
        <x:v>0</x:v>
      </x:c>
      <x:c r="I165" s="11" t="n">
        <x:f>IF(B165=Queue_Intervals!A2,MAX(0,MIN(D165,Queue_Intervals!C2)-MAX(C165+90,Queue_Intervals!B2)),0)+IF(B165=Queue_Intervals!A3,MAX(0,MIN(D165,Queue_Intervals!C3)-MAX(C165+90,Queue_Intervals!B3)),0)+IF(B165=Queue_Intervals!A4,MAX(0,MIN(D165,Queue_Intervals!C4)-MAX(C165+90,Queue_Intervals!B4)),0)+IF(B165=Queue_Intervals!A5,MAX(0,MIN(D165,Queue_Intervals!C5)-MAX(C165+90,Queue_Intervals!B5)),0)</x:f>
        <x:v>0</x:v>
      </x:c>
      <x:c r="J165" s="11" t="n">
        <x:f>MAX(0,F165-120)</x:f>
        <x:v>0</x:v>
      </x:c>
      <x:c r="K165" s="11" t="n">
        <x:f>IF(B165=Queue_Intervals!A2,MAX(0,MIN(D165,Queue_Intervals!C2)-MAX(C165+120,Queue_Intervals!B2)),0)+IF(B165=Queue_Intervals!A3,MAX(0,MIN(D165,Queue_Intervals!C3)-MAX(C165+120,Queue_Intervals!B3)),0)+IF(B165=Queue_Intervals!A4,MAX(0,MIN(D165,Queue_Intervals!C4)-MAX(C165+120,Queue_Intervals!B4)),0)+IF(B165=Queue_Intervals!A5,MAX(0,MIN(D165,Queue_Intervals!C5)-MAX(C165+120,Queue_Intervals!B5)),0)</x:f>
        <x:v>0</x:v>
      </x:c>
      <x:c r="L165" s="11" t="n">
        <x:f>MAX(0,F165-150)</x:f>
        <x:v>0</x:v>
      </x:c>
      <x:c r="M165" s="11" t="n">
        <x:f>IF(B165=Queue_Intervals!A2,MAX(0,MIN(D165,Queue_Intervals!C2)-MAX(C165+150,Queue_Intervals!B2)),0)+IF(B165=Queue_Intervals!A3,MAX(0,MIN(D165,Queue_Intervals!C3)-MAX(C165+150,Queue_Intervals!B3)),0)+IF(B165=Queue_Intervals!A4,MAX(0,MIN(D165,Queue_Intervals!C4)-MAX(C165+150,Queue_Intervals!B4)),0)+IF(B165=Queue_Intervals!A5,MAX(0,MIN(D165,Queue_Intervals!C5)-MAX(C165+150,Queue_Intervals!B5)),0)</x:f>
        <x:v>0</x:v>
      </x:c>
    </x:row>
    <x:row r="166" ht="25" customHeight="1">
      <x:c r="A166" s="11" t="str">
        <x:v>183_1</x:v>
      </x:c>
      <x:c r="B166" s="13" t="str">
        <x:v>183</x:v>
      </x:c>
      <x:c r="C166" s="13" t="n">
        <x:v>386</x:v>
      </x:c>
      <x:c r="D166" s="13" t="n">
        <x:v>522</x:v>
      </x:c>
      <x:c r="E166" s="13" t="str">
        <x:v>Walk in</x:v>
      </x:c>
      <x:c r="F166" s="13" t="n">
        <x:v>136</x:v>
      </x:c>
      <x:c r="G166" s="13" t="n">
        <x:v>0</x:v>
      </x:c>
      <x:c r="H166" s="11" t="n">
        <x:f>MAX(0,F166-90)</x:f>
        <x:v>46</x:v>
      </x:c>
      <x:c r="I166" s="11" t="n">
        <x:f>IF(B166=Queue_Intervals!A2,MAX(0,MIN(D166,Queue_Intervals!C2)-MAX(C166+90,Queue_Intervals!B2)),0)+IF(B166=Queue_Intervals!A3,MAX(0,MIN(D166,Queue_Intervals!C3)-MAX(C166+90,Queue_Intervals!B3)),0)+IF(B166=Queue_Intervals!A4,MAX(0,MIN(D166,Queue_Intervals!C4)-MAX(C166+90,Queue_Intervals!B4)),0)+IF(B166=Queue_Intervals!A5,MAX(0,MIN(D166,Queue_Intervals!C5)-MAX(C166+90,Queue_Intervals!B5)),0)</x:f>
        <x:v>0</x:v>
      </x:c>
      <x:c r="J166" s="11" t="n">
        <x:f>MAX(0,F166-120)</x:f>
        <x:v>16</x:v>
      </x:c>
      <x:c r="K166" s="11" t="n">
        <x:f>IF(B166=Queue_Intervals!A2,MAX(0,MIN(D166,Queue_Intervals!C2)-MAX(C166+120,Queue_Intervals!B2)),0)+IF(B166=Queue_Intervals!A3,MAX(0,MIN(D166,Queue_Intervals!C3)-MAX(C166+120,Queue_Intervals!B3)),0)+IF(B166=Queue_Intervals!A4,MAX(0,MIN(D166,Queue_Intervals!C4)-MAX(C166+120,Queue_Intervals!B4)),0)+IF(B166=Queue_Intervals!A5,MAX(0,MIN(D166,Queue_Intervals!C5)-MAX(C166+120,Queue_Intervals!B5)),0)</x:f>
        <x:v>0</x:v>
      </x:c>
      <x:c r="L166" s="11" t="n">
        <x:f>MAX(0,F166-150)</x:f>
        <x:v>0</x:v>
      </x:c>
      <x:c r="M166" s="11" t="n">
        <x:f>IF(B166=Queue_Intervals!A2,MAX(0,MIN(D166,Queue_Intervals!C2)-MAX(C166+150,Queue_Intervals!B2)),0)+IF(B166=Queue_Intervals!A3,MAX(0,MIN(D166,Queue_Intervals!C3)-MAX(C166+150,Queue_Intervals!B3)),0)+IF(B166=Queue_Intervals!A4,MAX(0,MIN(D166,Queue_Intervals!C4)-MAX(C166+150,Queue_Intervals!B4)),0)+IF(B166=Queue_Intervals!A5,MAX(0,MIN(D166,Queue_Intervals!C5)-MAX(C166+150,Queue_Intervals!B5)),0)</x:f>
        <x:v>0</x:v>
      </x:c>
    </x:row>
    <x:row r="167" ht="25" customHeight="1">
      <x:c r="A167" s="11" t="str">
        <x:v>183_2</x:v>
      </x:c>
      <x:c r="B167" s="13" t="str">
        <x:v>183</x:v>
      </x:c>
      <x:c r="C167" s="13" t="n">
        <x:v>404</x:v>
      </x:c>
      <x:c r="D167" s="13" t="n">
        <x:v>464</x:v>
      </x:c>
      <x:c r="E167" s="13" t="str">
        <x:v>Walk in</x:v>
      </x:c>
      <x:c r="F167" s="13" t="n">
        <x:v>60</x:v>
      </x:c>
      <x:c r="G167" s="13" t="n">
        <x:v>0</x:v>
      </x:c>
      <x:c r="H167" s="11" t="n">
        <x:f>MAX(0,F167-90)</x:f>
        <x:v>0</x:v>
      </x:c>
      <x:c r="I167" s="11" t="n">
        <x:f>IF(B167=Queue_Intervals!A2,MAX(0,MIN(D167,Queue_Intervals!C2)-MAX(C167+90,Queue_Intervals!B2)),0)+IF(B167=Queue_Intervals!A3,MAX(0,MIN(D167,Queue_Intervals!C3)-MAX(C167+90,Queue_Intervals!B3)),0)+IF(B167=Queue_Intervals!A4,MAX(0,MIN(D167,Queue_Intervals!C4)-MAX(C167+90,Queue_Intervals!B4)),0)+IF(B167=Queue_Intervals!A5,MAX(0,MIN(D167,Queue_Intervals!C5)-MAX(C167+90,Queue_Intervals!B5)),0)</x:f>
        <x:v>0</x:v>
      </x:c>
      <x:c r="J167" s="11" t="n">
        <x:f>MAX(0,F167-120)</x:f>
        <x:v>0</x:v>
      </x:c>
      <x:c r="K167" s="11" t="n">
        <x:f>IF(B167=Queue_Intervals!A2,MAX(0,MIN(D167,Queue_Intervals!C2)-MAX(C167+120,Queue_Intervals!B2)),0)+IF(B167=Queue_Intervals!A3,MAX(0,MIN(D167,Queue_Intervals!C3)-MAX(C167+120,Queue_Intervals!B3)),0)+IF(B167=Queue_Intervals!A4,MAX(0,MIN(D167,Queue_Intervals!C4)-MAX(C167+120,Queue_Intervals!B4)),0)+IF(B167=Queue_Intervals!A5,MAX(0,MIN(D167,Queue_Intervals!C5)-MAX(C167+120,Queue_Intervals!B5)),0)</x:f>
        <x:v>0</x:v>
      </x:c>
      <x:c r="L167" s="11" t="n">
        <x:f>MAX(0,F167-150)</x:f>
        <x:v>0</x:v>
      </x:c>
      <x:c r="M167" s="11" t="n">
        <x:f>IF(B167=Queue_Intervals!A2,MAX(0,MIN(D167,Queue_Intervals!C2)-MAX(C167+150,Queue_Intervals!B2)),0)+IF(B167=Queue_Intervals!A3,MAX(0,MIN(D167,Queue_Intervals!C3)-MAX(C167+150,Queue_Intervals!B3)),0)+IF(B167=Queue_Intervals!A4,MAX(0,MIN(D167,Queue_Intervals!C4)-MAX(C167+150,Queue_Intervals!B4)),0)+IF(B167=Queue_Intervals!A5,MAX(0,MIN(D167,Queue_Intervals!C5)-MAX(C167+150,Queue_Intervals!B5)),0)</x:f>
        <x:v>0</x:v>
      </x:c>
    </x:row>
    <x:row r="168" ht="25" customHeight="1">
      <x:c r="A168" s="11" t="str">
        <x:v>183_3</x:v>
      </x:c>
      <x:c r="B168" s="13" t="str">
        <x:v>183</x:v>
      </x:c>
      <x:c r="C168" s="13" t="n">
        <x:v>418</x:v>
      </x:c>
      <x:c r="D168" s="13" t="n">
        <x:v>526</x:v>
      </x:c>
      <x:c r="E168" s="13" t="str">
        <x:v>Walk in</x:v>
      </x:c>
      <x:c r="F168" s="13" t="n">
        <x:v>108</x:v>
      </x:c>
      <x:c r="G168" s="13" t="n">
        <x:v>0</x:v>
      </x:c>
      <x:c r="H168" s="11" t="n">
        <x:f>MAX(0,F168-90)</x:f>
        <x:v>18</x:v>
      </x:c>
      <x:c r="I168" s="11" t="n">
        <x:f>IF(B168=Queue_Intervals!A2,MAX(0,MIN(D168,Queue_Intervals!C2)-MAX(C168+90,Queue_Intervals!B2)),0)+IF(B168=Queue_Intervals!A3,MAX(0,MIN(D168,Queue_Intervals!C3)-MAX(C168+90,Queue_Intervals!B3)),0)+IF(B168=Queue_Intervals!A4,MAX(0,MIN(D168,Queue_Intervals!C4)-MAX(C168+90,Queue_Intervals!B4)),0)+IF(B168=Queue_Intervals!A5,MAX(0,MIN(D168,Queue_Intervals!C5)-MAX(C168+90,Queue_Intervals!B5)),0)</x:f>
        <x:v>0</x:v>
      </x:c>
      <x:c r="J168" s="11" t="n">
        <x:f>MAX(0,F168-120)</x:f>
        <x:v>0</x:v>
      </x:c>
      <x:c r="K168" s="11" t="n">
        <x:f>IF(B168=Queue_Intervals!A2,MAX(0,MIN(D168,Queue_Intervals!C2)-MAX(C168+120,Queue_Intervals!B2)),0)+IF(B168=Queue_Intervals!A3,MAX(0,MIN(D168,Queue_Intervals!C3)-MAX(C168+120,Queue_Intervals!B3)),0)+IF(B168=Queue_Intervals!A4,MAX(0,MIN(D168,Queue_Intervals!C4)-MAX(C168+120,Queue_Intervals!B4)),0)+IF(B168=Queue_Intervals!A5,MAX(0,MIN(D168,Queue_Intervals!C5)-MAX(C168+120,Queue_Intervals!B5)),0)</x:f>
        <x:v>0</x:v>
      </x:c>
      <x:c r="L168" s="11" t="n">
        <x:f>MAX(0,F168-150)</x:f>
        <x:v>0</x:v>
      </x:c>
      <x:c r="M168" s="11" t="n">
        <x:f>IF(B168=Queue_Intervals!A2,MAX(0,MIN(D168,Queue_Intervals!C2)-MAX(C168+150,Queue_Intervals!B2)),0)+IF(B168=Queue_Intervals!A3,MAX(0,MIN(D168,Queue_Intervals!C3)-MAX(C168+150,Queue_Intervals!B3)),0)+IF(B168=Queue_Intervals!A4,MAX(0,MIN(D168,Queue_Intervals!C4)-MAX(C168+150,Queue_Intervals!B4)),0)+IF(B168=Queue_Intervals!A5,MAX(0,MIN(D168,Queue_Intervals!C5)-MAX(C168+150,Queue_Intervals!B5)),0)</x:f>
        <x:v>0</x:v>
      </x:c>
    </x:row>
    <x:row r="169" ht="25" customHeight="1">
      <x:c r="A169" s="11" t="str">
        <x:v>183_12</x:v>
      </x:c>
      <x:c r="B169" s="13" t="str">
        <x:v>183</x:v>
      </x:c>
      <x:c r="C169" s="13" t="n">
        <x:v>475</x:v>
      </x:c>
      <x:c r="D169" s="13" t="n">
        <x:v>561</x:v>
      </x:c>
      <x:c r="E169" s="13" t="str">
        <x:v>Walk in</x:v>
      </x:c>
      <x:c r="F169" s="13" t="n">
        <x:v>86</x:v>
      </x:c>
      <x:c r="G169" s="13" t="n">
        <x:v>0</x:v>
      </x:c>
      <x:c r="H169" s="11" t="n">
        <x:f>MAX(0,F169-90)</x:f>
        <x:v>0</x:v>
      </x:c>
      <x:c r="I169" s="11" t="n">
        <x:f>IF(B169=Queue_Intervals!A2,MAX(0,MIN(D169,Queue_Intervals!C2)-MAX(C169+90,Queue_Intervals!B2)),0)+IF(B169=Queue_Intervals!A3,MAX(0,MIN(D169,Queue_Intervals!C3)-MAX(C169+90,Queue_Intervals!B3)),0)+IF(B169=Queue_Intervals!A4,MAX(0,MIN(D169,Queue_Intervals!C4)-MAX(C169+90,Queue_Intervals!B4)),0)+IF(B169=Queue_Intervals!A5,MAX(0,MIN(D169,Queue_Intervals!C5)-MAX(C169+90,Queue_Intervals!B5)),0)</x:f>
        <x:v>0</x:v>
      </x:c>
      <x:c r="J169" s="11" t="n">
        <x:f>MAX(0,F169-120)</x:f>
        <x:v>0</x:v>
      </x:c>
      <x:c r="K169" s="11" t="n">
        <x:f>IF(B169=Queue_Intervals!A2,MAX(0,MIN(D169,Queue_Intervals!C2)-MAX(C169+120,Queue_Intervals!B2)),0)+IF(B169=Queue_Intervals!A3,MAX(0,MIN(D169,Queue_Intervals!C3)-MAX(C169+120,Queue_Intervals!B3)),0)+IF(B169=Queue_Intervals!A4,MAX(0,MIN(D169,Queue_Intervals!C4)-MAX(C169+120,Queue_Intervals!B4)),0)+IF(B169=Queue_Intervals!A5,MAX(0,MIN(D169,Queue_Intervals!C5)-MAX(C169+120,Queue_Intervals!B5)),0)</x:f>
        <x:v>0</x:v>
      </x:c>
      <x:c r="L169" s="11" t="n">
        <x:f>MAX(0,F169-150)</x:f>
        <x:v>0</x:v>
      </x:c>
      <x:c r="M169" s="11" t="n">
        <x:f>IF(B169=Queue_Intervals!A2,MAX(0,MIN(D169,Queue_Intervals!C2)-MAX(C169+150,Queue_Intervals!B2)),0)+IF(B169=Queue_Intervals!A3,MAX(0,MIN(D169,Queue_Intervals!C3)-MAX(C169+150,Queue_Intervals!B3)),0)+IF(B169=Queue_Intervals!A4,MAX(0,MIN(D169,Queue_Intervals!C4)-MAX(C169+150,Queue_Intervals!B4)),0)+IF(B169=Queue_Intervals!A5,MAX(0,MIN(D169,Queue_Intervals!C5)-MAX(C169+150,Queue_Intervals!B5)),0)</x:f>
        <x:v>0</x:v>
      </x:c>
    </x:row>
    <x:row r="170" ht="25" customHeight="1">
      <x:c r="A170" s="11" t="str">
        <x:v>183_13</x:v>
      </x:c>
      <x:c r="B170" s="13" t="str">
        <x:v>183</x:v>
      </x:c>
      <x:c r="C170" s="13" t="n">
        <x:v>478</x:v>
      </x:c>
      <x:c r="D170" s="13" t="n">
        <x:v>539</x:v>
      </x:c>
      <x:c r="E170" s="13" t="str">
        <x:v>Walk in</x:v>
      </x:c>
      <x:c r="F170" s="13" t="n">
        <x:v>61</x:v>
      </x:c>
      <x:c r="G170" s="13" t="n">
        <x:v>0</x:v>
      </x:c>
      <x:c r="H170" s="11" t="n">
        <x:f>MAX(0,F170-90)</x:f>
        <x:v>0</x:v>
      </x:c>
      <x:c r="I170" s="11" t="n">
        <x:f>IF(B170=Queue_Intervals!A2,MAX(0,MIN(D170,Queue_Intervals!C2)-MAX(C170+90,Queue_Intervals!B2)),0)+IF(B170=Queue_Intervals!A3,MAX(0,MIN(D170,Queue_Intervals!C3)-MAX(C170+90,Queue_Intervals!B3)),0)+IF(B170=Queue_Intervals!A4,MAX(0,MIN(D170,Queue_Intervals!C4)-MAX(C170+90,Queue_Intervals!B4)),0)+IF(B170=Queue_Intervals!A5,MAX(0,MIN(D170,Queue_Intervals!C5)-MAX(C170+90,Queue_Intervals!B5)),0)</x:f>
        <x:v>0</x:v>
      </x:c>
      <x:c r="J170" s="11" t="n">
        <x:f>MAX(0,F170-120)</x:f>
        <x:v>0</x:v>
      </x:c>
      <x:c r="K170" s="11" t="n">
        <x:f>IF(B170=Queue_Intervals!A2,MAX(0,MIN(D170,Queue_Intervals!C2)-MAX(C170+120,Queue_Intervals!B2)),0)+IF(B170=Queue_Intervals!A3,MAX(0,MIN(D170,Queue_Intervals!C3)-MAX(C170+120,Queue_Intervals!B3)),0)+IF(B170=Queue_Intervals!A4,MAX(0,MIN(D170,Queue_Intervals!C4)-MAX(C170+120,Queue_Intervals!B4)),0)+IF(B170=Queue_Intervals!A5,MAX(0,MIN(D170,Queue_Intervals!C5)-MAX(C170+120,Queue_Intervals!B5)),0)</x:f>
        <x:v>0</x:v>
      </x:c>
      <x:c r="L170" s="11" t="n">
        <x:f>MAX(0,F170-150)</x:f>
        <x:v>0</x:v>
      </x:c>
      <x:c r="M170" s="11" t="n">
        <x:f>IF(B170=Queue_Intervals!A2,MAX(0,MIN(D170,Queue_Intervals!C2)-MAX(C170+150,Queue_Intervals!B2)),0)+IF(B170=Queue_Intervals!A3,MAX(0,MIN(D170,Queue_Intervals!C3)-MAX(C170+150,Queue_Intervals!B3)),0)+IF(B170=Queue_Intervals!A4,MAX(0,MIN(D170,Queue_Intervals!C4)-MAX(C170+150,Queue_Intervals!B4)),0)+IF(B170=Queue_Intervals!A5,MAX(0,MIN(D170,Queue_Intervals!C5)-MAX(C170+150,Queue_Intervals!B5)),0)</x:f>
        <x:v>0</x:v>
      </x:c>
    </x:row>
    <x:row r="171" ht="25" customHeight="1">
      <x:c r="A171" s="11" t="str">
        <x:v>183_14</x:v>
      </x:c>
      <x:c r="B171" s="13" t="str">
        <x:v>183</x:v>
      </x:c>
      <x:c r="C171" s="13" t="n">
        <x:v>483</x:v>
      </x:c>
      <x:c r="D171" s="13" t="n">
        <x:v>515</x:v>
      </x:c>
      <x:c r="E171" s="13" t="str">
        <x:v>Walk in</x:v>
      </x:c>
      <x:c r="F171" s="13" t="n">
        <x:v>32</x:v>
      </x:c>
      <x:c r="G171" s="13" t="n">
        <x:v>0</x:v>
      </x:c>
      <x:c r="H171" s="11" t="n">
        <x:f>MAX(0,F171-90)</x:f>
        <x:v>0</x:v>
      </x:c>
      <x:c r="I171" s="11" t="n">
        <x:f>IF(B171=Queue_Intervals!A2,MAX(0,MIN(D171,Queue_Intervals!C2)-MAX(C171+90,Queue_Intervals!B2)),0)+IF(B171=Queue_Intervals!A3,MAX(0,MIN(D171,Queue_Intervals!C3)-MAX(C171+90,Queue_Intervals!B3)),0)+IF(B171=Queue_Intervals!A4,MAX(0,MIN(D171,Queue_Intervals!C4)-MAX(C171+90,Queue_Intervals!B4)),0)+IF(B171=Queue_Intervals!A5,MAX(0,MIN(D171,Queue_Intervals!C5)-MAX(C171+90,Queue_Intervals!B5)),0)</x:f>
        <x:v>0</x:v>
      </x:c>
      <x:c r="J171" s="11" t="n">
        <x:f>MAX(0,F171-120)</x:f>
        <x:v>0</x:v>
      </x:c>
      <x:c r="K171" s="11" t="n">
        <x:f>IF(B171=Queue_Intervals!A2,MAX(0,MIN(D171,Queue_Intervals!C2)-MAX(C171+120,Queue_Intervals!B2)),0)+IF(B171=Queue_Intervals!A3,MAX(0,MIN(D171,Queue_Intervals!C3)-MAX(C171+120,Queue_Intervals!B3)),0)+IF(B171=Queue_Intervals!A4,MAX(0,MIN(D171,Queue_Intervals!C4)-MAX(C171+120,Queue_Intervals!B4)),0)+IF(B171=Queue_Intervals!A5,MAX(0,MIN(D171,Queue_Intervals!C5)-MAX(C171+120,Queue_Intervals!B5)),0)</x:f>
        <x:v>0</x:v>
      </x:c>
      <x:c r="L171" s="11" t="n">
        <x:f>MAX(0,F171-150)</x:f>
        <x:v>0</x:v>
      </x:c>
      <x:c r="M171" s="11" t="n">
        <x:f>IF(B171=Queue_Intervals!A2,MAX(0,MIN(D171,Queue_Intervals!C2)-MAX(C171+150,Queue_Intervals!B2)),0)+IF(B171=Queue_Intervals!A3,MAX(0,MIN(D171,Queue_Intervals!C3)-MAX(C171+150,Queue_Intervals!B3)),0)+IF(B171=Queue_Intervals!A4,MAX(0,MIN(D171,Queue_Intervals!C4)-MAX(C171+150,Queue_Intervals!B4)),0)+IF(B171=Queue_Intervals!A5,MAX(0,MIN(D171,Queue_Intervals!C5)-MAX(C171+150,Queue_Intervals!B5)),0)</x:f>
        <x:v>0</x:v>
      </x:c>
    </x:row>
    <x:row r="172" ht="25" customHeight="1">
      <x:c r="A172" s="11" t="str">
        <x:v>183_17</x:v>
      </x:c>
      <x:c r="B172" s="13" t="str">
        <x:v>183</x:v>
      </x:c>
      <x:c r="C172" s="13" t="n">
        <x:v>495</x:v>
      </x:c>
      <x:c r="D172" s="13" t="n">
        <x:v>540</x:v>
      </x:c>
      <x:c r="E172" s="13" t="str">
        <x:v>Walk in</x:v>
      </x:c>
      <x:c r="F172" s="13" t="n">
        <x:v>45</x:v>
      </x:c>
      <x:c r="G172" s="13" t="n">
        <x:v>0</x:v>
      </x:c>
      <x:c r="H172" s="11" t="n">
        <x:f>MAX(0,F172-90)</x:f>
        <x:v>0</x:v>
      </x:c>
      <x:c r="I172" s="11" t="n">
        <x:f>IF(B172=Queue_Intervals!A2,MAX(0,MIN(D172,Queue_Intervals!C2)-MAX(C172+90,Queue_Intervals!B2)),0)+IF(B172=Queue_Intervals!A3,MAX(0,MIN(D172,Queue_Intervals!C3)-MAX(C172+90,Queue_Intervals!B3)),0)+IF(B172=Queue_Intervals!A4,MAX(0,MIN(D172,Queue_Intervals!C4)-MAX(C172+90,Queue_Intervals!B4)),0)+IF(B172=Queue_Intervals!A5,MAX(0,MIN(D172,Queue_Intervals!C5)-MAX(C172+90,Queue_Intervals!B5)),0)</x:f>
        <x:v>0</x:v>
      </x:c>
      <x:c r="J172" s="11" t="n">
        <x:f>MAX(0,F172-120)</x:f>
        <x:v>0</x:v>
      </x:c>
      <x:c r="K172" s="11" t="n">
        <x:f>IF(B172=Queue_Intervals!A2,MAX(0,MIN(D172,Queue_Intervals!C2)-MAX(C172+120,Queue_Intervals!B2)),0)+IF(B172=Queue_Intervals!A3,MAX(0,MIN(D172,Queue_Intervals!C3)-MAX(C172+120,Queue_Intervals!B3)),0)+IF(B172=Queue_Intervals!A4,MAX(0,MIN(D172,Queue_Intervals!C4)-MAX(C172+120,Queue_Intervals!B4)),0)+IF(B172=Queue_Intervals!A5,MAX(0,MIN(D172,Queue_Intervals!C5)-MAX(C172+120,Queue_Intervals!B5)),0)</x:f>
        <x:v>0</x:v>
      </x:c>
      <x:c r="L172" s="11" t="n">
        <x:f>MAX(0,F172-150)</x:f>
        <x:v>0</x:v>
      </x:c>
      <x:c r="M172" s="11" t="n">
        <x:f>IF(B172=Queue_Intervals!A2,MAX(0,MIN(D172,Queue_Intervals!C2)-MAX(C172+150,Queue_Intervals!B2)),0)+IF(B172=Queue_Intervals!A3,MAX(0,MIN(D172,Queue_Intervals!C3)-MAX(C172+150,Queue_Intervals!B3)),0)+IF(B172=Queue_Intervals!A4,MAX(0,MIN(D172,Queue_Intervals!C4)-MAX(C172+150,Queue_Intervals!B4)),0)+IF(B172=Queue_Intervals!A5,MAX(0,MIN(D172,Queue_Intervals!C5)-MAX(C172+150,Queue_Intervals!B5)),0)</x:f>
        <x:v>0</x:v>
      </x:c>
    </x:row>
    <x:row r="173" ht="25" customHeight="1">
      <x:c r="A173" s="11" t="str">
        <x:v>183_18</x:v>
      </x:c>
      <x:c r="B173" s="13" t="str">
        <x:v>183</x:v>
      </x:c>
      <x:c r="C173" s="13" t="n">
        <x:v>496</x:v>
      </x:c>
      <x:c r="D173" s="13" t="n">
        <x:v>594</x:v>
      </x:c>
      <x:c r="E173" s="13" t="str">
        <x:v>Walk in</x:v>
      </x:c>
      <x:c r="F173" s="13" t="n">
        <x:v>98</x:v>
      </x:c>
      <x:c r="G173" s="13" t="n">
        <x:v>0</x:v>
      </x:c>
      <x:c r="H173" s="11" t="n">
        <x:f>MAX(0,F173-90)</x:f>
        <x:v>8</x:v>
      </x:c>
      <x:c r="I173" s="11" t="n">
        <x:f>IF(B173=Queue_Intervals!A2,MAX(0,MIN(D173,Queue_Intervals!C2)-MAX(C173+90,Queue_Intervals!B2)),0)+IF(B173=Queue_Intervals!A3,MAX(0,MIN(D173,Queue_Intervals!C3)-MAX(C173+90,Queue_Intervals!B3)),0)+IF(B173=Queue_Intervals!A4,MAX(0,MIN(D173,Queue_Intervals!C4)-MAX(C173+90,Queue_Intervals!B4)),0)+IF(B173=Queue_Intervals!A5,MAX(0,MIN(D173,Queue_Intervals!C5)-MAX(C173+90,Queue_Intervals!B5)),0)</x:f>
        <x:v>0</x:v>
      </x:c>
      <x:c r="J173" s="11" t="n">
        <x:f>MAX(0,F173-120)</x:f>
        <x:v>0</x:v>
      </x:c>
      <x:c r="K173" s="11" t="n">
        <x:f>IF(B173=Queue_Intervals!A2,MAX(0,MIN(D173,Queue_Intervals!C2)-MAX(C173+120,Queue_Intervals!B2)),0)+IF(B173=Queue_Intervals!A3,MAX(0,MIN(D173,Queue_Intervals!C3)-MAX(C173+120,Queue_Intervals!B3)),0)+IF(B173=Queue_Intervals!A4,MAX(0,MIN(D173,Queue_Intervals!C4)-MAX(C173+120,Queue_Intervals!B4)),0)+IF(B173=Queue_Intervals!A5,MAX(0,MIN(D173,Queue_Intervals!C5)-MAX(C173+120,Queue_Intervals!B5)),0)</x:f>
        <x:v>0</x:v>
      </x:c>
      <x:c r="L173" s="11" t="n">
        <x:f>MAX(0,F173-150)</x:f>
        <x:v>0</x:v>
      </x:c>
      <x:c r="M173" s="11" t="n">
        <x:f>IF(B173=Queue_Intervals!A2,MAX(0,MIN(D173,Queue_Intervals!C2)-MAX(C173+150,Queue_Intervals!B2)),0)+IF(B173=Queue_Intervals!A3,MAX(0,MIN(D173,Queue_Intervals!C3)-MAX(C173+150,Queue_Intervals!B3)),0)+IF(B173=Queue_Intervals!A4,MAX(0,MIN(D173,Queue_Intervals!C4)-MAX(C173+150,Queue_Intervals!B4)),0)+IF(B173=Queue_Intervals!A5,MAX(0,MIN(D173,Queue_Intervals!C5)-MAX(C173+150,Queue_Intervals!B5)),0)</x:f>
        <x:v>0</x:v>
      </x:c>
    </x:row>
    <x:row r="174" ht="25" customHeight="1">
      <x:c r="A174" s="11" t="str">
        <x:v>183_19</x:v>
      </x:c>
      <x:c r="B174" s="13" t="str">
        <x:v>183</x:v>
      </x:c>
      <x:c r="C174" s="13" t="n">
        <x:v>498</x:v>
      </x:c>
      <x:c r="D174" s="13" t="n">
        <x:v>577</x:v>
      </x:c>
      <x:c r="E174" s="13" t="str">
        <x:v>Walk in</x:v>
      </x:c>
      <x:c r="F174" s="13" t="n">
        <x:v>79</x:v>
      </x:c>
      <x:c r="G174" s="13" t="n">
        <x:v>0</x:v>
      </x:c>
      <x:c r="H174" s="11" t="n">
        <x:f>MAX(0,F174-90)</x:f>
        <x:v>0</x:v>
      </x:c>
      <x:c r="I174" s="11" t="n">
        <x:f>IF(B174=Queue_Intervals!A2,MAX(0,MIN(D174,Queue_Intervals!C2)-MAX(C174+90,Queue_Intervals!B2)),0)+IF(B174=Queue_Intervals!A3,MAX(0,MIN(D174,Queue_Intervals!C3)-MAX(C174+90,Queue_Intervals!B3)),0)+IF(B174=Queue_Intervals!A4,MAX(0,MIN(D174,Queue_Intervals!C4)-MAX(C174+90,Queue_Intervals!B4)),0)+IF(B174=Queue_Intervals!A5,MAX(0,MIN(D174,Queue_Intervals!C5)-MAX(C174+90,Queue_Intervals!B5)),0)</x:f>
        <x:v>0</x:v>
      </x:c>
      <x:c r="J174" s="11" t="n">
        <x:f>MAX(0,F174-120)</x:f>
        <x:v>0</x:v>
      </x:c>
      <x:c r="K174" s="11" t="n">
        <x:f>IF(B174=Queue_Intervals!A2,MAX(0,MIN(D174,Queue_Intervals!C2)-MAX(C174+120,Queue_Intervals!B2)),0)+IF(B174=Queue_Intervals!A3,MAX(0,MIN(D174,Queue_Intervals!C3)-MAX(C174+120,Queue_Intervals!B3)),0)+IF(B174=Queue_Intervals!A4,MAX(0,MIN(D174,Queue_Intervals!C4)-MAX(C174+120,Queue_Intervals!B4)),0)+IF(B174=Queue_Intervals!A5,MAX(0,MIN(D174,Queue_Intervals!C5)-MAX(C174+120,Queue_Intervals!B5)),0)</x:f>
        <x:v>0</x:v>
      </x:c>
      <x:c r="L174" s="11" t="n">
        <x:f>MAX(0,F174-150)</x:f>
        <x:v>0</x:v>
      </x:c>
      <x:c r="M174" s="11" t="n">
        <x:f>IF(B174=Queue_Intervals!A2,MAX(0,MIN(D174,Queue_Intervals!C2)-MAX(C174+150,Queue_Intervals!B2)),0)+IF(B174=Queue_Intervals!A3,MAX(0,MIN(D174,Queue_Intervals!C3)-MAX(C174+150,Queue_Intervals!B3)),0)+IF(B174=Queue_Intervals!A4,MAX(0,MIN(D174,Queue_Intervals!C4)-MAX(C174+150,Queue_Intervals!B4)),0)+IF(B174=Queue_Intervals!A5,MAX(0,MIN(D174,Queue_Intervals!C5)-MAX(C174+150,Queue_Intervals!B5)),0)</x:f>
        <x:v>0</x:v>
      </x:c>
    </x:row>
    <x:row r="175" ht="25" customHeight="1">
      <x:c r="A175" s="11" t="str">
        <x:v>183_22</x:v>
      </x:c>
      <x:c r="B175" s="13" t="str">
        <x:v>183</x:v>
      </x:c>
      <x:c r="C175" s="13" t="n">
        <x:v>509</x:v>
      </x:c>
      <x:c r="D175" s="13" t="n">
        <x:v>559</x:v>
      </x:c>
      <x:c r="E175" s="13" t="str">
        <x:v>Walk in</x:v>
      </x:c>
      <x:c r="F175" s="13" t="n">
        <x:v>50</x:v>
      </x:c>
      <x:c r="G175" s="13" t="n">
        <x:v>0</x:v>
      </x:c>
      <x:c r="H175" s="11" t="n">
        <x:f>MAX(0,F175-90)</x:f>
        <x:v>0</x:v>
      </x:c>
      <x:c r="I175" s="11" t="n">
        <x:f>IF(B175=Queue_Intervals!A2,MAX(0,MIN(D175,Queue_Intervals!C2)-MAX(C175+90,Queue_Intervals!B2)),0)+IF(B175=Queue_Intervals!A3,MAX(0,MIN(D175,Queue_Intervals!C3)-MAX(C175+90,Queue_Intervals!B3)),0)+IF(B175=Queue_Intervals!A4,MAX(0,MIN(D175,Queue_Intervals!C4)-MAX(C175+90,Queue_Intervals!B4)),0)+IF(B175=Queue_Intervals!A5,MAX(0,MIN(D175,Queue_Intervals!C5)-MAX(C175+90,Queue_Intervals!B5)),0)</x:f>
        <x:v>0</x:v>
      </x:c>
      <x:c r="J175" s="11" t="n">
        <x:f>MAX(0,F175-120)</x:f>
        <x:v>0</x:v>
      </x:c>
      <x:c r="K175" s="11" t="n">
        <x:f>IF(B175=Queue_Intervals!A2,MAX(0,MIN(D175,Queue_Intervals!C2)-MAX(C175+120,Queue_Intervals!B2)),0)+IF(B175=Queue_Intervals!A3,MAX(0,MIN(D175,Queue_Intervals!C3)-MAX(C175+120,Queue_Intervals!B3)),0)+IF(B175=Queue_Intervals!A4,MAX(0,MIN(D175,Queue_Intervals!C4)-MAX(C175+120,Queue_Intervals!B4)),0)+IF(B175=Queue_Intervals!A5,MAX(0,MIN(D175,Queue_Intervals!C5)-MAX(C175+120,Queue_Intervals!B5)),0)</x:f>
        <x:v>0</x:v>
      </x:c>
      <x:c r="L175" s="11" t="n">
        <x:f>MAX(0,F175-150)</x:f>
        <x:v>0</x:v>
      </x:c>
      <x:c r="M175" s="11" t="n">
        <x:f>IF(B175=Queue_Intervals!A2,MAX(0,MIN(D175,Queue_Intervals!C2)-MAX(C175+150,Queue_Intervals!B2)),0)+IF(B175=Queue_Intervals!A3,MAX(0,MIN(D175,Queue_Intervals!C3)-MAX(C175+150,Queue_Intervals!B3)),0)+IF(B175=Queue_Intervals!A4,MAX(0,MIN(D175,Queue_Intervals!C4)-MAX(C175+150,Queue_Intervals!B4)),0)+IF(B175=Queue_Intervals!A5,MAX(0,MIN(D175,Queue_Intervals!C5)-MAX(C175+150,Queue_Intervals!B5)),0)</x:f>
        <x:v>0</x:v>
      </x:c>
    </x:row>
    <x:row r="176" ht="25" customHeight="1">
      <x:c r="A176" s="11" t="str">
        <x:v>183_24</x:v>
      </x:c>
      <x:c r="B176" s="13" t="str">
        <x:v>183</x:v>
      </x:c>
      <x:c r="C176" s="13" t="n">
        <x:v>520</x:v>
      </x:c>
      <x:c r="D176" s="13" t="n">
        <x:v>569</x:v>
      </x:c>
      <x:c r="E176" s="13" t="str">
        <x:v>Walk in</x:v>
      </x:c>
      <x:c r="F176" s="13" t="n">
        <x:v>49</x:v>
      </x:c>
      <x:c r="G176" s="13" t="n">
        <x:v>0</x:v>
      </x:c>
      <x:c r="H176" s="11" t="n">
        <x:f>MAX(0,F176-90)</x:f>
        <x:v>0</x:v>
      </x:c>
      <x:c r="I176" s="11" t="n">
        <x:f>IF(B176=Queue_Intervals!A2,MAX(0,MIN(D176,Queue_Intervals!C2)-MAX(C176+90,Queue_Intervals!B2)),0)+IF(B176=Queue_Intervals!A3,MAX(0,MIN(D176,Queue_Intervals!C3)-MAX(C176+90,Queue_Intervals!B3)),0)+IF(B176=Queue_Intervals!A4,MAX(0,MIN(D176,Queue_Intervals!C4)-MAX(C176+90,Queue_Intervals!B4)),0)+IF(B176=Queue_Intervals!A5,MAX(0,MIN(D176,Queue_Intervals!C5)-MAX(C176+90,Queue_Intervals!B5)),0)</x:f>
        <x:v>0</x:v>
      </x:c>
      <x:c r="J176" s="11" t="n">
        <x:f>MAX(0,F176-120)</x:f>
        <x:v>0</x:v>
      </x:c>
      <x:c r="K176" s="11" t="n">
        <x:f>IF(B176=Queue_Intervals!A2,MAX(0,MIN(D176,Queue_Intervals!C2)-MAX(C176+120,Queue_Intervals!B2)),0)+IF(B176=Queue_Intervals!A3,MAX(0,MIN(D176,Queue_Intervals!C3)-MAX(C176+120,Queue_Intervals!B3)),0)+IF(B176=Queue_Intervals!A4,MAX(0,MIN(D176,Queue_Intervals!C4)-MAX(C176+120,Queue_Intervals!B4)),0)+IF(B176=Queue_Intervals!A5,MAX(0,MIN(D176,Queue_Intervals!C5)-MAX(C176+120,Queue_Intervals!B5)),0)</x:f>
        <x:v>0</x:v>
      </x:c>
      <x:c r="L176" s="11" t="n">
        <x:f>MAX(0,F176-150)</x:f>
        <x:v>0</x:v>
      </x:c>
      <x:c r="M176" s="11" t="n">
        <x:f>IF(B176=Queue_Intervals!A2,MAX(0,MIN(D176,Queue_Intervals!C2)-MAX(C176+150,Queue_Intervals!B2)),0)+IF(B176=Queue_Intervals!A3,MAX(0,MIN(D176,Queue_Intervals!C3)-MAX(C176+150,Queue_Intervals!B3)),0)+IF(B176=Queue_Intervals!A4,MAX(0,MIN(D176,Queue_Intervals!C4)-MAX(C176+150,Queue_Intervals!B4)),0)+IF(B176=Queue_Intervals!A5,MAX(0,MIN(D176,Queue_Intervals!C5)-MAX(C176+150,Queue_Intervals!B5)),0)</x:f>
        <x:v>0</x:v>
      </x:c>
    </x:row>
    <x:row r="177" ht="25" customHeight="1">
      <x:c r="A177" s="11" t="str">
        <x:v>183_28</x:v>
      </x:c>
      <x:c r="B177" s="13" t="str">
        <x:v>183</x:v>
      </x:c>
      <x:c r="C177" s="13" t="n">
        <x:v>527</x:v>
      </x:c>
      <x:c r="D177" s="13" t="n">
        <x:v>626</x:v>
      </x:c>
      <x:c r="E177" s="13" t="str">
        <x:v>Walk in</x:v>
      </x:c>
      <x:c r="F177" s="13" t="n">
        <x:v>99</x:v>
      </x:c>
      <x:c r="G177" s="13" t="n">
        <x:v>0</x:v>
      </x:c>
      <x:c r="H177" s="11" t="n">
        <x:f>MAX(0,F177-90)</x:f>
        <x:v>9</x:v>
      </x:c>
      <x:c r="I177" s="11" t="n">
        <x:f>IF(B177=Queue_Intervals!A2,MAX(0,MIN(D177,Queue_Intervals!C2)-MAX(C177+90,Queue_Intervals!B2)),0)+IF(B177=Queue_Intervals!A3,MAX(0,MIN(D177,Queue_Intervals!C3)-MAX(C177+90,Queue_Intervals!B3)),0)+IF(B177=Queue_Intervals!A4,MAX(0,MIN(D177,Queue_Intervals!C4)-MAX(C177+90,Queue_Intervals!B4)),0)+IF(B177=Queue_Intervals!A5,MAX(0,MIN(D177,Queue_Intervals!C5)-MAX(C177+90,Queue_Intervals!B5)),0)</x:f>
        <x:v>0</x:v>
      </x:c>
      <x:c r="J177" s="11" t="n">
        <x:f>MAX(0,F177-120)</x:f>
        <x:v>0</x:v>
      </x:c>
      <x:c r="K177" s="11" t="n">
        <x:f>IF(B177=Queue_Intervals!A2,MAX(0,MIN(D177,Queue_Intervals!C2)-MAX(C177+120,Queue_Intervals!B2)),0)+IF(B177=Queue_Intervals!A3,MAX(0,MIN(D177,Queue_Intervals!C3)-MAX(C177+120,Queue_Intervals!B3)),0)+IF(B177=Queue_Intervals!A4,MAX(0,MIN(D177,Queue_Intervals!C4)-MAX(C177+120,Queue_Intervals!B4)),0)+IF(B177=Queue_Intervals!A5,MAX(0,MIN(D177,Queue_Intervals!C5)-MAX(C177+120,Queue_Intervals!B5)),0)</x:f>
        <x:v>0</x:v>
      </x:c>
      <x:c r="L177" s="11" t="n">
        <x:f>MAX(0,F177-150)</x:f>
        <x:v>0</x:v>
      </x:c>
      <x:c r="M177" s="11" t="n">
        <x:f>IF(B177=Queue_Intervals!A2,MAX(0,MIN(D177,Queue_Intervals!C2)-MAX(C177+150,Queue_Intervals!B2)),0)+IF(B177=Queue_Intervals!A3,MAX(0,MIN(D177,Queue_Intervals!C3)-MAX(C177+150,Queue_Intervals!B3)),0)+IF(B177=Queue_Intervals!A4,MAX(0,MIN(D177,Queue_Intervals!C4)-MAX(C177+150,Queue_Intervals!B4)),0)+IF(B177=Queue_Intervals!A5,MAX(0,MIN(D177,Queue_Intervals!C5)-MAX(C177+150,Queue_Intervals!B5)),0)</x:f>
        <x:v>0</x:v>
      </x:c>
    </x:row>
    <x:row r="178" ht="25" customHeight="1">
      <x:c r="A178" s="11" t="str">
        <x:v>183_29</x:v>
      </x:c>
      <x:c r="B178" s="13" t="str">
        <x:v>183</x:v>
      </x:c>
      <x:c r="C178" s="13" t="n">
        <x:v>529</x:v>
      </x:c>
      <x:c r="D178" s="13" t="n">
        <x:v>565</x:v>
      </x:c>
      <x:c r="E178" s="13" t="str">
        <x:v>Walk in</x:v>
      </x:c>
      <x:c r="F178" s="13" t="n">
        <x:v>36</x:v>
      </x:c>
      <x:c r="G178" s="13" t="n">
        <x:v>0</x:v>
      </x:c>
      <x:c r="H178" s="11" t="n">
        <x:f>MAX(0,F178-90)</x:f>
        <x:v>0</x:v>
      </x:c>
      <x:c r="I178" s="11" t="n">
        <x:f>IF(B178=Queue_Intervals!A2,MAX(0,MIN(D178,Queue_Intervals!C2)-MAX(C178+90,Queue_Intervals!B2)),0)+IF(B178=Queue_Intervals!A3,MAX(0,MIN(D178,Queue_Intervals!C3)-MAX(C178+90,Queue_Intervals!B3)),0)+IF(B178=Queue_Intervals!A4,MAX(0,MIN(D178,Queue_Intervals!C4)-MAX(C178+90,Queue_Intervals!B4)),0)+IF(B178=Queue_Intervals!A5,MAX(0,MIN(D178,Queue_Intervals!C5)-MAX(C178+90,Queue_Intervals!B5)),0)</x:f>
        <x:v>0</x:v>
      </x:c>
      <x:c r="J178" s="11" t="n">
        <x:f>MAX(0,F178-120)</x:f>
        <x:v>0</x:v>
      </x:c>
      <x:c r="K178" s="11" t="n">
        <x:f>IF(B178=Queue_Intervals!A2,MAX(0,MIN(D178,Queue_Intervals!C2)-MAX(C178+120,Queue_Intervals!B2)),0)+IF(B178=Queue_Intervals!A3,MAX(0,MIN(D178,Queue_Intervals!C3)-MAX(C178+120,Queue_Intervals!B3)),0)+IF(B178=Queue_Intervals!A4,MAX(0,MIN(D178,Queue_Intervals!C4)-MAX(C178+120,Queue_Intervals!B4)),0)+IF(B178=Queue_Intervals!A5,MAX(0,MIN(D178,Queue_Intervals!C5)-MAX(C178+120,Queue_Intervals!B5)),0)</x:f>
        <x:v>0</x:v>
      </x:c>
      <x:c r="L178" s="11" t="n">
        <x:f>MAX(0,F178-150)</x:f>
        <x:v>0</x:v>
      </x:c>
      <x:c r="M178" s="11" t="n">
        <x:f>IF(B178=Queue_Intervals!A2,MAX(0,MIN(D178,Queue_Intervals!C2)-MAX(C178+150,Queue_Intervals!B2)),0)+IF(B178=Queue_Intervals!A3,MAX(0,MIN(D178,Queue_Intervals!C3)-MAX(C178+150,Queue_Intervals!B3)),0)+IF(B178=Queue_Intervals!A4,MAX(0,MIN(D178,Queue_Intervals!C4)-MAX(C178+150,Queue_Intervals!B4)),0)+IF(B178=Queue_Intervals!A5,MAX(0,MIN(D178,Queue_Intervals!C5)-MAX(C178+150,Queue_Intervals!B5)),0)</x:f>
        <x:v>0</x:v>
      </x:c>
    </x:row>
    <x:row r="179" ht="25" customHeight="1">
      <x:c r="A179" s="11" t="str">
        <x:v>183_33</x:v>
      </x:c>
      <x:c r="B179" s="13" t="str">
        <x:v>183</x:v>
      </x:c>
      <x:c r="C179" s="13" t="n">
        <x:v>548</x:v>
      </x:c>
      <x:c r="D179" s="13" t="n">
        <x:v>603</x:v>
      </x:c>
      <x:c r="E179" s="13" t="str">
        <x:v>Walk in</x:v>
      </x:c>
      <x:c r="F179" s="13" t="n">
        <x:v>55</x:v>
      </x:c>
      <x:c r="G179" s="13" t="n">
        <x:v>0</x:v>
      </x:c>
      <x:c r="H179" s="11" t="n">
        <x:f>MAX(0,F179-90)</x:f>
        <x:v>0</x:v>
      </x:c>
      <x:c r="I179" s="11" t="n">
        <x:f>IF(B179=Queue_Intervals!A2,MAX(0,MIN(D179,Queue_Intervals!C2)-MAX(C179+90,Queue_Intervals!B2)),0)+IF(B179=Queue_Intervals!A3,MAX(0,MIN(D179,Queue_Intervals!C3)-MAX(C179+90,Queue_Intervals!B3)),0)+IF(B179=Queue_Intervals!A4,MAX(0,MIN(D179,Queue_Intervals!C4)-MAX(C179+90,Queue_Intervals!B4)),0)+IF(B179=Queue_Intervals!A5,MAX(0,MIN(D179,Queue_Intervals!C5)-MAX(C179+90,Queue_Intervals!B5)),0)</x:f>
        <x:v>0</x:v>
      </x:c>
      <x:c r="J179" s="11" t="n">
        <x:f>MAX(0,F179-120)</x:f>
        <x:v>0</x:v>
      </x:c>
      <x:c r="K179" s="11" t="n">
        <x:f>IF(B179=Queue_Intervals!A2,MAX(0,MIN(D179,Queue_Intervals!C2)-MAX(C179+120,Queue_Intervals!B2)),0)+IF(B179=Queue_Intervals!A3,MAX(0,MIN(D179,Queue_Intervals!C3)-MAX(C179+120,Queue_Intervals!B3)),0)+IF(B179=Queue_Intervals!A4,MAX(0,MIN(D179,Queue_Intervals!C4)-MAX(C179+120,Queue_Intervals!B4)),0)+IF(B179=Queue_Intervals!A5,MAX(0,MIN(D179,Queue_Intervals!C5)-MAX(C179+120,Queue_Intervals!B5)),0)</x:f>
        <x:v>0</x:v>
      </x:c>
      <x:c r="L179" s="11" t="n">
        <x:f>MAX(0,F179-150)</x:f>
        <x:v>0</x:v>
      </x:c>
      <x:c r="M179" s="11" t="n">
        <x:f>IF(B179=Queue_Intervals!A2,MAX(0,MIN(D179,Queue_Intervals!C2)-MAX(C179+150,Queue_Intervals!B2)),0)+IF(B179=Queue_Intervals!A3,MAX(0,MIN(D179,Queue_Intervals!C3)-MAX(C179+150,Queue_Intervals!B3)),0)+IF(B179=Queue_Intervals!A4,MAX(0,MIN(D179,Queue_Intervals!C4)-MAX(C179+150,Queue_Intervals!B4)),0)+IF(B179=Queue_Intervals!A5,MAX(0,MIN(D179,Queue_Intervals!C5)-MAX(C179+150,Queue_Intervals!B5)),0)</x:f>
        <x:v>0</x:v>
      </x:c>
    </x:row>
    <x:row r="180" ht="25" customHeight="1">
      <x:c r="A180" s="11" t="str">
        <x:v>183_35</x:v>
      </x:c>
      <x:c r="B180" s="13" t="str">
        <x:v>183</x:v>
      </x:c>
      <x:c r="C180" s="13" t="n">
        <x:v>552</x:v>
      </x:c>
      <x:c r="D180" s="13" t="n">
        <x:v>608</x:v>
      </x:c>
      <x:c r="E180" s="13" t="str">
        <x:v>Walk in</x:v>
      </x:c>
      <x:c r="F180" s="13" t="n">
        <x:v>56</x:v>
      </x:c>
      <x:c r="G180" s="13" t="n">
        <x:v>0</x:v>
      </x:c>
      <x:c r="H180" s="11" t="n">
        <x:f>MAX(0,F180-90)</x:f>
        <x:v>0</x:v>
      </x:c>
      <x:c r="I180" s="11" t="n">
        <x:f>IF(B180=Queue_Intervals!A2,MAX(0,MIN(D180,Queue_Intervals!C2)-MAX(C180+90,Queue_Intervals!B2)),0)+IF(B180=Queue_Intervals!A3,MAX(0,MIN(D180,Queue_Intervals!C3)-MAX(C180+90,Queue_Intervals!B3)),0)+IF(B180=Queue_Intervals!A4,MAX(0,MIN(D180,Queue_Intervals!C4)-MAX(C180+90,Queue_Intervals!B4)),0)+IF(B180=Queue_Intervals!A5,MAX(0,MIN(D180,Queue_Intervals!C5)-MAX(C180+90,Queue_Intervals!B5)),0)</x:f>
        <x:v>0</x:v>
      </x:c>
      <x:c r="J180" s="11" t="n">
        <x:f>MAX(0,F180-120)</x:f>
        <x:v>0</x:v>
      </x:c>
      <x:c r="K180" s="11" t="n">
        <x:f>IF(B180=Queue_Intervals!A2,MAX(0,MIN(D180,Queue_Intervals!C2)-MAX(C180+120,Queue_Intervals!B2)),0)+IF(B180=Queue_Intervals!A3,MAX(0,MIN(D180,Queue_Intervals!C3)-MAX(C180+120,Queue_Intervals!B3)),0)+IF(B180=Queue_Intervals!A4,MAX(0,MIN(D180,Queue_Intervals!C4)-MAX(C180+120,Queue_Intervals!B4)),0)+IF(B180=Queue_Intervals!A5,MAX(0,MIN(D180,Queue_Intervals!C5)-MAX(C180+120,Queue_Intervals!B5)),0)</x:f>
        <x:v>0</x:v>
      </x:c>
      <x:c r="L180" s="11" t="n">
        <x:f>MAX(0,F180-150)</x:f>
        <x:v>0</x:v>
      </x:c>
      <x:c r="M180" s="11" t="n">
        <x:f>IF(B180=Queue_Intervals!A2,MAX(0,MIN(D180,Queue_Intervals!C2)-MAX(C180+150,Queue_Intervals!B2)),0)+IF(B180=Queue_Intervals!A3,MAX(0,MIN(D180,Queue_Intervals!C3)-MAX(C180+150,Queue_Intervals!B3)),0)+IF(B180=Queue_Intervals!A4,MAX(0,MIN(D180,Queue_Intervals!C4)-MAX(C180+150,Queue_Intervals!B4)),0)+IF(B180=Queue_Intervals!A5,MAX(0,MIN(D180,Queue_Intervals!C5)-MAX(C180+150,Queue_Intervals!B5)),0)</x:f>
        <x:v>0</x:v>
      </x:c>
    </x:row>
    <x:row r="181" ht="25" customHeight="1">
      <x:c r="A181" s="11" t="str">
        <x:v>183_36</x:v>
      </x:c>
      <x:c r="B181" s="13" t="str">
        <x:v>183</x:v>
      </x:c>
      <x:c r="C181" s="13" t="n">
        <x:v>553</x:v>
      </x:c>
      <x:c r="D181" s="13" t="n">
        <x:v>605</x:v>
      </x:c>
      <x:c r="E181" s="13" t="str">
        <x:v>Walk in</x:v>
      </x:c>
      <x:c r="F181" s="13" t="n">
        <x:v>52</x:v>
      </x:c>
      <x:c r="G181" s="13" t="n">
        <x:v>0</x:v>
      </x:c>
      <x:c r="H181" s="11" t="n">
        <x:f>MAX(0,F181-90)</x:f>
        <x:v>0</x:v>
      </x:c>
      <x:c r="I181" s="11" t="n">
        <x:f>IF(B181=Queue_Intervals!A2,MAX(0,MIN(D181,Queue_Intervals!C2)-MAX(C181+90,Queue_Intervals!B2)),0)+IF(B181=Queue_Intervals!A3,MAX(0,MIN(D181,Queue_Intervals!C3)-MAX(C181+90,Queue_Intervals!B3)),0)+IF(B181=Queue_Intervals!A4,MAX(0,MIN(D181,Queue_Intervals!C4)-MAX(C181+90,Queue_Intervals!B4)),0)+IF(B181=Queue_Intervals!A5,MAX(0,MIN(D181,Queue_Intervals!C5)-MAX(C181+90,Queue_Intervals!B5)),0)</x:f>
        <x:v>0</x:v>
      </x:c>
      <x:c r="J181" s="11" t="n">
        <x:f>MAX(0,F181-120)</x:f>
        <x:v>0</x:v>
      </x:c>
      <x:c r="K181" s="11" t="n">
        <x:f>IF(B181=Queue_Intervals!A2,MAX(0,MIN(D181,Queue_Intervals!C2)-MAX(C181+120,Queue_Intervals!B2)),0)+IF(B181=Queue_Intervals!A3,MAX(0,MIN(D181,Queue_Intervals!C3)-MAX(C181+120,Queue_Intervals!B3)),0)+IF(B181=Queue_Intervals!A4,MAX(0,MIN(D181,Queue_Intervals!C4)-MAX(C181+120,Queue_Intervals!B4)),0)+IF(B181=Queue_Intervals!A5,MAX(0,MIN(D181,Queue_Intervals!C5)-MAX(C181+120,Queue_Intervals!B5)),0)</x:f>
        <x:v>0</x:v>
      </x:c>
      <x:c r="L181" s="11" t="n">
        <x:f>MAX(0,F181-150)</x:f>
        <x:v>0</x:v>
      </x:c>
      <x:c r="M181" s="11" t="n">
        <x:f>IF(B181=Queue_Intervals!A2,MAX(0,MIN(D181,Queue_Intervals!C2)-MAX(C181+150,Queue_Intervals!B2)),0)+IF(B181=Queue_Intervals!A3,MAX(0,MIN(D181,Queue_Intervals!C3)-MAX(C181+150,Queue_Intervals!B3)),0)+IF(B181=Queue_Intervals!A4,MAX(0,MIN(D181,Queue_Intervals!C4)-MAX(C181+150,Queue_Intervals!B4)),0)+IF(B181=Queue_Intervals!A5,MAX(0,MIN(D181,Queue_Intervals!C5)-MAX(C181+150,Queue_Intervals!B5)),0)</x:f>
        <x:v>0</x:v>
      </x:c>
    </x:row>
    <x:row r="182" ht="25" customHeight="1">
      <x:c r="A182" s="11" t="str">
        <x:v>183_37</x:v>
      </x:c>
      <x:c r="B182" s="13" t="str">
        <x:v>183</x:v>
      </x:c>
      <x:c r="C182" s="13" t="n">
        <x:v>560</x:v>
      </x:c>
      <x:c r="D182" s="13" t="n">
        <x:v>594</x:v>
      </x:c>
      <x:c r="E182" s="13" t="str">
        <x:v>Walk in</x:v>
      </x:c>
      <x:c r="F182" s="13" t="n">
        <x:v>34</x:v>
      </x:c>
      <x:c r="G182" s="13" t="n">
        <x:v>0</x:v>
      </x:c>
      <x:c r="H182" s="11" t="n">
        <x:f>MAX(0,F182-90)</x:f>
        <x:v>0</x:v>
      </x:c>
      <x:c r="I182" s="11" t="n">
        <x:f>IF(B182=Queue_Intervals!A2,MAX(0,MIN(D182,Queue_Intervals!C2)-MAX(C182+90,Queue_Intervals!B2)),0)+IF(B182=Queue_Intervals!A3,MAX(0,MIN(D182,Queue_Intervals!C3)-MAX(C182+90,Queue_Intervals!B3)),0)+IF(B182=Queue_Intervals!A4,MAX(0,MIN(D182,Queue_Intervals!C4)-MAX(C182+90,Queue_Intervals!B4)),0)+IF(B182=Queue_Intervals!A5,MAX(0,MIN(D182,Queue_Intervals!C5)-MAX(C182+90,Queue_Intervals!B5)),0)</x:f>
        <x:v>0</x:v>
      </x:c>
      <x:c r="J182" s="11" t="n">
        <x:f>MAX(0,F182-120)</x:f>
        <x:v>0</x:v>
      </x:c>
      <x:c r="K182" s="11" t="n">
        <x:f>IF(B182=Queue_Intervals!A2,MAX(0,MIN(D182,Queue_Intervals!C2)-MAX(C182+120,Queue_Intervals!B2)),0)+IF(B182=Queue_Intervals!A3,MAX(0,MIN(D182,Queue_Intervals!C3)-MAX(C182+120,Queue_Intervals!B3)),0)+IF(B182=Queue_Intervals!A4,MAX(0,MIN(D182,Queue_Intervals!C4)-MAX(C182+120,Queue_Intervals!B4)),0)+IF(B182=Queue_Intervals!A5,MAX(0,MIN(D182,Queue_Intervals!C5)-MAX(C182+120,Queue_Intervals!B5)),0)</x:f>
        <x:v>0</x:v>
      </x:c>
      <x:c r="L182" s="11" t="n">
        <x:f>MAX(0,F182-150)</x:f>
        <x:v>0</x:v>
      </x:c>
      <x:c r="M182" s="11" t="n">
        <x:f>IF(B182=Queue_Intervals!A2,MAX(0,MIN(D182,Queue_Intervals!C2)-MAX(C182+150,Queue_Intervals!B2)),0)+IF(B182=Queue_Intervals!A3,MAX(0,MIN(D182,Queue_Intervals!C3)-MAX(C182+150,Queue_Intervals!B3)),0)+IF(B182=Queue_Intervals!A4,MAX(0,MIN(D182,Queue_Intervals!C4)-MAX(C182+150,Queue_Intervals!B4)),0)+IF(B182=Queue_Intervals!A5,MAX(0,MIN(D182,Queue_Intervals!C5)-MAX(C182+150,Queue_Intervals!B5)),0)</x:f>
        <x:v>0</x:v>
      </x:c>
    </x:row>
    <x:row r="183" ht="25" customHeight="1">
      <x:c r="A183" s="11" t="str">
        <x:v>183_38</x:v>
      </x:c>
      <x:c r="B183" s="13" t="str">
        <x:v>183</x:v>
      </x:c>
      <x:c r="C183" s="13" t="n">
        <x:v>562</x:v>
      </x:c>
      <x:c r="D183" s="13" t="n">
        <x:v>615</x:v>
      </x:c>
      <x:c r="E183" s="13" t="str">
        <x:v>Walk in</x:v>
      </x:c>
      <x:c r="F183" s="13" t="n">
        <x:v>53</x:v>
      </x:c>
      <x:c r="G183" s="13" t="n">
        <x:v>0</x:v>
      </x:c>
      <x:c r="H183" s="11" t="n">
        <x:f>MAX(0,F183-90)</x:f>
        <x:v>0</x:v>
      </x:c>
      <x:c r="I183" s="11" t="n">
        <x:f>IF(B183=Queue_Intervals!A2,MAX(0,MIN(D183,Queue_Intervals!C2)-MAX(C183+90,Queue_Intervals!B2)),0)+IF(B183=Queue_Intervals!A3,MAX(0,MIN(D183,Queue_Intervals!C3)-MAX(C183+90,Queue_Intervals!B3)),0)+IF(B183=Queue_Intervals!A4,MAX(0,MIN(D183,Queue_Intervals!C4)-MAX(C183+90,Queue_Intervals!B4)),0)+IF(B183=Queue_Intervals!A5,MAX(0,MIN(D183,Queue_Intervals!C5)-MAX(C183+90,Queue_Intervals!B5)),0)</x:f>
        <x:v>0</x:v>
      </x:c>
      <x:c r="J183" s="11" t="n">
        <x:f>MAX(0,F183-120)</x:f>
        <x:v>0</x:v>
      </x:c>
      <x:c r="K183" s="11" t="n">
        <x:f>IF(B183=Queue_Intervals!A2,MAX(0,MIN(D183,Queue_Intervals!C2)-MAX(C183+120,Queue_Intervals!B2)),0)+IF(B183=Queue_Intervals!A3,MAX(0,MIN(D183,Queue_Intervals!C3)-MAX(C183+120,Queue_Intervals!B3)),0)+IF(B183=Queue_Intervals!A4,MAX(0,MIN(D183,Queue_Intervals!C4)-MAX(C183+120,Queue_Intervals!B4)),0)+IF(B183=Queue_Intervals!A5,MAX(0,MIN(D183,Queue_Intervals!C5)-MAX(C183+120,Queue_Intervals!B5)),0)</x:f>
        <x:v>0</x:v>
      </x:c>
      <x:c r="L183" s="11" t="n">
        <x:f>MAX(0,F183-150)</x:f>
        <x:v>0</x:v>
      </x:c>
      <x:c r="M183" s="11" t="n">
        <x:f>IF(B183=Queue_Intervals!A2,MAX(0,MIN(D183,Queue_Intervals!C2)-MAX(C183+150,Queue_Intervals!B2)),0)+IF(B183=Queue_Intervals!A3,MAX(0,MIN(D183,Queue_Intervals!C3)-MAX(C183+150,Queue_Intervals!B3)),0)+IF(B183=Queue_Intervals!A4,MAX(0,MIN(D183,Queue_Intervals!C4)-MAX(C183+150,Queue_Intervals!B4)),0)+IF(B183=Queue_Intervals!A5,MAX(0,MIN(D183,Queue_Intervals!C5)-MAX(C183+150,Queue_Intervals!B5)),0)</x:f>
        <x:v>0</x:v>
      </x:c>
    </x:row>
    <x:row r="184" ht="25" customHeight="1">
      <x:c r="A184" s="11" t="str">
        <x:v>183_39</x:v>
      </x:c>
      <x:c r="B184" s="13" t="str">
        <x:v>183</x:v>
      </x:c>
      <x:c r="C184" s="13" t="n">
        <x:v>577</x:v>
      </x:c>
      <x:c r="D184" s="13" t="n">
        <x:v>646</x:v>
      </x:c>
      <x:c r="E184" s="13" t="str">
        <x:v>Walk in</x:v>
      </x:c>
      <x:c r="F184" s="13" t="n">
        <x:v>69</x:v>
      </x:c>
      <x:c r="G184" s="13" t="n">
        <x:v>0</x:v>
      </x:c>
      <x:c r="H184" s="11" t="n">
        <x:f>MAX(0,F184-90)</x:f>
        <x:v>0</x:v>
      </x:c>
      <x:c r="I184" s="11" t="n">
        <x:f>IF(B184=Queue_Intervals!A2,MAX(0,MIN(D184,Queue_Intervals!C2)-MAX(C184+90,Queue_Intervals!B2)),0)+IF(B184=Queue_Intervals!A3,MAX(0,MIN(D184,Queue_Intervals!C3)-MAX(C184+90,Queue_Intervals!B3)),0)+IF(B184=Queue_Intervals!A4,MAX(0,MIN(D184,Queue_Intervals!C4)-MAX(C184+90,Queue_Intervals!B4)),0)+IF(B184=Queue_Intervals!A5,MAX(0,MIN(D184,Queue_Intervals!C5)-MAX(C184+90,Queue_Intervals!B5)),0)</x:f>
        <x:v>0</x:v>
      </x:c>
      <x:c r="J184" s="11" t="n">
        <x:f>MAX(0,F184-120)</x:f>
        <x:v>0</x:v>
      </x:c>
      <x:c r="K184" s="11" t="n">
        <x:f>IF(B184=Queue_Intervals!A2,MAX(0,MIN(D184,Queue_Intervals!C2)-MAX(C184+120,Queue_Intervals!B2)),0)+IF(B184=Queue_Intervals!A3,MAX(0,MIN(D184,Queue_Intervals!C3)-MAX(C184+120,Queue_Intervals!B3)),0)+IF(B184=Queue_Intervals!A4,MAX(0,MIN(D184,Queue_Intervals!C4)-MAX(C184+120,Queue_Intervals!B4)),0)+IF(B184=Queue_Intervals!A5,MAX(0,MIN(D184,Queue_Intervals!C5)-MAX(C184+120,Queue_Intervals!B5)),0)</x:f>
        <x:v>0</x:v>
      </x:c>
      <x:c r="L184" s="11" t="n">
        <x:f>MAX(0,F184-150)</x:f>
        <x:v>0</x:v>
      </x:c>
      <x:c r="M184" s="11" t="n">
        <x:f>IF(B184=Queue_Intervals!A2,MAX(0,MIN(D184,Queue_Intervals!C2)-MAX(C184+150,Queue_Intervals!B2)),0)+IF(B184=Queue_Intervals!A3,MAX(0,MIN(D184,Queue_Intervals!C3)-MAX(C184+150,Queue_Intervals!B3)),0)+IF(B184=Queue_Intervals!A4,MAX(0,MIN(D184,Queue_Intervals!C4)-MAX(C184+150,Queue_Intervals!B4)),0)+IF(B184=Queue_Intervals!A5,MAX(0,MIN(D184,Queue_Intervals!C5)-MAX(C184+150,Queue_Intervals!B5)),0)</x:f>
        <x:v>0</x:v>
      </x:c>
    </x:row>
    <x:row r="185" ht="25" customHeight="1">
      <x:c r="A185" s="11" t="str">
        <x:v>183_40</x:v>
      </x:c>
      <x:c r="B185" s="13" t="str">
        <x:v>183</x:v>
      </x:c>
      <x:c r="C185" s="13" t="n">
        <x:v>587</x:v>
      </x:c>
      <x:c r="D185" s="13" t="n">
        <x:v>730</x:v>
      </x:c>
      <x:c r="E185" s="13" t="str">
        <x:v>Walk in</x:v>
      </x:c>
      <x:c r="F185" s="13" t="n">
        <x:v>143</x:v>
      </x:c>
      <x:c r="G185" s="13" t="n">
        <x:v>0</x:v>
      </x:c>
      <x:c r="H185" s="11" t="n">
        <x:f>MAX(0,F185-90)</x:f>
        <x:v>53</x:v>
      </x:c>
      <x:c r="I185" s="11" t="n">
        <x:f>IF(B185=Queue_Intervals!A2,MAX(0,MIN(D185,Queue_Intervals!C2)-MAX(C185+90,Queue_Intervals!B2)),0)+IF(B185=Queue_Intervals!A3,MAX(0,MIN(D185,Queue_Intervals!C3)-MAX(C185+90,Queue_Intervals!B3)),0)+IF(B185=Queue_Intervals!A4,MAX(0,MIN(D185,Queue_Intervals!C4)-MAX(C185+90,Queue_Intervals!B4)),0)+IF(B185=Queue_Intervals!A5,MAX(0,MIN(D185,Queue_Intervals!C5)-MAX(C185+90,Queue_Intervals!B5)),0)</x:f>
        <x:v>0</x:v>
      </x:c>
      <x:c r="J185" s="11" t="n">
        <x:f>MAX(0,F185-120)</x:f>
        <x:v>23</x:v>
      </x:c>
      <x:c r="K185" s="11" t="n">
        <x:f>IF(B185=Queue_Intervals!A2,MAX(0,MIN(D185,Queue_Intervals!C2)-MAX(C185+120,Queue_Intervals!B2)),0)+IF(B185=Queue_Intervals!A3,MAX(0,MIN(D185,Queue_Intervals!C3)-MAX(C185+120,Queue_Intervals!B3)),0)+IF(B185=Queue_Intervals!A4,MAX(0,MIN(D185,Queue_Intervals!C4)-MAX(C185+120,Queue_Intervals!B4)),0)+IF(B185=Queue_Intervals!A5,MAX(0,MIN(D185,Queue_Intervals!C5)-MAX(C185+120,Queue_Intervals!B5)),0)</x:f>
        <x:v>0</x:v>
      </x:c>
      <x:c r="L185" s="11" t="n">
        <x:f>MAX(0,F185-150)</x:f>
        <x:v>0</x:v>
      </x:c>
      <x:c r="M185" s="11" t="n">
        <x:f>IF(B185=Queue_Intervals!A2,MAX(0,MIN(D185,Queue_Intervals!C2)-MAX(C185+150,Queue_Intervals!B2)),0)+IF(B185=Queue_Intervals!A3,MAX(0,MIN(D185,Queue_Intervals!C3)-MAX(C185+150,Queue_Intervals!B3)),0)+IF(B185=Queue_Intervals!A4,MAX(0,MIN(D185,Queue_Intervals!C4)-MAX(C185+150,Queue_Intervals!B4)),0)+IF(B185=Queue_Intervals!A5,MAX(0,MIN(D185,Queue_Intervals!C5)-MAX(C185+150,Queue_Intervals!B5)),0)</x:f>
        <x:v>0</x:v>
      </x:c>
    </x:row>
    <x:row r="186" ht="25" customHeight="1">
      <x:c r="A186" s="11" t="str">
        <x:v>183_41</x:v>
      </x:c>
      <x:c r="B186" s="13" t="str">
        <x:v>183</x:v>
      </x:c>
      <x:c r="C186" s="13" t="n">
        <x:v>588</x:v>
      </x:c>
      <x:c r="D186" s="13" t="n">
        <x:v>645</x:v>
      </x:c>
      <x:c r="E186" s="13" t="str">
        <x:v>Walk in</x:v>
      </x:c>
      <x:c r="F186" s="13" t="n">
        <x:v>57</x:v>
      </x:c>
      <x:c r="G186" s="13" t="n">
        <x:v>0</x:v>
      </x:c>
      <x:c r="H186" s="11" t="n">
        <x:f>MAX(0,F186-90)</x:f>
        <x:v>0</x:v>
      </x:c>
      <x:c r="I186" s="11" t="n">
        <x:f>IF(B186=Queue_Intervals!A2,MAX(0,MIN(D186,Queue_Intervals!C2)-MAX(C186+90,Queue_Intervals!B2)),0)+IF(B186=Queue_Intervals!A3,MAX(0,MIN(D186,Queue_Intervals!C3)-MAX(C186+90,Queue_Intervals!B3)),0)+IF(B186=Queue_Intervals!A4,MAX(0,MIN(D186,Queue_Intervals!C4)-MAX(C186+90,Queue_Intervals!B4)),0)+IF(B186=Queue_Intervals!A5,MAX(0,MIN(D186,Queue_Intervals!C5)-MAX(C186+90,Queue_Intervals!B5)),0)</x:f>
        <x:v>0</x:v>
      </x:c>
      <x:c r="J186" s="11" t="n">
        <x:f>MAX(0,F186-120)</x:f>
        <x:v>0</x:v>
      </x:c>
      <x:c r="K186" s="11" t="n">
        <x:f>IF(B186=Queue_Intervals!A2,MAX(0,MIN(D186,Queue_Intervals!C2)-MAX(C186+120,Queue_Intervals!B2)),0)+IF(B186=Queue_Intervals!A3,MAX(0,MIN(D186,Queue_Intervals!C3)-MAX(C186+120,Queue_Intervals!B3)),0)+IF(B186=Queue_Intervals!A4,MAX(0,MIN(D186,Queue_Intervals!C4)-MAX(C186+120,Queue_Intervals!B4)),0)+IF(B186=Queue_Intervals!A5,MAX(0,MIN(D186,Queue_Intervals!C5)-MAX(C186+120,Queue_Intervals!B5)),0)</x:f>
        <x:v>0</x:v>
      </x:c>
      <x:c r="L186" s="11" t="n">
        <x:f>MAX(0,F186-150)</x:f>
        <x:v>0</x:v>
      </x:c>
      <x:c r="M186" s="11" t="n">
        <x:f>IF(B186=Queue_Intervals!A2,MAX(0,MIN(D186,Queue_Intervals!C2)-MAX(C186+150,Queue_Intervals!B2)),0)+IF(B186=Queue_Intervals!A3,MAX(0,MIN(D186,Queue_Intervals!C3)-MAX(C186+150,Queue_Intervals!B3)),0)+IF(B186=Queue_Intervals!A4,MAX(0,MIN(D186,Queue_Intervals!C4)-MAX(C186+150,Queue_Intervals!B4)),0)+IF(B186=Queue_Intervals!A5,MAX(0,MIN(D186,Queue_Intervals!C5)-MAX(C186+150,Queue_Intervals!B5)),0)</x:f>
        <x:v>0</x:v>
      </x:c>
    </x:row>
    <x:row r="187" ht="25" customHeight="1">
      <x:c r="A187" s="11" t="str">
        <x:v>183_42</x:v>
      </x:c>
      <x:c r="B187" s="13" t="str">
        <x:v>183</x:v>
      </x:c>
      <x:c r="C187" s="13" t="n">
        <x:v>589</x:v>
      </x:c>
      <x:c r="D187" s="13" t="n">
        <x:v>701</x:v>
      </x:c>
      <x:c r="E187" s="13" t="str">
        <x:v>Walk in</x:v>
      </x:c>
      <x:c r="F187" s="13" t="n">
        <x:v>112</x:v>
      </x:c>
      <x:c r="G187" s="13" t="n">
        <x:v>0</x:v>
      </x:c>
      <x:c r="H187" s="11" t="n">
        <x:f>MAX(0,F187-90)</x:f>
        <x:v>22</x:v>
      </x:c>
      <x:c r="I187" s="11" t="n">
        <x:f>IF(B187=Queue_Intervals!A2,MAX(0,MIN(D187,Queue_Intervals!C2)-MAX(C187+90,Queue_Intervals!B2)),0)+IF(B187=Queue_Intervals!A3,MAX(0,MIN(D187,Queue_Intervals!C3)-MAX(C187+90,Queue_Intervals!B3)),0)+IF(B187=Queue_Intervals!A4,MAX(0,MIN(D187,Queue_Intervals!C4)-MAX(C187+90,Queue_Intervals!B4)),0)+IF(B187=Queue_Intervals!A5,MAX(0,MIN(D187,Queue_Intervals!C5)-MAX(C187+90,Queue_Intervals!B5)),0)</x:f>
        <x:v>0</x:v>
      </x:c>
      <x:c r="J187" s="11" t="n">
        <x:f>MAX(0,F187-120)</x:f>
        <x:v>0</x:v>
      </x:c>
      <x:c r="K187" s="11" t="n">
        <x:f>IF(B187=Queue_Intervals!A2,MAX(0,MIN(D187,Queue_Intervals!C2)-MAX(C187+120,Queue_Intervals!B2)),0)+IF(B187=Queue_Intervals!A3,MAX(0,MIN(D187,Queue_Intervals!C3)-MAX(C187+120,Queue_Intervals!B3)),0)+IF(B187=Queue_Intervals!A4,MAX(0,MIN(D187,Queue_Intervals!C4)-MAX(C187+120,Queue_Intervals!B4)),0)+IF(B187=Queue_Intervals!A5,MAX(0,MIN(D187,Queue_Intervals!C5)-MAX(C187+120,Queue_Intervals!B5)),0)</x:f>
        <x:v>0</x:v>
      </x:c>
      <x:c r="L187" s="11" t="n">
        <x:f>MAX(0,F187-150)</x:f>
        <x:v>0</x:v>
      </x:c>
      <x:c r="M187" s="11" t="n">
        <x:f>IF(B187=Queue_Intervals!A2,MAX(0,MIN(D187,Queue_Intervals!C2)-MAX(C187+150,Queue_Intervals!B2)),0)+IF(B187=Queue_Intervals!A3,MAX(0,MIN(D187,Queue_Intervals!C3)-MAX(C187+150,Queue_Intervals!B3)),0)+IF(B187=Queue_Intervals!A4,MAX(0,MIN(D187,Queue_Intervals!C4)-MAX(C187+150,Queue_Intervals!B4)),0)+IF(B187=Queue_Intervals!A5,MAX(0,MIN(D187,Queue_Intervals!C5)-MAX(C187+150,Queue_Intervals!B5)),0)</x:f>
        <x:v>0</x:v>
      </x:c>
    </x:row>
    <x:row r="188" ht="25" customHeight="1">
      <x:c r="A188" s="11" t="str">
        <x:v>183_43</x:v>
      </x:c>
      <x:c r="B188" s="13" t="str">
        <x:v>183</x:v>
      </x:c>
      <x:c r="C188" s="13" t="n">
        <x:v>596</x:v>
      </x:c>
      <x:c r="D188" s="13" t="n">
        <x:v>645</x:v>
      </x:c>
      <x:c r="E188" s="13" t="str">
        <x:v>Walk in</x:v>
      </x:c>
      <x:c r="F188" s="13" t="n">
        <x:v>49</x:v>
      </x:c>
      <x:c r="G188" s="13" t="n">
        <x:v>0</x:v>
      </x:c>
      <x:c r="H188" s="11" t="n">
        <x:f>MAX(0,F188-90)</x:f>
        <x:v>0</x:v>
      </x:c>
      <x:c r="I188" s="11" t="n">
        <x:f>IF(B188=Queue_Intervals!A2,MAX(0,MIN(D188,Queue_Intervals!C2)-MAX(C188+90,Queue_Intervals!B2)),0)+IF(B188=Queue_Intervals!A3,MAX(0,MIN(D188,Queue_Intervals!C3)-MAX(C188+90,Queue_Intervals!B3)),0)+IF(B188=Queue_Intervals!A4,MAX(0,MIN(D188,Queue_Intervals!C4)-MAX(C188+90,Queue_Intervals!B4)),0)+IF(B188=Queue_Intervals!A5,MAX(0,MIN(D188,Queue_Intervals!C5)-MAX(C188+90,Queue_Intervals!B5)),0)</x:f>
        <x:v>0</x:v>
      </x:c>
      <x:c r="J188" s="11" t="n">
        <x:f>MAX(0,F188-120)</x:f>
        <x:v>0</x:v>
      </x:c>
      <x:c r="K188" s="11" t="n">
        <x:f>IF(B188=Queue_Intervals!A2,MAX(0,MIN(D188,Queue_Intervals!C2)-MAX(C188+120,Queue_Intervals!B2)),0)+IF(B188=Queue_Intervals!A3,MAX(0,MIN(D188,Queue_Intervals!C3)-MAX(C188+120,Queue_Intervals!B3)),0)+IF(B188=Queue_Intervals!A4,MAX(0,MIN(D188,Queue_Intervals!C4)-MAX(C188+120,Queue_Intervals!B4)),0)+IF(B188=Queue_Intervals!A5,MAX(0,MIN(D188,Queue_Intervals!C5)-MAX(C188+120,Queue_Intervals!B5)),0)</x:f>
        <x:v>0</x:v>
      </x:c>
      <x:c r="L188" s="11" t="n">
        <x:f>MAX(0,F188-150)</x:f>
        <x:v>0</x:v>
      </x:c>
      <x:c r="M188" s="11" t="n">
        <x:f>IF(B188=Queue_Intervals!A2,MAX(0,MIN(D188,Queue_Intervals!C2)-MAX(C188+150,Queue_Intervals!B2)),0)+IF(B188=Queue_Intervals!A3,MAX(0,MIN(D188,Queue_Intervals!C3)-MAX(C188+150,Queue_Intervals!B3)),0)+IF(B188=Queue_Intervals!A4,MAX(0,MIN(D188,Queue_Intervals!C4)-MAX(C188+150,Queue_Intervals!B4)),0)+IF(B188=Queue_Intervals!A5,MAX(0,MIN(D188,Queue_Intervals!C5)-MAX(C188+150,Queue_Intervals!B5)),0)</x:f>
        <x:v>0</x:v>
      </x:c>
    </x:row>
    <x:row r="189" ht="25" customHeight="1">
      <x:c r="A189" s="11" t="str">
        <x:v>183_49</x:v>
      </x:c>
      <x:c r="B189" s="13" t="str">
        <x:v>183</x:v>
      </x:c>
      <x:c r="C189" s="13" t="n">
        <x:v>616</x:v>
      </x:c>
      <x:c r="D189" s="13" t="n">
        <x:v>662</x:v>
      </x:c>
      <x:c r="E189" s="13" t="str">
        <x:v>Walk in</x:v>
      </x:c>
      <x:c r="F189" s="13" t="n">
        <x:v>46</x:v>
      </x:c>
      <x:c r="G189" s="13" t="n">
        <x:v>0</x:v>
      </x:c>
      <x:c r="H189" s="11" t="n">
        <x:f>MAX(0,F189-90)</x:f>
        <x:v>0</x:v>
      </x:c>
      <x:c r="I189" s="11" t="n">
        <x:f>IF(B189=Queue_Intervals!A2,MAX(0,MIN(D189,Queue_Intervals!C2)-MAX(C189+90,Queue_Intervals!B2)),0)+IF(B189=Queue_Intervals!A3,MAX(0,MIN(D189,Queue_Intervals!C3)-MAX(C189+90,Queue_Intervals!B3)),0)+IF(B189=Queue_Intervals!A4,MAX(0,MIN(D189,Queue_Intervals!C4)-MAX(C189+90,Queue_Intervals!B4)),0)+IF(B189=Queue_Intervals!A5,MAX(0,MIN(D189,Queue_Intervals!C5)-MAX(C189+90,Queue_Intervals!B5)),0)</x:f>
        <x:v>0</x:v>
      </x:c>
      <x:c r="J189" s="11" t="n">
        <x:f>MAX(0,F189-120)</x:f>
        <x:v>0</x:v>
      </x:c>
      <x:c r="K189" s="11" t="n">
        <x:f>IF(B189=Queue_Intervals!A2,MAX(0,MIN(D189,Queue_Intervals!C2)-MAX(C189+120,Queue_Intervals!B2)),0)+IF(B189=Queue_Intervals!A3,MAX(0,MIN(D189,Queue_Intervals!C3)-MAX(C189+120,Queue_Intervals!B3)),0)+IF(B189=Queue_Intervals!A4,MAX(0,MIN(D189,Queue_Intervals!C4)-MAX(C189+120,Queue_Intervals!B4)),0)+IF(B189=Queue_Intervals!A5,MAX(0,MIN(D189,Queue_Intervals!C5)-MAX(C189+120,Queue_Intervals!B5)),0)</x:f>
        <x:v>0</x:v>
      </x:c>
      <x:c r="L189" s="11" t="n">
        <x:f>MAX(0,F189-150)</x:f>
        <x:v>0</x:v>
      </x:c>
      <x:c r="M189" s="11" t="n">
        <x:f>IF(B189=Queue_Intervals!A2,MAX(0,MIN(D189,Queue_Intervals!C2)-MAX(C189+150,Queue_Intervals!B2)),0)+IF(B189=Queue_Intervals!A3,MAX(0,MIN(D189,Queue_Intervals!C3)-MAX(C189+150,Queue_Intervals!B3)),0)+IF(B189=Queue_Intervals!A4,MAX(0,MIN(D189,Queue_Intervals!C4)-MAX(C189+150,Queue_Intervals!B4)),0)+IF(B189=Queue_Intervals!A5,MAX(0,MIN(D189,Queue_Intervals!C5)-MAX(C189+150,Queue_Intervals!B5)),0)</x:f>
        <x:v>0</x:v>
      </x:c>
    </x:row>
    <x:row r="190" ht="25" customHeight="1">
      <x:c r="A190" s="11" t="str">
        <x:v>183_50</x:v>
      </x:c>
      <x:c r="B190" s="13" t="str">
        <x:v>183</x:v>
      </x:c>
      <x:c r="C190" s="13" t="n">
        <x:v>619</x:v>
      </x:c>
      <x:c r="D190" s="13" t="n">
        <x:v>690</x:v>
      </x:c>
      <x:c r="E190" s="13" t="str">
        <x:v>Walk in</x:v>
      </x:c>
      <x:c r="F190" s="13" t="n">
        <x:v>71</x:v>
      </x:c>
      <x:c r="G190" s="13" t="n">
        <x:v>0</x:v>
      </x:c>
      <x:c r="H190" s="11" t="n">
        <x:f>MAX(0,F190-90)</x:f>
        <x:v>0</x:v>
      </x:c>
      <x:c r="I190" s="11" t="n">
        <x:f>IF(B190=Queue_Intervals!A2,MAX(0,MIN(D190,Queue_Intervals!C2)-MAX(C190+90,Queue_Intervals!B2)),0)+IF(B190=Queue_Intervals!A3,MAX(0,MIN(D190,Queue_Intervals!C3)-MAX(C190+90,Queue_Intervals!B3)),0)+IF(B190=Queue_Intervals!A4,MAX(0,MIN(D190,Queue_Intervals!C4)-MAX(C190+90,Queue_Intervals!B4)),0)+IF(B190=Queue_Intervals!A5,MAX(0,MIN(D190,Queue_Intervals!C5)-MAX(C190+90,Queue_Intervals!B5)),0)</x:f>
        <x:v>0</x:v>
      </x:c>
      <x:c r="J190" s="11" t="n">
        <x:f>MAX(0,F190-120)</x:f>
        <x:v>0</x:v>
      </x:c>
      <x:c r="K190" s="11" t="n">
        <x:f>IF(B190=Queue_Intervals!A2,MAX(0,MIN(D190,Queue_Intervals!C2)-MAX(C190+120,Queue_Intervals!B2)),0)+IF(B190=Queue_Intervals!A3,MAX(0,MIN(D190,Queue_Intervals!C3)-MAX(C190+120,Queue_Intervals!B3)),0)+IF(B190=Queue_Intervals!A4,MAX(0,MIN(D190,Queue_Intervals!C4)-MAX(C190+120,Queue_Intervals!B4)),0)+IF(B190=Queue_Intervals!A5,MAX(0,MIN(D190,Queue_Intervals!C5)-MAX(C190+120,Queue_Intervals!B5)),0)</x:f>
        <x:v>0</x:v>
      </x:c>
      <x:c r="L190" s="11" t="n">
        <x:f>MAX(0,F190-150)</x:f>
        <x:v>0</x:v>
      </x:c>
      <x:c r="M190" s="11" t="n">
        <x:f>IF(B190=Queue_Intervals!A2,MAX(0,MIN(D190,Queue_Intervals!C2)-MAX(C190+150,Queue_Intervals!B2)),0)+IF(B190=Queue_Intervals!A3,MAX(0,MIN(D190,Queue_Intervals!C3)-MAX(C190+150,Queue_Intervals!B3)),0)+IF(B190=Queue_Intervals!A4,MAX(0,MIN(D190,Queue_Intervals!C4)-MAX(C190+150,Queue_Intervals!B4)),0)+IF(B190=Queue_Intervals!A5,MAX(0,MIN(D190,Queue_Intervals!C5)-MAX(C190+150,Queue_Intervals!B5)),0)</x:f>
        <x:v>0</x:v>
      </x:c>
    </x:row>
    <x:row r="191" ht="25" customHeight="1">
      <x:c r="A191" s="11" t="str">
        <x:v>183_51</x:v>
      </x:c>
      <x:c r="B191" s="13" t="str">
        <x:v>183</x:v>
      </x:c>
      <x:c r="C191" s="13" t="n">
        <x:v>628</x:v>
      </x:c>
      <x:c r="D191" s="13" t="n">
        <x:v>735</x:v>
      </x:c>
      <x:c r="E191" s="13" t="str">
        <x:v>Walk in</x:v>
      </x:c>
      <x:c r="F191" s="13" t="n">
        <x:v>107</x:v>
      </x:c>
      <x:c r="G191" s="13" t="n">
        <x:v>0</x:v>
      </x:c>
      <x:c r="H191" s="11" t="n">
        <x:f>MAX(0,F191-90)</x:f>
        <x:v>17</x:v>
      </x:c>
      <x:c r="I191" s="11" t="n">
        <x:f>IF(B191=Queue_Intervals!A2,MAX(0,MIN(D191,Queue_Intervals!C2)-MAX(C191+90,Queue_Intervals!B2)),0)+IF(B191=Queue_Intervals!A3,MAX(0,MIN(D191,Queue_Intervals!C3)-MAX(C191+90,Queue_Intervals!B3)),0)+IF(B191=Queue_Intervals!A4,MAX(0,MIN(D191,Queue_Intervals!C4)-MAX(C191+90,Queue_Intervals!B4)),0)+IF(B191=Queue_Intervals!A5,MAX(0,MIN(D191,Queue_Intervals!C5)-MAX(C191+90,Queue_Intervals!B5)),0)</x:f>
        <x:v>0</x:v>
      </x:c>
      <x:c r="J191" s="11" t="n">
        <x:f>MAX(0,F191-120)</x:f>
        <x:v>0</x:v>
      </x:c>
      <x:c r="K191" s="11" t="n">
        <x:f>IF(B191=Queue_Intervals!A2,MAX(0,MIN(D191,Queue_Intervals!C2)-MAX(C191+120,Queue_Intervals!B2)),0)+IF(B191=Queue_Intervals!A3,MAX(0,MIN(D191,Queue_Intervals!C3)-MAX(C191+120,Queue_Intervals!B3)),0)+IF(B191=Queue_Intervals!A4,MAX(0,MIN(D191,Queue_Intervals!C4)-MAX(C191+120,Queue_Intervals!B4)),0)+IF(B191=Queue_Intervals!A5,MAX(0,MIN(D191,Queue_Intervals!C5)-MAX(C191+120,Queue_Intervals!B5)),0)</x:f>
        <x:v>0</x:v>
      </x:c>
      <x:c r="L191" s="11" t="n">
        <x:f>MAX(0,F191-150)</x:f>
        <x:v>0</x:v>
      </x:c>
      <x:c r="M191" s="11" t="n">
        <x:f>IF(B191=Queue_Intervals!A2,MAX(0,MIN(D191,Queue_Intervals!C2)-MAX(C191+150,Queue_Intervals!B2)),0)+IF(B191=Queue_Intervals!A3,MAX(0,MIN(D191,Queue_Intervals!C3)-MAX(C191+150,Queue_Intervals!B3)),0)+IF(B191=Queue_Intervals!A4,MAX(0,MIN(D191,Queue_Intervals!C4)-MAX(C191+150,Queue_Intervals!B4)),0)+IF(B191=Queue_Intervals!A5,MAX(0,MIN(D191,Queue_Intervals!C5)-MAX(C191+150,Queue_Intervals!B5)),0)</x:f>
        <x:v>0</x:v>
      </x:c>
    </x:row>
    <x:row r="192" ht="25" customHeight="1">
      <x:c r="A192" s="11" t="str">
        <x:v>183_54</x:v>
      </x:c>
      <x:c r="B192" s="13" t="str">
        <x:v>183</x:v>
      </x:c>
      <x:c r="C192" s="13" t="n">
        <x:v>636</x:v>
      </x:c>
      <x:c r="D192" s="13" t="n">
        <x:v>710</x:v>
      </x:c>
      <x:c r="E192" s="13" t="str">
        <x:v>Walk in</x:v>
      </x:c>
      <x:c r="F192" s="13" t="n">
        <x:v>74</x:v>
      </x:c>
      <x:c r="G192" s="13" t="n">
        <x:v>0</x:v>
      </x:c>
      <x:c r="H192" s="11" t="n">
        <x:f>MAX(0,F192-90)</x:f>
        <x:v>0</x:v>
      </x:c>
      <x:c r="I192" s="11" t="n">
        <x:f>IF(B192=Queue_Intervals!A2,MAX(0,MIN(D192,Queue_Intervals!C2)-MAX(C192+90,Queue_Intervals!B2)),0)+IF(B192=Queue_Intervals!A3,MAX(0,MIN(D192,Queue_Intervals!C3)-MAX(C192+90,Queue_Intervals!B3)),0)+IF(B192=Queue_Intervals!A4,MAX(0,MIN(D192,Queue_Intervals!C4)-MAX(C192+90,Queue_Intervals!B4)),0)+IF(B192=Queue_Intervals!A5,MAX(0,MIN(D192,Queue_Intervals!C5)-MAX(C192+90,Queue_Intervals!B5)),0)</x:f>
        <x:v>0</x:v>
      </x:c>
      <x:c r="J192" s="11" t="n">
        <x:f>MAX(0,F192-120)</x:f>
        <x:v>0</x:v>
      </x:c>
      <x:c r="K192" s="11" t="n">
        <x:f>IF(B192=Queue_Intervals!A2,MAX(0,MIN(D192,Queue_Intervals!C2)-MAX(C192+120,Queue_Intervals!B2)),0)+IF(B192=Queue_Intervals!A3,MAX(0,MIN(D192,Queue_Intervals!C3)-MAX(C192+120,Queue_Intervals!B3)),0)+IF(B192=Queue_Intervals!A4,MAX(0,MIN(D192,Queue_Intervals!C4)-MAX(C192+120,Queue_Intervals!B4)),0)+IF(B192=Queue_Intervals!A5,MAX(0,MIN(D192,Queue_Intervals!C5)-MAX(C192+120,Queue_Intervals!B5)),0)</x:f>
        <x:v>0</x:v>
      </x:c>
      <x:c r="L192" s="11" t="n">
        <x:f>MAX(0,F192-150)</x:f>
        <x:v>0</x:v>
      </x:c>
      <x:c r="M192" s="11" t="n">
        <x:f>IF(B192=Queue_Intervals!A2,MAX(0,MIN(D192,Queue_Intervals!C2)-MAX(C192+150,Queue_Intervals!B2)),0)+IF(B192=Queue_Intervals!A3,MAX(0,MIN(D192,Queue_Intervals!C3)-MAX(C192+150,Queue_Intervals!B3)),0)+IF(B192=Queue_Intervals!A4,MAX(0,MIN(D192,Queue_Intervals!C4)-MAX(C192+150,Queue_Intervals!B4)),0)+IF(B192=Queue_Intervals!A5,MAX(0,MIN(D192,Queue_Intervals!C5)-MAX(C192+150,Queue_Intervals!B5)),0)</x:f>
        <x:v>0</x:v>
      </x:c>
    </x:row>
    <x:row r="193" ht="25" customHeight="1">
      <x:c r="A193" s="11" t="str">
        <x:v>183_56</x:v>
      </x:c>
      <x:c r="B193" s="13" t="str">
        <x:v>183</x:v>
      </x:c>
      <x:c r="C193" s="13" t="n">
        <x:v>634</x:v>
      </x:c>
      <x:c r="D193" s="13" t="n">
        <x:v>684</x:v>
      </x:c>
      <x:c r="E193" s="13" t="str">
        <x:v>Walk in</x:v>
      </x:c>
      <x:c r="F193" s="13" t="n">
        <x:v>50</x:v>
      </x:c>
      <x:c r="G193" s="13" t="n">
        <x:v>0</x:v>
      </x:c>
      <x:c r="H193" s="11" t="n">
        <x:f>MAX(0,F193-90)</x:f>
        <x:v>0</x:v>
      </x:c>
      <x:c r="I193" s="11" t="n">
        <x:f>IF(B193=Queue_Intervals!A2,MAX(0,MIN(D193,Queue_Intervals!C2)-MAX(C193+90,Queue_Intervals!B2)),0)+IF(B193=Queue_Intervals!A3,MAX(0,MIN(D193,Queue_Intervals!C3)-MAX(C193+90,Queue_Intervals!B3)),0)+IF(B193=Queue_Intervals!A4,MAX(0,MIN(D193,Queue_Intervals!C4)-MAX(C193+90,Queue_Intervals!B4)),0)+IF(B193=Queue_Intervals!A5,MAX(0,MIN(D193,Queue_Intervals!C5)-MAX(C193+90,Queue_Intervals!B5)),0)</x:f>
        <x:v>0</x:v>
      </x:c>
      <x:c r="J193" s="11" t="n">
        <x:f>MAX(0,F193-120)</x:f>
        <x:v>0</x:v>
      </x:c>
      <x:c r="K193" s="11" t="n">
        <x:f>IF(B193=Queue_Intervals!A2,MAX(0,MIN(D193,Queue_Intervals!C2)-MAX(C193+120,Queue_Intervals!B2)),0)+IF(B193=Queue_Intervals!A3,MAX(0,MIN(D193,Queue_Intervals!C3)-MAX(C193+120,Queue_Intervals!B3)),0)+IF(B193=Queue_Intervals!A4,MAX(0,MIN(D193,Queue_Intervals!C4)-MAX(C193+120,Queue_Intervals!B4)),0)+IF(B193=Queue_Intervals!A5,MAX(0,MIN(D193,Queue_Intervals!C5)-MAX(C193+120,Queue_Intervals!B5)),0)</x:f>
        <x:v>0</x:v>
      </x:c>
      <x:c r="L193" s="11" t="n">
        <x:f>MAX(0,F193-150)</x:f>
        <x:v>0</x:v>
      </x:c>
      <x:c r="M193" s="11" t="n">
        <x:f>IF(B193=Queue_Intervals!A2,MAX(0,MIN(D193,Queue_Intervals!C2)-MAX(C193+150,Queue_Intervals!B2)),0)+IF(B193=Queue_Intervals!A3,MAX(0,MIN(D193,Queue_Intervals!C3)-MAX(C193+150,Queue_Intervals!B3)),0)+IF(B193=Queue_Intervals!A4,MAX(0,MIN(D193,Queue_Intervals!C4)-MAX(C193+150,Queue_Intervals!B4)),0)+IF(B193=Queue_Intervals!A5,MAX(0,MIN(D193,Queue_Intervals!C5)-MAX(C193+150,Queue_Intervals!B5)),0)</x:f>
        <x:v>0</x:v>
      </x:c>
    </x:row>
    <x:row r="194" ht="25" customHeight="1">
      <x:c r="A194" s="11" t="str">
        <x:v>183_58</x:v>
      </x:c>
      <x:c r="B194" s="13" t="str">
        <x:v>183</x:v>
      </x:c>
      <x:c r="C194" s="13" t="n">
        <x:v>639</x:v>
      </x:c>
      <x:c r="D194" s="13" t="n">
        <x:v>810</x:v>
      </x:c>
      <x:c r="E194" s="13" t="str">
        <x:v>Walk in</x:v>
      </x:c>
      <x:c r="F194" s="13" t="n">
        <x:v>171</x:v>
      </x:c>
      <x:c r="G194" s="13" t="n">
        <x:v>0</x:v>
      </x:c>
      <x:c r="H194" s="11" t="n">
        <x:f>MAX(0,F194-90)</x:f>
        <x:v>81</x:v>
      </x:c>
      <x:c r="I194" s="11" t="n">
        <x:f>IF(B194=Queue_Intervals!A2,MAX(0,MIN(D194,Queue_Intervals!C2)-MAX(C194+90,Queue_Intervals!B2)),0)+IF(B194=Queue_Intervals!A3,MAX(0,MIN(D194,Queue_Intervals!C3)-MAX(C194+90,Queue_Intervals!B3)),0)+IF(B194=Queue_Intervals!A4,MAX(0,MIN(D194,Queue_Intervals!C4)-MAX(C194+90,Queue_Intervals!B4)),0)+IF(B194=Queue_Intervals!A5,MAX(0,MIN(D194,Queue_Intervals!C5)-MAX(C194+90,Queue_Intervals!B5)),0)</x:f>
        <x:v>0</x:v>
      </x:c>
      <x:c r="J194" s="11" t="n">
        <x:f>MAX(0,F194-120)</x:f>
        <x:v>51</x:v>
      </x:c>
      <x:c r="K194" s="11" t="n">
        <x:f>IF(B194=Queue_Intervals!A2,MAX(0,MIN(D194,Queue_Intervals!C2)-MAX(C194+120,Queue_Intervals!B2)),0)+IF(B194=Queue_Intervals!A3,MAX(0,MIN(D194,Queue_Intervals!C3)-MAX(C194+120,Queue_Intervals!B3)),0)+IF(B194=Queue_Intervals!A4,MAX(0,MIN(D194,Queue_Intervals!C4)-MAX(C194+120,Queue_Intervals!B4)),0)+IF(B194=Queue_Intervals!A5,MAX(0,MIN(D194,Queue_Intervals!C5)-MAX(C194+120,Queue_Intervals!B5)),0)</x:f>
        <x:v>0</x:v>
      </x:c>
      <x:c r="L194" s="11" t="n">
        <x:f>MAX(0,F194-150)</x:f>
        <x:v>21</x:v>
      </x:c>
      <x:c r="M194" s="11" t="n">
        <x:f>IF(B194=Queue_Intervals!A2,MAX(0,MIN(D194,Queue_Intervals!C2)-MAX(C194+150,Queue_Intervals!B2)),0)+IF(B194=Queue_Intervals!A3,MAX(0,MIN(D194,Queue_Intervals!C3)-MAX(C194+150,Queue_Intervals!B3)),0)+IF(B194=Queue_Intervals!A4,MAX(0,MIN(D194,Queue_Intervals!C4)-MAX(C194+150,Queue_Intervals!B4)),0)+IF(B194=Queue_Intervals!A5,MAX(0,MIN(D194,Queue_Intervals!C5)-MAX(C194+150,Queue_Intervals!B5)),0)</x:f>
        <x:v>0</x:v>
      </x:c>
    </x:row>
    <x:row r="195" ht="25" customHeight="1">
      <x:c r="A195" s="11" t="str">
        <x:v>183_59</x:v>
      </x:c>
      <x:c r="B195" s="13" t="str">
        <x:v>183</x:v>
      </x:c>
      <x:c r="C195" s="13" t="n">
        <x:v>641</x:v>
      </x:c>
      <x:c r="D195" s="13" t="n">
        <x:v>700</x:v>
      </x:c>
      <x:c r="E195" s="13" t="str">
        <x:v>Walk in</x:v>
      </x:c>
      <x:c r="F195" s="13" t="n">
        <x:v>59</x:v>
      </x:c>
      <x:c r="G195" s="13" t="n">
        <x:v>0</x:v>
      </x:c>
      <x:c r="H195" s="11" t="n">
        <x:f>MAX(0,F195-90)</x:f>
        <x:v>0</x:v>
      </x:c>
      <x:c r="I195" s="11" t="n">
        <x:f>IF(B195=Queue_Intervals!A2,MAX(0,MIN(D195,Queue_Intervals!C2)-MAX(C195+90,Queue_Intervals!B2)),0)+IF(B195=Queue_Intervals!A3,MAX(0,MIN(D195,Queue_Intervals!C3)-MAX(C195+90,Queue_Intervals!B3)),0)+IF(B195=Queue_Intervals!A4,MAX(0,MIN(D195,Queue_Intervals!C4)-MAX(C195+90,Queue_Intervals!B4)),0)+IF(B195=Queue_Intervals!A5,MAX(0,MIN(D195,Queue_Intervals!C5)-MAX(C195+90,Queue_Intervals!B5)),0)</x:f>
        <x:v>0</x:v>
      </x:c>
      <x:c r="J195" s="11" t="n">
        <x:f>MAX(0,F195-120)</x:f>
        <x:v>0</x:v>
      </x:c>
      <x:c r="K195" s="11" t="n">
        <x:f>IF(B195=Queue_Intervals!A2,MAX(0,MIN(D195,Queue_Intervals!C2)-MAX(C195+120,Queue_Intervals!B2)),0)+IF(B195=Queue_Intervals!A3,MAX(0,MIN(D195,Queue_Intervals!C3)-MAX(C195+120,Queue_Intervals!B3)),0)+IF(B195=Queue_Intervals!A4,MAX(0,MIN(D195,Queue_Intervals!C4)-MAX(C195+120,Queue_Intervals!B4)),0)+IF(B195=Queue_Intervals!A5,MAX(0,MIN(D195,Queue_Intervals!C5)-MAX(C195+120,Queue_Intervals!B5)),0)</x:f>
        <x:v>0</x:v>
      </x:c>
      <x:c r="L195" s="11" t="n">
        <x:f>MAX(0,F195-150)</x:f>
        <x:v>0</x:v>
      </x:c>
      <x:c r="M195" s="11" t="n">
        <x:f>IF(B195=Queue_Intervals!A2,MAX(0,MIN(D195,Queue_Intervals!C2)-MAX(C195+150,Queue_Intervals!B2)),0)+IF(B195=Queue_Intervals!A3,MAX(0,MIN(D195,Queue_Intervals!C3)-MAX(C195+150,Queue_Intervals!B3)),0)+IF(B195=Queue_Intervals!A4,MAX(0,MIN(D195,Queue_Intervals!C4)-MAX(C195+150,Queue_Intervals!B4)),0)+IF(B195=Queue_Intervals!A5,MAX(0,MIN(D195,Queue_Intervals!C5)-MAX(C195+150,Queue_Intervals!B5)),0)</x:f>
        <x:v>0</x:v>
      </x:c>
    </x:row>
    <x:row r="196" ht="25" customHeight="1">
      <x:c r="A196" s="11" t="str">
        <x:v>183_60</x:v>
      </x:c>
      <x:c r="B196" s="13" t="str">
        <x:v>183</x:v>
      </x:c>
      <x:c r="C196" s="13" t="n">
        <x:v>654</x:v>
      </x:c>
      <x:c r="D196" s="13" t="n">
        <x:v>718</x:v>
      </x:c>
      <x:c r="E196" s="13" t="str">
        <x:v>Walk in</x:v>
      </x:c>
      <x:c r="F196" s="13" t="n">
        <x:v>64</x:v>
      </x:c>
      <x:c r="G196" s="13" t="n">
        <x:v>0</x:v>
      </x:c>
      <x:c r="H196" s="11" t="n">
        <x:f>MAX(0,F196-90)</x:f>
        <x:v>0</x:v>
      </x:c>
      <x:c r="I196" s="11" t="n">
        <x:f>IF(B196=Queue_Intervals!A2,MAX(0,MIN(D196,Queue_Intervals!C2)-MAX(C196+90,Queue_Intervals!B2)),0)+IF(B196=Queue_Intervals!A3,MAX(0,MIN(D196,Queue_Intervals!C3)-MAX(C196+90,Queue_Intervals!B3)),0)+IF(B196=Queue_Intervals!A4,MAX(0,MIN(D196,Queue_Intervals!C4)-MAX(C196+90,Queue_Intervals!B4)),0)+IF(B196=Queue_Intervals!A5,MAX(0,MIN(D196,Queue_Intervals!C5)-MAX(C196+90,Queue_Intervals!B5)),0)</x:f>
        <x:v>0</x:v>
      </x:c>
      <x:c r="J196" s="11" t="n">
        <x:f>MAX(0,F196-120)</x:f>
        <x:v>0</x:v>
      </x:c>
      <x:c r="K196" s="11" t="n">
        <x:f>IF(B196=Queue_Intervals!A2,MAX(0,MIN(D196,Queue_Intervals!C2)-MAX(C196+120,Queue_Intervals!B2)),0)+IF(B196=Queue_Intervals!A3,MAX(0,MIN(D196,Queue_Intervals!C3)-MAX(C196+120,Queue_Intervals!B3)),0)+IF(B196=Queue_Intervals!A4,MAX(0,MIN(D196,Queue_Intervals!C4)-MAX(C196+120,Queue_Intervals!B4)),0)+IF(B196=Queue_Intervals!A5,MAX(0,MIN(D196,Queue_Intervals!C5)-MAX(C196+120,Queue_Intervals!B5)),0)</x:f>
        <x:v>0</x:v>
      </x:c>
      <x:c r="L196" s="11" t="n">
        <x:f>MAX(0,F196-150)</x:f>
        <x:v>0</x:v>
      </x:c>
      <x:c r="M196" s="11" t="n">
        <x:f>IF(B196=Queue_Intervals!A2,MAX(0,MIN(D196,Queue_Intervals!C2)-MAX(C196+150,Queue_Intervals!B2)),0)+IF(B196=Queue_Intervals!A3,MAX(0,MIN(D196,Queue_Intervals!C3)-MAX(C196+150,Queue_Intervals!B3)),0)+IF(B196=Queue_Intervals!A4,MAX(0,MIN(D196,Queue_Intervals!C4)-MAX(C196+150,Queue_Intervals!B4)),0)+IF(B196=Queue_Intervals!A5,MAX(0,MIN(D196,Queue_Intervals!C5)-MAX(C196+150,Queue_Intervals!B5)),0)</x:f>
        <x:v>0</x:v>
      </x:c>
    </x:row>
    <x:row r="197" ht="25" customHeight="1">
      <x:c r="A197" s="11" t="str">
        <x:v>183_61</x:v>
      </x:c>
      <x:c r="B197" s="13" t="str">
        <x:v>183</x:v>
      </x:c>
      <x:c r="C197" s="13" t="n">
        <x:v>656</x:v>
      </x:c>
      <x:c r="D197" s="13" t="n">
        <x:v>699</x:v>
      </x:c>
      <x:c r="E197" s="13" t="str">
        <x:v>Walk in</x:v>
      </x:c>
      <x:c r="F197" s="13" t="n">
        <x:v>43</x:v>
      </x:c>
      <x:c r="G197" s="13" t="n">
        <x:v>0</x:v>
      </x:c>
      <x:c r="H197" s="11" t="n">
        <x:f>MAX(0,F197-90)</x:f>
        <x:v>0</x:v>
      </x:c>
      <x:c r="I197" s="11" t="n">
        <x:f>IF(B197=Queue_Intervals!A2,MAX(0,MIN(D197,Queue_Intervals!C2)-MAX(C197+90,Queue_Intervals!B2)),0)+IF(B197=Queue_Intervals!A3,MAX(0,MIN(D197,Queue_Intervals!C3)-MAX(C197+90,Queue_Intervals!B3)),0)+IF(B197=Queue_Intervals!A4,MAX(0,MIN(D197,Queue_Intervals!C4)-MAX(C197+90,Queue_Intervals!B4)),0)+IF(B197=Queue_Intervals!A5,MAX(0,MIN(D197,Queue_Intervals!C5)-MAX(C197+90,Queue_Intervals!B5)),0)</x:f>
        <x:v>0</x:v>
      </x:c>
      <x:c r="J197" s="11" t="n">
        <x:f>MAX(0,F197-120)</x:f>
        <x:v>0</x:v>
      </x:c>
      <x:c r="K197" s="11" t="n">
        <x:f>IF(B197=Queue_Intervals!A2,MAX(0,MIN(D197,Queue_Intervals!C2)-MAX(C197+120,Queue_Intervals!B2)),0)+IF(B197=Queue_Intervals!A3,MAX(0,MIN(D197,Queue_Intervals!C3)-MAX(C197+120,Queue_Intervals!B3)),0)+IF(B197=Queue_Intervals!A4,MAX(0,MIN(D197,Queue_Intervals!C4)-MAX(C197+120,Queue_Intervals!B4)),0)+IF(B197=Queue_Intervals!A5,MAX(0,MIN(D197,Queue_Intervals!C5)-MAX(C197+120,Queue_Intervals!B5)),0)</x:f>
        <x:v>0</x:v>
      </x:c>
      <x:c r="L197" s="11" t="n">
        <x:f>MAX(0,F197-150)</x:f>
        <x:v>0</x:v>
      </x:c>
      <x:c r="M197" s="11" t="n">
        <x:f>IF(B197=Queue_Intervals!A2,MAX(0,MIN(D197,Queue_Intervals!C2)-MAX(C197+150,Queue_Intervals!B2)),0)+IF(B197=Queue_Intervals!A3,MAX(0,MIN(D197,Queue_Intervals!C3)-MAX(C197+150,Queue_Intervals!B3)),0)+IF(B197=Queue_Intervals!A4,MAX(0,MIN(D197,Queue_Intervals!C4)-MAX(C197+150,Queue_Intervals!B4)),0)+IF(B197=Queue_Intervals!A5,MAX(0,MIN(D197,Queue_Intervals!C5)-MAX(C197+150,Queue_Intervals!B5)),0)</x:f>
        <x:v>0</x:v>
      </x:c>
    </x:row>
    <x:row r="198" ht="25" customHeight="1">
      <x:c r="A198" s="11" t="str">
        <x:v>183_64</x:v>
      </x:c>
      <x:c r="B198" s="13" t="str">
        <x:v>183</x:v>
      </x:c>
      <x:c r="C198" s="13" t="n">
        <x:v>668</x:v>
      </x:c>
      <x:c r="D198" s="13" t="n">
        <x:v>704</x:v>
      </x:c>
      <x:c r="E198" s="13" t="str">
        <x:v>Walk in</x:v>
      </x:c>
      <x:c r="F198" s="13" t="n">
        <x:v>36</x:v>
      </x:c>
      <x:c r="G198" s="13" t="n">
        <x:v>0</x:v>
      </x:c>
      <x:c r="H198" s="11" t="n">
        <x:f>MAX(0,F198-90)</x:f>
        <x:v>0</x:v>
      </x:c>
      <x:c r="I198" s="11" t="n">
        <x:f>IF(B198=Queue_Intervals!A2,MAX(0,MIN(D198,Queue_Intervals!C2)-MAX(C198+90,Queue_Intervals!B2)),0)+IF(B198=Queue_Intervals!A3,MAX(0,MIN(D198,Queue_Intervals!C3)-MAX(C198+90,Queue_Intervals!B3)),0)+IF(B198=Queue_Intervals!A4,MAX(0,MIN(D198,Queue_Intervals!C4)-MAX(C198+90,Queue_Intervals!B4)),0)+IF(B198=Queue_Intervals!A5,MAX(0,MIN(D198,Queue_Intervals!C5)-MAX(C198+90,Queue_Intervals!B5)),0)</x:f>
        <x:v>0</x:v>
      </x:c>
      <x:c r="J198" s="11" t="n">
        <x:f>MAX(0,F198-120)</x:f>
        <x:v>0</x:v>
      </x:c>
      <x:c r="K198" s="11" t="n">
        <x:f>IF(B198=Queue_Intervals!A2,MAX(0,MIN(D198,Queue_Intervals!C2)-MAX(C198+120,Queue_Intervals!B2)),0)+IF(B198=Queue_Intervals!A3,MAX(0,MIN(D198,Queue_Intervals!C3)-MAX(C198+120,Queue_Intervals!B3)),0)+IF(B198=Queue_Intervals!A4,MAX(0,MIN(D198,Queue_Intervals!C4)-MAX(C198+120,Queue_Intervals!B4)),0)+IF(B198=Queue_Intervals!A5,MAX(0,MIN(D198,Queue_Intervals!C5)-MAX(C198+120,Queue_Intervals!B5)),0)</x:f>
        <x:v>0</x:v>
      </x:c>
      <x:c r="L198" s="11" t="n">
        <x:f>MAX(0,F198-150)</x:f>
        <x:v>0</x:v>
      </x:c>
      <x:c r="M198" s="11" t="n">
        <x:f>IF(B198=Queue_Intervals!A2,MAX(0,MIN(D198,Queue_Intervals!C2)-MAX(C198+150,Queue_Intervals!B2)),0)+IF(B198=Queue_Intervals!A3,MAX(0,MIN(D198,Queue_Intervals!C3)-MAX(C198+150,Queue_Intervals!B3)),0)+IF(B198=Queue_Intervals!A4,MAX(0,MIN(D198,Queue_Intervals!C4)-MAX(C198+150,Queue_Intervals!B4)),0)+IF(B198=Queue_Intervals!A5,MAX(0,MIN(D198,Queue_Intervals!C5)-MAX(C198+150,Queue_Intervals!B5)),0)</x:f>
        <x:v>0</x:v>
      </x:c>
    </x:row>
    <x:row r="199" ht="25" customHeight="1">
      <x:c r="A199" s="11" t="str">
        <x:v>183_68</x:v>
      </x:c>
      <x:c r="B199" s="13" t="str">
        <x:v>183</x:v>
      </x:c>
      <x:c r="C199" s="13" t="n">
        <x:v>699</x:v>
      </x:c>
      <x:c r="D199" s="13" t="n">
        <x:v>810</x:v>
      </x:c>
      <x:c r="E199" s="13" t="str">
        <x:v>Walk in</x:v>
      </x:c>
      <x:c r="F199" s="13" t="n">
        <x:v>111</x:v>
      </x:c>
      <x:c r="G199" s="13" t="n">
        <x:v>0</x:v>
      </x:c>
      <x:c r="H199" s="11" t="n">
        <x:f>MAX(0,F199-90)</x:f>
        <x:v>21</x:v>
      </x:c>
      <x:c r="I199" s="11" t="n">
        <x:f>IF(B199=Queue_Intervals!A2,MAX(0,MIN(D199,Queue_Intervals!C2)-MAX(C199+90,Queue_Intervals!B2)),0)+IF(B199=Queue_Intervals!A3,MAX(0,MIN(D199,Queue_Intervals!C3)-MAX(C199+90,Queue_Intervals!B3)),0)+IF(B199=Queue_Intervals!A4,MAX(0,MIN(D199,Queue_Intervals!C4)-MAX(C199+90,Queue_Intervals!B4)),0)+IF(B199=Queue_Intervals!A5,MAX(0,MIN(D199,Queue_Intervals!C5)-MAX(C199+90,Queue_Intervals!B5)),0)</x:f>
        <x:v>0</x:v>
      </x:c>
      <x:c r="J199" s="11" t="n">
        <x:f>MAX(0,F199-120)</x:f>
        <x:v>0</x:v>
      </x:c>
      <x:c r="K199" s="11" t="n">
        <x:f>IF(B199=Queue_Intervals!A2,MAX(0,MIN(D199,Queue_Intervals!C2)-MAX(C199+120,Queue_Intervals!B2)),0)+IF(B199=Queue_Intervals!A3,MAX(0,MIN(D199,Queue_Intervals!C3)-MAX(C199+120,Queue_Intervals!B3)),0)+IF(B199=Queue_Intervals!A4,MAX(0,MIN(D199,Queue_Intervals!C4)-MAX(C199+120,Queue_Intervals!B4)),0)+IF(B199=Queue_Intervals!A5,MAX(0,MIN(D199,Queue_Intervals!C5)-MAX(C199+120,Queue_Intervals!B5)),0)</x:f>
        <x:v>0</x:v>
      </x:c>
      <x:c r="L199" s="11" t="n">
        <x:f>MAX(0,F199-150)</x:f>
        <x:v>0</x:v>
      </x:c>
      <x:c r="M199" s="11" t="n">
        <x:f>IF(B199=Queue_Intervals!A2,MAX(0,MIN(D199,Queue_Intervals!C2)-MAX(C199+150,Queue_Intervals!B2)),0)+IF(B199=Queue_Intervals!A3,MAX(0,MIN(D199,Queue_Intervals!C3)-MAX(C199+150,Queue_Intervals!B3)),0)+IF(B199=Queue_Intervals!A4,MAX(0,MIN(D199,Queue_Intervals!C4)-MAX(C199+150,Queue_Intervals!B4)),0)+IF(B199=Queue_Intervals!A5,MAX(0,MIN(D199,Queue_Intervals!C5)-MAX(C199+150,Queue_Intervals!B5))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797d04ec8d40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5" max="5" width="125" hidden="0" customWidth="1"/>
  </x:cols>
  <x:sheetData>
    <x:row r="1" ht="42" customHeight="1">
      <x:c r="A1" s="16" t="str">
        <x:v>source_sheet</x:v>
      </x:c>
      <x:c r="B1" s="16" t="str">
        <x:v>queue_start_min</x:v>
      </x:c>
      <x:c r="C1" s="16" t="str">
        <x:v>queue_end_min</x:v>
      </x:c>
      <x:c r="E1" s="14" t="str">
        <x:v>รวมช่วงที่มีคิวทับกันก่อน เพื่อไม่นับนาทีซ้ำจากหลายกลุ่มที่รอพร้อมกัน</x:v>
      </x:c>
    </x:row>
    <x:row r="2" ht="28" customHeight="1">
      <x:c r="A2" s="10" t="str">
        <x:v>143</x:v>
      </x:c>
      <x:c r="B2" s="10" t="n">
        <x:v>427</x:v>
      </x:c>
      <x:c r="C2" s="10" t="n">
        <x:v>435</x:v>
      </x:c>
      <x:c r="E2" s="14" t="str">
        <x:v>143: 07:07-07:15, 08:25-08:48, 08:56-09:54; 153: 08:16-11:40</x:v>
      </x:c>
    </x:row>
    <x:row r="3" ht="28" customHeight="1">
      <x:c r="A3" s="10" t="str">
        <x:v>143</x:v>
      </x:c>
      <x:c r="B3" s="10" t="n">
        <x:v>505</x:v>
      </x:c>
      <x:c r="C3" s="10" t="n">
        <x:v>528</x:v>
      </x:c>
      <x:c r="E3" s="14" t="str">
        <x:v>Source: queue_start / queue_end of all 73 recorded queues in Busy_Buffet_Cleaned.xlsx; includes 153_67</x:v>
      </x:c>
    </x:row>
    <x:row r="4" ht="28" customHeight="1">
      <x:c r="A4" s="10" t="str">
        <x:v>143</x:v>
      </x:c>
      <x:c r="B4" s="10" t="n">
        <x:v>536</x:v>
      </x:c>
      <x:c r="C4" s="10" t="n">
        <x:v>594</x:v>
      </x:c>
      <x:c r="E4" s="14" t="str">
        <x:v>ช่วงเหล่านี้เป็นข้อมูลเดิม ไม่ใช่ช่วงคิวที่เกิดหลังจำกัดเวลา</x:v>
      </x:c>
    </x:row>
    <x:row r="5" ht="28" customHeight="1">
      <x:c r="A5" s="10" t="str">
        <x:v>153</x:v>
      </x:c>
      <x:c r="B5" s="10" t="n">
        <x:v>496</x:v>
      </x:c>
      <x:c r="C5" s="10" t="n">
        <x:v>700</x:v>
      </x:c>
    </x:row>
  </x:sheetData>
  <x:pageMargins left="0.7" right="0.7" top="0.75" bottom="0.75" header="0.3" footer="0.3"/>
</x:worksheet>
</file>